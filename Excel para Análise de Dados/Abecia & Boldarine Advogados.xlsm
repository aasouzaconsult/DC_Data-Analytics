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riscila_Oliveira\Desktop\Aulas de dashboard\Desafio\"/>
    </mc:Choice>
  </mc:AlternateContent>
  <bookViews>
    <workbookView xWindow="0" yWindow="0" windowWidth="9525" windowHeight="12990" activeTab="1"/>
  </bookViews>
  <sheets>
    <sheet name="ABECIA &amp; BOLDARINE ADVOGADOS" sheetId="1" r:id="rId1"/>
    <sheet name="DashBoard" sheetId="3" r:id="rId2"/>
    <sheet name="Analises" sheetId="2" r:id="rId3"/>
  </sheets>
  <definedNames>
    <definedName name="_xlnm._FilterDatabase" localSheetId="0" hidden="1">'ABECIA &amp; BOLDARINE ADVOGADOS'!$B$3:$H$2481</definedName>
    <definedName name="SegmentaçãodeDados_Anos">#N/A</definedName>
    <definedName name="SegmentaçãodeDados_Meses">#N/A</definedName>
    <definedName name="SegmentaçãodeDados_Status">#N/A</definedName>
  </definedNames>
  <calcPr calcId="152511"/>
  <pivotCaches>
    <pivotCache cacheId="7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O3" i="2" s="1"/>
  <c r="N2" i="2"/>
  <c r="O2" i="2" s="1"/>
  <c r="P27" i="2"/>
  <c r="G21" i="2"/>
  <c r="G22" i="2"/>
  <c r="I33" i="2" l="1"/>
  <c r="G35" i="2" s="1"/>
  <c r="J2481" i="1" l="1"/>
  <c r="I2481" i="1"/>
  <c r="J2480" i="1"/>
  <c r="I2480" i="1"/>
  <c r="J2479" i="1"/>
  <c r="I2479" i="1"/>
  <c r="J2478" i="1"/>
  <c r="I2478" i="1"/>
  <c r="J2477" i="1"/>
  <c r="I2477" i="1"/>
  <c r="J2476" i="1"/>
  <c r="I2476" i="1"/>
  <c r="J2475" i="1"/>
  <c r="I2475" i="1"/>
  <c r="J2474" i="1"/>
  <c r="I2474" i="1"/>
  <c r="J2473" i="1"/>
  <c r="I2473" i="1"/>
  <c r="J2472" i="1"/>
  <c r="I2472" i="1"/>
  <c r="J2471" i="1"/>
  <c r="I2471" i="1"/>
  <c r="J2470" i="1"/>
  <c r="I2470" i="1"/>
  <c r="J2469" i="1"/>
  <c r="I2469" i="1"/>
  <c r="J2468" i="1"/>
  <c r="I2468" i="1"/>
  <c r="J2467" i="1"/>
  <c r="I2467" i="1"/>
  <c r="J2466" i="1"/>
  <c r="I2466" i="1"/>
  <c r="J2465" i="1"/>
  <c r="I2465" i="1"/>
  <c r="J2464" i="1"/>
  <c r="I2464" i="1"/>
  <c r="J2463" i="1"/>
  <c r="I2463" i="1"/>
  <c r="J2462" i="1"/>
  <c r="I2462" i="1"/>
  <c r="J2461" i="1"/>
  <c r="I2461" i="1"/>
  <c r="J2460" i="1"/>
  <c r="I2460" i="1"/>
  <c r="J2459" i="1"/>
  <c r="I2459" i="1"/>
  <c r="J2458" i="1"/>
  <c r="I2458" i="1"/>
  <c r="J2457" i="1"/>
  <c r="I2457" i="1"/>
  <c r="J2456" i="1"/>
  <c r="I2456" i="1"/>
  <c r="J2455" i="1"/>
  <c r="I2455" i="1"/>
  <c r="J2454" i="1"/>
  <c r="I2454" i="1"/>
  <c r="J2453" i="1"/>
  <c r="I2453" i="1"/>
  <c r="J2452" i="1"/>
  <c r="I2452" i="1"/>
  <c r="J2451" i="1"/>
  <c r="I2451" i="1"/>
  <c r="J2450" i="1"/>
  <c r="I2450" i="1"/>
  <c r="J2449" i="1"/>
  <c r="I2449" i="1"/>
  <c r="J2448" i="1"/>
  <c r="I2448" i="1"/>
  <c r="J2447" i="1"/>
  <c r="I2447" i="1"/>
  <c r="J2446" i="1"/>
  <c r="I2446" i="1"/>
  <c r="J2445" i="1"/>
  <c r="I2445" i="1"/>
  <c r="J2444" i="1"/>
  <c r="I2444" i="1"/>
  <c r="J2443" i="1"/>
  <c r="I2443" i="1"/>
  <c r="J2442" i="1"/>
  <c r="I2442" i="1"/>
  <c r="J2441" i="1"/>
  <c r="I2441" i="1"/>
  <c r="J2440" i="1"/>
  <c r="I2440" i="1"/>
  <c r="J2439" i="1"/>
  <c r="I2439" i="1"/>
  <c r="J2438" i="1"/>
  <c r="I2438" i="1"/>
  <c r="J2437" i="1"/>
  <c r="I2437" i="1"/>
  <c r="J2436" i="1"/>
  <c r="I2436" i="1"/>
  <c r="J2435" i="1"/>
  <c r="I2435" i="1"/>
  <c r="J2434" i="1"/>
  <c r="I2434" i="1"/>
  <c r="J2433" i="1"/>
  <c r="I2433" i="1"/>
  <c r="J2432" i="1"/>
  <c r="I2432" i="1"/>
  <c r="J2431" i="1"/>
  <c r="I2431" i="1"/>
  <c r="J2430" i="1"/>
  <c r="I2430" i="1"/>
  <c r="J2429" i="1"/>
  <c r="I2429" i="1"/>
  <c r="J2428" i="1"/>
  <c r="I2428" i="1"/>
  <c r="J2427" i="1"/>
  <c r="I2427" i="1"/>
  <c r="J2426" i="1"/>
  <c r="I2426" i="1"/>
  <c r="J2425" i="1"/>
  <c r="I2425" i="1"/>
  <c r="J2424" i="1"/>
  <c r="I2424" i="1"/>
  <c r="J2423" i="1"/>
  <c r="I2423" i="1"/>
  <c r="J2422" i="1"/>
  <c r="I2422" i="1"/>
  <c r="J2421" i="1"/>
  <c r="I2421" i="1"/>
  <c r="J2420" i="1"/>
  <c r="I2420" i="1"/>
  <c r="J2419" i="1"/>
  <c r="I2419" i="1"/>
  <c r="J2418" i="1"/>
  <c r="I2418" i="1"/>
  <c r="J2417" i="1"/>
  <c r="I2417" i="1"/>
  <c r="J2416" i="1"/>
  <c r="I2416" i="1"/>
  <c r="J2415" i="1"/>
  <c r="I2415" i="1"/>
  <c r="J2414" i="1"/>
  <c r="I2414" i="1"/>
  <c r="J2413" i="1"/>
  <c r="I2413" i="1"/>
  <c r="J2412" i="1"/>
  <c r="I2412" i="1"/>
  <c r="J2411" i="1"/>
  <c r="I2411" i="1"/>
  <c r="J2410" i="1"/>
  <c r="I2410" i="1"/>
  <c r="J2409" i="1"/>
  <c r="I2409" i="1"/>
  <c r="J2408" i="1"/>
  <c r="I2408" i="1"/>
  <c r="J2407" i="1"/>
  <c r="I2407" i="1"/>
  <c r="J2406" i="1"/>
  <c r="I2406" i="1"/>
  <c r="J2405" i="1"/>
  <c r="I2405" i="1"/>
  <c r="J2404" i="1"/>
  <c r="I2404" i="1"/>
  <c r="J2403" i="1"/>
  <c r="I2403" i="1"/>
  <c r="J2402" i="1"/>
  <c r="I2402" i="1"/>
  <c r="J2401" i="1"/>
  <c r="I2401" i="1"/>
  <c r="J2400" i="1"/>
  <c r="I2400" i="1"/>
  <c r="J2399" i="1"/>
  <c r="I2399" i="1"/>
  <c r="J2398" i="1"/>
  <c r="I2398" i="1"/>
  <c r="J2397" i="1"/>
  <c r="I2397" i="1"/>
  <c r="J2396" i="1"/>
  <c r="I2396" i="1"/>
  <c r="J2395" i="1"/>
  <c r="I2395" i="1"/>
  <c r="J2394" i="1"/>
  <c r="I2394" i="1"/>
  <c r="J2393" i="1"/>
  <c r="I2393" i="1"/>
  <c r="J2392" i="1"/>
  <c r="I2392" i="1"/>
  <c r="J2391" i="1"/>
  <c r="I2391" i="1"/>
  <c r="J2390" i="1"/>
  <c r="I2390" i="1"/>
  <c r="J2389" i="1"/>
  <c r="I2389" i="1"/>
  <c r="J2388" i="1"/>
  <c r="I2388" i="1"/>
  <c r="J2387" i="1"/>
  <c r="I2387" i="1"/>
  <c r="J2386" i="1"/>
  <c r="I2386" i="1"/>
  <c r="J2385" i="1"/>
  <c r="I2385" i="1"/>
  <c r="J2384" i="1"/>
  <c r="I2384" i="1"/>
  <c r="J2383" i="1"/>
  <c r="I2383" i="1"/>
  <c r="J2382" i="1"/>
  <c r="I2382" i="1"/>
  <c r="J2381" i="1"/>
  <c r="I2381" i="1"/>
  <c r="J2380" i="1"/>
  <c r="I2380" i="1"/>
  <c r="J2379" i="1"/>
  <c r="I2379" i="1"/>
  <c r="J2378" i="1"/>
  <c r="I2378" i="1"/>
  <c r="J2377" i="1"/>
  <c r="I2377" i="1"/>
  <c r="J2376" i="1"/>
  <c r="I2376" i="1"/>
  <c r="J2375" i="1"/>
  <c r="I2375" i="1"/>
  <c r="J2374" i="1"/>
  <c r="I2374" i="1"/>
  <c r="J2373" i="1"/>
  <c r="I2373" i="1"/>
  <c r="J2372" i="1"/>
  <c r="I2372" i="1"/>
  <c r="J2371" i="1"/>
  <c r="I2371" i="1"/>
  <c r="J2370" i="1"/>
  <c r="I2370" i="1"/>
  <c r="J2369" i="1"/>
  <c r="I2369" i="1"/>
  <c r="J2368" i="1"/>
  <c r="I2368" i="1"/>
  <c r="J2367" i="1"/>
  <c r="I2367" i="1"/>
  <c r="J2366" i="1"/>
  <c r="I2366" i="1"/>
  <c r="J2365" i="1"/>
  <c r="I2365" i="1"/>
  <c r="J2364" i="1"/>
  <c r="I2364" i="1"/>
  <c r="J2363" i="1"/>
  <c r="I2363" i="1"/>
  <c r="J2362" i="1"/>
  <c r="I2362" i="1"/>
  <c r="J2361" i="1"/>
  <c r="I2361" i="1"/>
  <c r="J2360" i="1"/>
  <c r="I2360" i="1"/>
  <c r="J2359" i="1"/>
  <c r="I2359" i="1"/>
  <c r="J2358" i="1"/>
  <c r="I2358" i="1"/>
  <c r="J2357" i="1"/>
  <c r="I2357" i="1"/>
  <c r="J2356" i="1"/>
  <c r="I2356" i="1"/>
  <c r="J2355" i="1"/>
  <c r="I2355" i="1"/>
  <c r="J2354" i="1"/>
  <c r="I2354" i="1"/>
  <c r="J2353" i="1"/>
  <c r="I2353" i="1"/>
  <c r="J2352" i="1"/>
  <c r="I2352" i="1"/>
  <c r="J2351" i="1"/>
  <c r="I2351" i="1"/>
  <c r="J2350" i="1"/>
  <c r="I2350" i="1"/>
  <c r="J2349" i="1"/>
  <c r="I2349" i="1"/>
  <c r="J2348" i="1"/>
  <c r="I2348" i="1"/>
  <c r="J2347" i="1"/>
  <c r="I2347" i="1"/>
  <c r="J2346" i="1"/>
  <c r="I2346" i="1"/>
  <c r="J2345" i="1"/>
  <c r="I2345" i="1"/>
  <c r="J2344" i="1"/>
  <c r="I2344" i="1"/>
  <c r="J2343" i="1"/>
  <c r="I2343" i="1"/>
  <c r="J2342" i="1"/>
  <c r="I2342" i="1"/>
  <c r="J2341" i="1"/>
  <c r="I2341" i="1"/>
  <c r="J2340" i="1"/>
  <c r="I2340" i="1"/>
  <c r="J2339" i="1"/>
  <c r="I2339" i="1"/>
  <c r="J2338" i="1"/>
  <c r="I2338" i="1"/>
  <c r="J2337" i="1"/>
  <c r="I2337" i="1"/>
  <c r="J2336" i="1"/>
  <c r="I2336" i="1"/>
  <c r="J2335" i="1"/>
  <c r="I2335" i="1"/>
  <c r="J2334" i="1"/>
  <c r="I2334" i="1"/>
  <c r="J2333" i="1"/>
  <c r="I2333" i="1"/>
  <c r="J2332" i="1"/>
  <c r="I2332" i="1"/>
  <c r="J2331" i="1"/>
  <c r="I2331" i="1"/>
  <c r="J2330" i="1"/>
  <c r="I2330" i="1"/>
  <c r="J2329" i="1"/>
  <c r="I2329" i="1"/>
  <c r="J2328" i="1"/>
  <c r="I2328" i="1"/>
  <c r="J2327" i="1"/>
  <c r="I2327" i="1"/>
  <c r="J2326" i="1"/>
  <c r="I2326" i="1"/>
  <c r="J2325" i="1"/>
  <c r="I2325" i="1"/>
  <c r="J2324" i="1"/>
  <c r="I2324" i="1"/>
  <c r="J2323" i="1"/>
  <c r="I2323" i="1"/>
  <c r="J2322" i="1"/>
  <c r="I2322" i="1"/>
  <c r="J2321" i="1"/>
  <c r="I2321" i="1"/>
  <c r="J2320" i="1"/>
  <c r="I2320" i="1"/>
  <c r="J2319" i="1"/>
  <c r="I2319" i="1"/>
  <c r="J2318" i="1"/>
  <c r="I2318" i="1"/>
  <c r="J2317" i="1"/>
  <c r="I2317" i="1"/>
  <c r="J2316" i="1"/>
  <c r="I2316" i="1"/>
  <c r="J2315" i="1"/>
  <c r="I2315" i="1"/>
  <c r="J2314" i="1"/>
  <c r="I2314" i="1"/>
  <c r="J2313" i="1"/>
  <c r="I2313" i="1"/>
  <c r="J2312" i="1"/>
  <c r="I2312" i="1"/>
  <c r="J2311" i="1"/>
  <c r="I2311" i="1"/>
  <c r="J2310" i="1"/>
  <c r="I2310" i="1"/>
  <c r="J2309" i="1"/>
  <c r="I2309" i="1"/>
  <c r="J2308" i="1"/>
  <c r="I2308" i="1"/>
  <c r="J2307" i="1"/>
  <c r="I2307" i="1"/>
  <c r="J2306" i="1"/>
  <c r="I2306" i="1"/>
  <c r="J2305" i="1"/>
  <c r="I2305" i="1"/>
  <c r="J2304" i="1"/>
  <c r="I2304" i="1"/>
  <c r="J2303" i="1"/>
  <c r="I2303" i="1"/>
  <c r="J2302" i="1"/>
  <c r="I2302" i="1"/>
  <c r="J2301" i="1"/>
  <c r="I2301" i="1"/>
  <c r="J2300" i="1"/>
  <c r="I2300" i="1"/>
  <c r="J2299" i="1"/>
  <c r="I2299" i="1"/>
  <c r="J2298" i="1"/>
  <c r="I2298" i="1"/>
  <c r="J2297" i="1"/>
  <c r="I2297" i="1"/>
  <c r="J2296" i="1"/>
  <c r="I2296" i="1"/>
  <c r="J2295" i="1"/>
  <c r="I2295" i="1"/>
  <c r="J2294" i="1"/>
  <c r="I2294" i="1"/>
  <c r="J2293" i="1"/>
  <c r="I2293" i="1"/>
  <c r="J2292" i="1"/>
  <c r="I2292" i="1"/>
  <c r="J2291" i="1"/>
  <c r="I2291" i="1"/>
  <c r="J2290" i="1"/>
  <c r="I2290" i="1"/>
  <c r="J2289" i="1"/>
  <c r="I2289" i="1"/>
  <c r="J2288" i="1"/>
  <c r="I2288" i="1"/>
  <c r="J2287" i="1"/>
  <c r="I2287" i="1"/>
  <c r="J2286" i="1"/>
  <c r="I2286" i="1"/>
  <c r="J2285" i="1"/>
  <c r="I2285" i="1"/>
  <c r="J2284" i="1"/>
  <c r="I2284" i="1"/>
  <c r="J2283" i="1"/>
  <c r="I2283" i="1"/>
  <c r="J2282" i="1"/>
  <c r="I2282" i="1"/>
  <c r="J2281" i="1"/>
  <c r="I2281" i="1"/>
  <c r="J2280" i="1"/>
  <c r="I2280" i="1"/>
  <c r="J2279" i="1"/>
  <c r="I2279" i="1"/>
  <c r="J2278" i="1"/>
  <c r="I2278" i="1"/>
  <c r="J2277" i="1"/>
  <c r="I2277" i="1"/>
  <c r="J2276" i="1"/>
  <c r="I2276" i="1"/>
  <c r="J2275" i="1"/>
  <c r="I2275" i="1"/>
  <c r="J2274" i="1"/>
  <c r="I2274" i="1"/>
  <c r="J2273" i="1"/>
  <c r="I2273" i="1"/>
  <c r="J2272" i="1"/>
  <c r="I2272" i="1"/>
  <c r="J2271" i="1"/>
  <c r="I2271" i="1"/>
  <c r="J2270" i="1"/>
  <c r="I2270" i="1"/>
  <c r="J2269" i="1"/>
  <c r="I2269" i="1"/>
  <c r="J2268" i="1"/>
  <c r="I2268" i="1"/>
  <c r="J2267" i="1"/>
  <c r="I2267" i="1"/>
  <c r="J2266" i="1"/>
  <c r="I2266" i="1"/>
  <c r="J2265" i="1"/>
  <c r="I2265" i="1"/>
  <c r="J2264" i="1"/>
  <c r="I2264" i="1"/>
  <c r="J2263" i="1"/>
  <c r="I2263" i="1"/>
  <c r="J2262" i="1"/>
  <c r="I2262" i="1"/>
  <c r="J2261" i="1"/>
  <c r="I2261" i="1"/>
  <c r="J2260" i="1"/>
  <c r="I2260" i="1"/>
  <c r="J2259" i="1"/>
  <c r="I2259" i="1"/>
  <c r="J2258" i="1"/>
  <c r="I2258" i="1"/>
  <c r="J2257" i="1"/>
  <c r="I2257" i="1"/>
  <c r="J2256" i="1"/>
  <c r="I2256" i="1"/>
  <c r="J2255" i="1"/>
  <c r="I2255" i="1"/>
  <c r="J2254" i="1"/>
  <c r="I2254" i="1"/>
  <c r="J2253" i="1"/>
  <c r="I2253" i="1"/>
  <c r="J2252" i="1"/>
  <c r="I2252" i="1"/>
  <c r="J2251" i="1"/>
  <c r="I2251" i="1"/>
  <c r="J2250" i="1"/>
  <c r="I2250" i="1"/>
  <c r="J2249" i="1"/>
  <c r="I2249" i="1"/>
  <c r="J2248" i="1"/>
  <c r="I2248" i="1"/>
  <c r="J2247" i="1"/>
  <c r="I2247" i="1"/>
  <c r="J2246" i="1"/>
  <c r="I2246" i="1"/>
  <c r="J2245" i="1"/>
  <c r="I2245" i="1"/>
  <c r="J2244" i="1"/>
  <c r="I2244" i="1"/>
  <c r="J2243" i="1"/>
  <c r="I2243" i="1"/>
  <c r="J2242" i="1"/>
  <c r="I2242" i="1"/>
  <c r="J2241" i="1"/>
  <c r="I2241" i="1"/>
  <c r="J2240" i="1"/>
  <c r="I2240" i="1"/>
  <c r="J2239" i="1"/>
  <c r="I2239" i="1"/>
  <c r="J2238" i="1"/>
  <c r="I2238" i="1"/>
  <c r="J2237" i="1"/>
  <c r="I2237" i="1"/>
  <c r="J2236" i="1"/>
  <c r="I2236" i="1"/>
  <c r="J2235" i="1"/>
  <c r="I2235" i="1"/>
  <c r="J2234" i="1"/>
  <c r="I2234" i="1"/>
  <c r="J2233" i="1"/>
  <c r="I2233" i="1"/>
  <c r="J2232" i="1"/>
  <c r="I2232" i="1"/>
  <c r="J2231" i="1"/>
  <c r="I2231" i="1"/>
  <c r="J2230" i="1"/>
  <c r="I2230" i="1"/>
  <c r="J2229" i="1"/>
  <c r="I2229" i="1"/>
  <c r="J2228" i="1"/>
  <c r="I2228" i="1"/>
  <c r="J2227" i="1"/>
  <c r="I2227" i="1"/>
  <c r="J2226" i="1"/>
  <c r="I2226" i="1"/>
  <c r="J2225" i="1"/>
  <c r="I2225" i="1"/>
  <c r="J2224" i="1"/>
  <c r="I2224" i="1"/>
  <c r="J2223" i="1"/>
  <c r="I2223" i="1"/>
  <c r="J2222" i="1"/>
  <c r="I2222" i="1"/>
  <c r="J2221" i="1"/>
  <c r="I2221" i="1"/>
  <c r="J2220" i="1"/>
  <c r="I2220" i="1"/>
  <c r="J2219" i="1"/>
  <c r="I2219" i="1"/>
  <c r="J2218" i="1"/>
  <c r="I2218" i="1"/>
  <c r="J2217" i="1"/>
  <c r="I2217" i="1"/>
  <c r="J2216" i="1"/>
  <c r="I2216" i="1"/>
  <c r="J2215" i="1"/>
  <c r="I2215" i="1"/>
  <c r="J2214" i="1"/>
  <c r="I2214" i="1"/>
  <c r="J2213" i="1"/>
  <c r="I2213" i="1"/>
  <c r="J2212" i="1"/>
  <c r="I2212" i="1"/>
  <c r="J2211" i="1"/>
  <c r="I2211" i="1"/>
  <c r="J2210" i="1"/>
  <c r="I2210" i="1"/>
  <c r="J2209" i="1"/>
  <c r="I2209" i="1"/>
  <c r="J2208" i="1"/>
  <c r="I2208" i="1"/>
  <c r="J2207" i="1"/>
  <c r="I2207" i="1"/>
  <c r="J2206" i="1"/>
  <c r="I2206" i="1"/>
  <c r="J2205" i="1"/>
  <c r="I2205" i="1"/>
  <c r="J2204" i="1"/>
  <c r="I2204" i="1"/>
  <c r="J2203" i="1"/>
  <c r="I2203" i="1"/>
  <c r="J2202" i="1"/>
  <c r="I2202" i="1"/>
  <c r="J2201" i="1"/>
  <c r="I2201" i="1"/>
  <c r="J2200" i="1"/>
  <c r="I2200" i="1"/>
  <c r="J2199" i="1"/>
  <c r="I2199" i="1"/>
  <c r="J2198" i="1"/>
  <c r="I2198" i="1"/>
  <c r="J2197" i="1"/>
  <c r="I2197" i="1"/>
  <c r="J2196" i="1"/>
  <c r="I2196" i="1"/>
  <c r="J2195" i="1"/>
  <c r="I2195" i="1"/>
  <c r="J2194" i="1"/>
  <c r="I2194" i="1"/>
  <c r="J2193" i="1"/>
  <c r="I2193" i="1"/>
  <c r="J2192" i="1"/>
  <c r="I2192" i="1"/>
  <c r="J2191" i="1"/>
  <c r="I2191" i="1"/>
  <c r="J2190" i="1"/>
  <c r="I2190" i="1"/>
  <c r="J2189" i="1"/>
  <c r="I2189" i="1"/>
  <c r="J2188" i="1"/>
  <c r="I2188" i="1"/>
  <c r="J2187" i="1"/>
  <c r="I2187" i="1"/>
  <c r="J2186" i="1"/>
  <c r="I2186" i="1"/>
  <c r="J2185" i="1"/>
  <c r="I2185" i="1"/>
  <c r="J2184" i="1"/>
  <c r="I2184" i="1"/>
  <c r="J2183" i="1"/>
  <c r="I2183" i="1"/>
  <c r="J2182" i="1"/>
  <c r="I2182" i="1"/>
  <c r="J2181" i="1"/>
  <c r="I2181" i="1"/>
  <c r="J2180" i="1"/>
  <c r="I2180" i="1"/>
  <c r="J2179" i="1"/>
  <c r="I2179" i="1"/>
  <c r="J2178" i="1"/>
  <c r="I2178" i="1"/>
  <c r="J2177" i="1"/>
  <c r="I2177" i="1"/>
  <c r="J2176" i="1"/>
  <c r="I2176" i="1"/>
  <c r="J2175" i="1"/>
  <c r="I2175" i="1"/>
  <c r="J2174" i="1"/>
  <c r="I2174" i="1"/>
  <c r="J2173" i="1"/>
  <c r="I2173" i="1"/>
  <c r="J2172" i="1"/>
  <c r="I2172" i="1"/>
  <c r="J2171" i="1"/>
  <c r="I2171" i="1"/>
  <c r="J2170" i="1"/>
  <c r="I2170" i="1"/>
  <c r="J2169" i="1"/>
  <c r="I2169" i="1"/>
  <c r="J2168" i="1"/>
  <c r="I2168" i="1"/>
  <c r="J2167" i="1"/>
  <c r="I2167" i="1"/>
  <c r="J2166" i="1"/>
  <c r="I2166" i="1"/>
  <c r="J2165" i="1"/>
  <c r="I2165" i="1"/>
  <c r="J2164" i="1"/>
  <c r="I2164" i="1"/>
  <c r="J2163" i="1"/>
  <c r="I2163" i="1"/>
  <c r="J2162" i="1"/>
  <c r="I2162" i="1"/>
  <c r="J2161" i="1"/>
  <c r="I2161" i="1"/>
  <c r="J2160" i="1"/>
  <c r="I2160" i="1"/>
  <c r="J2159" i="1"/>
  <c r="I2159" i="1"/>
  <c r="J2158" i="1"/>
  <c r="I2158" i="1"/>
  <c r="J2157" i="1"/>
  <c r="I2157" i="1"/>
  <c r="J2156" i="1"/>
  <c r="I2156" i="1"/>
  <c r="J2155" i="1"/>
  <c r="I2155" i="1"/>
  <c r="J2154" i="1"/>
  <c r="I2154" i="1"/>
  <c r="J2153" i="1"/>
  <c r="I2153" i="1"/>
  <c r="J2152" i="1"/>
  <c r="I2152" i="1"/>
  <c r="J2151" i="1"/>
  <c r="I2151" i="1"/>
  <c r="J2150" i="1"/>
  <c r="I2150" i="1"/>
  <c r="J2149" i="1"/>
  <c r="I2149" i="1"/>
  <c r="J2148" i="1"/>
  <c r="I2148" i="1"/>
  <c r="J2147" i="1"/>
  <c r="I2147" i="1"/>
  <c r="J2146" i="1"/>
  <c r="I2146" i="1"/>
  <c r="J2145" i="1"/>
  <c r="I2145" i="1"/>
  <c r="J2144" i="1"/>
  <c r="I2144" i="1"/>
  <c r="J2143" i="1"/>
  <c r="I2143" i="1"/>
  <c r="J2142" i="1"/>
  <c r="I2142" i="1"/>
  <c r="J2141" i="1"/>
  <c r="I2141" i="1"/>
  <c r="J2140" i="1"/>
  <c r="I2140" i="1"/>
  <c r="J2139" i="1"/>
  <c r="I2139" i="1"/>
  <c r="J2138" i="1"/>
  <c r="I2138" i="1"/>
  <c r="J2137" i="1"/>
  <c r="I2137" i="1"/>
  <c r="J2136" i="1"/>
  <c r="I2136" i="1"/>
  <c r="J2135" i="1"/>
  <c r="I2135" i="1"/>
  <c r="J2134" i="1"/>
  <c r="I2134" i="1"/>
  <c r="J2133" i="1"/>
  <c r="I2133" i="1"/>
  <c r="J2132" i="1"/>
  <c r="I2132" i="1"/>
  <c r="J2131" i="1"/>
  <c r="I2131" i="1"/>
  <c r="J2130" i="1"/>
  <c r="I2130" i="1"/>
  <c r="J2129" i="1"/>
  <c r="I2129" i="1"/>
  <c r="J2128" i="1"/>
  <c r="I2128" i="1"/>
  <c r="J2127" i="1"/>
  <c r="I2127" i="1"/>
  <c r="J2126" i="1"/>
  <c r="I2126" i="1"/>
  <c r="J2125" i="1"/>
  <c r="I2125" i="1"/>
  <c r="J2124" i="1"/>
  <c r="I2124" i="1"/>
  <c r="J2123" i="1"/>
  <c r="I2123" i="1"/>
  <c r="J2122" i="1"/>
  <c r="I2122" i="1"/>
  <c r="J2121" i="1"/>
  <c r="I2121" i="1"/>
  <c r="J2120" i="1"/>
  <c r="I2120" i="1"/>
  <c r="J2119" i="1"/>
  <c r="I2119" i="1"/>
  <c r="J2118" i="1"/>
  <c r="I2118" i="1"/>
  <c r="J2117" i="1"/>
  <c r="I2117" i="1"/>
  <c r="J2116" i="1"/>
  <c r="I2116" i="1"/>
  <c r="J2115" i="1"/>
  <c r="I2115" i="1"/>
  <c r="J2114" i="1"/>
  <c r="I2114" i="1"/>
  <c r="J2113" i="1"/>
  <c r="I2113" i="1"/>
  <c r="J2112" i="1"/>
  <c r="I2112" i="1"/>
  <c r="J2111" i="1"/>
  <c r="I2111" i="1"/>
  <c r="J2110" i="1"/>
  <c r="I2110" i="1"/>
  <c r="J2109" i="1"/>
  <c r="I2109" i="1"/>
  <c r="J2108" i="1"/>
  <c r="I2108" i="1"/>
  <c r="J2107" i="1"/>
  <c r="I2107" i="1"/>
  <c r="J2106" i="1"/>
  <c r="I2106" i="1"/>
  <c r="J2105" i="1"/>
  <c r="I2105" i="1"/>
  <c r="J2104" i="1"/>
  <c r="I2104" i="1"/>
  <c r="J2103" i="1"/>
  <c r="I2103" i="1"/>
  <c r="J2102" i="1"/>
  <c r="I2102" i="1"/>
  <c r="J2101" i="1"/>
  <c r="I2101" i="1"/>
  <c r="J2100" i="1"/>
  <c r="I2100" i="1"/>
  <c r="J2099" i="1"/>
  <c r="I2099" i="1"/>
  <c r="J2098" i="1"/>
  <c r="I2098" i="1"/>
  <c r="J2097" i="1"/>
  <c r="I2097" i="1"/>
  <c r="J2096" i="1"/>
  <c r="I2096" i="1"/>
  <c r="J2095" i="1"/>
  <c r="I2095" i="1"/>
  <c r="J2094" i="1"/>
  <c r="I2094" i="1"/>
  <c r="J2093" i="1"/>
  <c r="I2093" i="1"/>
  <c r="J2092" i="1"/>
  <c r="I2092" i="1"/>
  <c r="J2091" i="1"/>
  <c r="I2091" i="1"/>
  <c r="J2090" i="1"/>
  <c r="I2090" i="1"/>
  <c r="J2089" i="1"/>
  <c r="I2089" i="1"/>
  <c r="J2088" i="1"/>
  <c r="I2088" i="1"/>
  <c r="J2087" i="1"/>
  <c r="I2087" i="1"/>
  <c r="J2086" i="1"/>
  <c r="I2086" i="1"/>
  <c r="J2085" i="1"/>
  <c r="I2085" i="1"/>
  <c r="J2084" i="1"/>
  <c r="I2084" i="1"/>
  <c r="J2083" i="1"/>
  <c r="I2083" i="1"/>
  <c r="J2082" i="1"/>
  <c r="I2082" i="1"/>
  <c r="J2081" i="1"/>
  <c r="I2081" i="1"/>
  <c r="J2080" i="1"/>
  <c r="I2080" i="1"/>
  <c r="J2079" i="1"/>
  <c r="I2079" i="1"/>
  <c r="J2078" i="1"/>
  <c r="I2078" i="1"/>
  <c r="J2077" i="1"/>
  <c r="I2077" i="1"/>
  <c r="J2076" i="1"/>
  <c r="I2076" i="1"/>
  <c r="J2075" i="1"/>
  <c r="I2075" i="1"/>
  <c r="J2074" i="1"/>
  <c r="I2074" i="1"/>
  <c r="J2073" i="1"/>
  <c r="I2073" i="1"/>
  <c r="J2072" i="1"/>
  <c r="I2072" i="1"/>
  <c r="J2071" i="1"/>
  <c r="I2071" i="1"/>
  <c r="J2070" i="1"/>
  <c r="I2070" i="1"/>
  <c r="J2069" i="1"/>
  <c r="I2069" i="1"/>
  <c r="J2068" i="1"/>
  <c r="I2068" i="1"/>
  <c r="J2067" i="1"/>
  <c r="I2067" i="1"/>
  <c r="J2066" i="1"/>
  <c r="I2066" i="1"/>
  <c r="J2065" i="1"/>
  <c r="I2065" i="1"/>
  <c r="J2064" i="1"/>
  <c r="I2064" i="1"/>
  <c r="J2063" i="1"/>
  <c r="I2063" i="1"/>
  <c r="J2062" i="1"/>
  <c r="I2062" i="1"/>
  <c r="J2061" i="1"/>
  <c r="I2061" i="1"/>
  <c r="J2060" i="1"/>
  <c r="I2060" i="1"/>
  <c r="J2059" i="1"/>
  <c r="I2059" i="1"/>
  <c r="J2058" i="1"/>
  <c r="I2058" i="1"/>
  <c r="J2057" i="1"/>
  <c r="I2057" i="1"/>
  <c r="J2056" i="1"/>
  <c r="I2056" i="1"/>
  <c r="J2055" i="1"/>
  <c r="I2055" i="1"/>
  <c r="J2054" i="1"/>
  <c r="I2054" i="1"/>
  <c r="J2053" i="1"/>
  <c r="I2053" i="1"/>
  <c r="J2052" i="1"/>
  <c r="I2052" i="1"/>
  <c r="J2051" i="1"/>
  <c r="I2051" i="1"/>
  <c r="J2050" i="1"/>
  <c r="I2050" i="1"/>
  <c r="J2049" i="1"/>
  <c r="I2049" i="1"/>
  <c r="J2048" i="1"/>
  <c r="I2048" i="1"/>
  <c r="J2047" i="1"/>
  <c r="I2047" i="1"/>
  <c r="J2046" i="1"/>
  <c r="I2046" i="1"/>
  <c r="J2045" i="1"/>
  <c r="I2045" i="1"/>
  <c r="J2044" i="1"/>
  <c r="I2044" i="1"/>
  <c r="J2043" i="1"/>
  <c r="I2043" i="1"/>
  <c r="J2042" i="1"/>
  <c r="I2042" i="1"/>
  <c r="J2041" i="1"/>
  <c r="I2041" i="1"/>
  <c r="J2040" i="1"/>
  <c r="I2040" i="1"/>
  <c r="J2039" i="1"/>
  <c r="I2039" i="1"/>
  <c r="J2038" i="1"/>
  <c r="I2038" i="1"/>
  <c r="J2037" i="1"/>
  <c r="I2037" i="1"/>
  <c r="J2036" i="1"/>
  <c r="I2036" i="1"/>
  <c r="J2035" i="1"/>
  <c r="I2035" i="1"/>
  <c r="J2034" i="1"/>
  <c r="I2034" i="1"/>
  <c r="J2033" i="1"/>
  <c r="I2033" i="1"/>
  <c r="J2032" i="1"/>
  <c r="I2032" i="1"/>
  <c r="J2031" i="1"/>
  <c r="I2031" i="1"/>
  <c r="J2030" i="1"/>
  <c r="I2030" i="1"/>
  <c r="J2029" i="1"/>
  <c r="I2029" i="1"/>
  <c r="J2028" i="1"/>
  <c r="I2028" i="1"/>
  <c r="J2027" i="1"/>
  <c r="I2027" i="1"/>
  <c r="J2026" i="1"/>
  <c r="I2026" i="1"/>
  <c r="J2025" i="1"/>
  <c r="I2025" i="1"/>
  <c r="J2024" i="1"/>
  <c r="I2024" i="1"/>
  <c r="J2023" i="1"/>
  <c r="I2023" i="1"/>
  <c r="J2022" i="1"/>
  <c r="I2022" i="1"/>
  <c r="J2021" i="1"/>
  <c r="I2021" i="1"/>
  <c r="J2020" i="1"/>
  <c r="I2020" i="1"/>
  <c r="J2019" i="1"/>
  <c r="I2019" i="1"/>
  <c r="J2018" i="1"/>
  <c r="I2018" i="1"/>
  <c r="J2017" i="1"/>
  <c r="I2017" i="1"/>
  <c r="J2016" i="1"/>
  <c r="I2016" i="1"/>
  <c r="J2015" i="1"/>
  <c r="I2015" i="1"/>
  <c r="J2014" i="1"/>
  <c r="I2014" i="1"/>
  <c r="J2013" i="1"/>
  <c r="I2013" i="1"/>
  <c r="J2012" i="1"/>
  <c r="I2012" i="1"/>
  <c r="J2011" i="1"/>
  <c r="I2011" i="1"/>
  <c r="J2010" i="1"/>
  <c r="I2010" i="1"/>
  <c r="J2009" i="1"/>
  <c r="I2009" i="1"/>
  <c r="J2008" i="1"/>
  <c r="I2008" i="1"/>
  <c r="J2007" i="1"/>
  <c r="I2007" i="1"/>
  <c r="J2006" i="1"/>
  <c r="I2006" i="1"/>
  <c r="J2005" i="1"/>
  <c r="I2005" i="1"/>
  <c r="J2004" i="1"/>
  <c r="I2004" i="1"/>
  <c r="J2003" i="1"/>
  <c r="I2003" i="1"/>
  <c r="J2002" i="1"/>
  <c r="I2002" i="1"/>
  <c r="J2001" i="1"/>
  <c r="I2001" i="1"/>
  <c r="J2000" i="1"/>
  <c r="I2000" i="1"/>
  <c r="J1999" i="1"/>
  <c r="I1999" i="1"/>
  <c r="J1998" i="1"/>
  <c r="I1998" i="1"/>
  <c r="J1997" i="1"/>
  <c r="I1997" i="1"/>
  <c r="J1996" i="1"/>
  <c r="I1996" i="1"/>
  <c r="J1995" i="1"/>
  <c r="I1995" i="1"/>
  <c r="J1994" i="1"/>
  <c r="I1994" i="1"/>
  <c r="J1993" i="1"/>
  <c r="I1993" i="1"/>
  <c r="J1992" i="1"/>
  <c r="I1992" i="1"/>
  <c r="J1991" i="1"/>
  <c r="I1991" i="1"/>
  <c r="J1990" i="1"/>
  <c r="I1990" i="1"/>
  <c r="J1989" i="1"/>
  <c r="I1989" i="1"/>
  <c r="J1988" i="1"/>
  <c r="I1988" i="1"/>
  <c r="J1987" i="1"/>
  <c r="I1987" i="1"/>
  <c r="J1986" i="1"/>
  <c r="I1986" i="1"/>
  <c r="J1985" i="1"/>
  <c r="I1985" i="1"/>
  <c r="J1984" i="1"/>
  <c r="I1984" i="1"/>
  <c r="J1983" i="1"/>
  <c r="I1983" i="1"/>
  <c r="J1982" i="1"/>
  <c r="I1982" i="1"/>
  <c r="J1981" i="1"/>
  <c r="I1981" i="1"/>
  <c r="J1980" i="1"/>
  <c r="I1980" i="1"/>
  <c r="J1979" i="1"/>
  <c r="I1979" i="1"/>
  <c r="J1978" i="1"/>
  <c r="I1978" i="1"/>
  <c r="J1977" i="1"/>
  <c r="I1977" i="1"/>
  <c r="J1976" i="1"/>
  <c r="I1976" i="1"/>
  <c r="J1975" i="1"/>
  <c r="I1975" i="1"/>
  <c r="J1974" i="1"/>
  <c r="I1974" i="1"/>
  <c r="J1973" i="1"/>
  <c r="I1973" i="1"/>
  <c r="J1972" i="1"/>
  <c r="I1972" i="1"/>
  <c r="J1971" i="1"/>
  <c r="I1971" i="1"/>
  <c r="J1970" i="1"/>
  <c r="I1970" i="1"/>
  <c r="J1969" i="1"/>
  <c r="I1969" i="1"/>
  <c r="J1968" i="1"/>
  <c r="I1968" i="1"/>
  <c r="J1967" i="1"/>
  <c r="I1967" i="1"/>
  <c r="J1966" i="1"/>
  <c r="I1966" i="1"/>
  <c r="J1965" i="1"/>
  <c r="I1965" i="1"/>
  <c r="J1964" i="1"/>
  <c r="I1964" i="1"/>
  <c r="J1963" i="1"/>
  <c r="I1963" i="1"/>
  <c r="J1962" i="1"/>
  <c r="I1962" i="1"/>
  <c r="J1961" i="1"/>
  <c r="I1961" i="1"/>
  <c r="J1960" i="1"/>
  <c r="I1960" i="1"/>
  <c r="J1959" i="1"/>
  <c r="I1959" i="1"/>
  <c r="J1958" i="1"/>
  <c r="I1958" i="1"/>
  <c r="J1957" i="1"/>
  <c r="I1957" i="1"/>
  <c r="J1956" i="1"/>
  <c r="I1956" i="1"/>
  <c r="J1955" i="1"/>
  <c r="I1955" i="1"/>
  <c r="J1954" i="1"/>
  <c r="I1954" i="1"/>
  <c r="J1953" i="1"/>
  <c r="I1953" i="1"/>
  <c r="J1952" i="1"/>
  <c r="I1952" i="1"/>
  <c r="J1951" i="1"/>
  <c r="I1951" i="1"/>
  <c r="J1950" i="1"/>
  <c r="I1950" i="1"/>
  <c r="J1949" i="1"/>
  <c r="I1949" i="1"/>
  <c r="J1948" i="1"/>
  <c r="I1948" i="1"/>
  <c r="J1947" i="1"/>
  <c r="I1947" i="1"/>
  <c r="J1946" i="1"/>
  <c r="I1946" i="1"/>
  <c r="J1945" i="1"/>
  <c r="I1945" i="1"/>
  <c r="J1944" i="1"/>
  <c r="I1944" i="1"/>
  <c r="J1943" i="1"/>
  <c r="I1943" i="1"/>
  <c r="J1942" i="1"/>
  <c r="I1942" i="1"/>
  <c r="J1941" i="1"/>
  <c r="I1941" i="1"/>
  <c r="J1940" i="1"/>
  <c r="I1940" i="1"/>
  <c r="J1939" i="1"/>
  <c r="I1939" i="1"/>
  <c r="J1938" i="1"/>
  <c r="I1938" i="1"/>
  <c r="J1937" i="1"/>
  <c r="I1937" i="1"/>
  <c r="J1936" i="1"/>
  <c r="I1936" i="1"/>
  <c r="J1935" i="1"/>
  <c r="I1935" i="1"/>
  <c r="J1934" i="1"/>
  <c r="I1934" i="1"/>
  <c r="J1933" i="1"/>
  <c r="I1933" i="1"/>
  <c r="J1932" i="1"/>
  <c r="I1932" i="1"/>
  <c r="J1931" i="1"/>
  <c r="I1931" i="1"/>
  <c r="J1930" i="1"/>
  <c r="I1930" i="1"/>
  <c r="J1929" i="1"/>
  <c r="I1929" i="1"/>
  <c r="J1928" i="1"/>
  <c r="I1928" i="1"/>
  <c r="J1927" i="1"/>
  <c r="I1927" i="1"/>
  <c r="J1926" i="1"/>
  <c r="I1926" i="1"/>
  <c r="J1925" i="1"/>
  <c r="I1925" i="1"/>
  <c r="J1924" i="1"/>
  <c r="I1924" i="1"/>
  <c r="J1923" i="1"/>
  <c r="I1923" i="1"/>
  <c r="J1922" i="1"/>
  <c r="I1922" i="1"/>
  <c r="J1921" i="1"/>
  <c r="I1921" i="1"/>
  <c r="J1920" i="1"/>
  <c r="I1920" i="1"/>
  <c r="J1919" i="1"/>
  <c r="I1919" i="1"/>
  <c r="J1918" i="1"/>
  <c r="I1918" i="1"/>
  <c r="J1917" i="1"/>
  <c r="I1917" i="1"/>
  <c r="J1916" i="1"/>
  <c r="I1916" i="1"/>
  <c r="J1915" i="1"/>
  <c r="I1915" i="1"/>
  <c r="J1914" i="1"/>
  <c r="I1914" i="1"/>
  <c r="J1913" i="1"/>
  <c r="I1913" i="1"/>
  <c r="J1912" i="1"/>
  <c r="I1912" i="1"/>
  <c r="J1911" i="1"/>
  <c r="I1911" i="1"/>
  <c r="J1910" i="1"/>
  <c r="I1910" i="1"/>
  <c r="J1909" i="1"/>
  <c r="I1909" i="1"/>
  <c r="J1908" i="1"/>
  <c r="I1908" i="1"/>
  <c r="J1907" i="1"/>
  <c r="I1907" i="1"/>
  <c r="J1906" i="1"/>
  <c r="I1906" i="1"/>
  <c r="J1905" i="1"/>
  <c r="I1905" i="1"/>
  <c r="J1904" i="1"/>
  <c r="I1904" i="1"/>
  <c r="J1903" i="1"/>
  <c r="I1903" i="1"/>
  <c r="J1902" i="1"/>
  <c r="I1902" i="1"/>
  <c r="J1901" i="1"/>
  <c r="I1901" i="1"/>
  <c r="J1900" i="1"/>
  <c r="I1900" i="1"/>
  <c r="J1899" i="1"/>
  <c r="I1899" i="1"/>
  <c r="J1898" i="1"/>
  <c r="I1898" i="1"/>
  <c r="J1897" i="1"/>
  <c r="I1897" i="1"/>
  <c r="J1896" i="1"/>
  <c r="I1896" i="1"/>
  <c r="J1895" i="1"/>
  <c r="I1895" i="1"/>
  <c r="J1894" i="1"/>
  <c r="I1894" i="1"/>
  <c r="J1893" i="1"/>
  <c r="I1893" i="1"/>
  <c r="J1892" i="1"/>
  <c r="I1892" i="1"/>
  <c r="J1891" i="1"/>
  <c r="I1891" i="1"/>
  <c r="J1890" i="1"/>
  <c r="I1890" i="1"/>
  <c r="J1889" i="1"/>
  <c r="I1889" i="1"/>
  <c r="J1888" i="1"/>
  <c r="I1888" i="1"/>
  <c r="J1887" i="1"/>
  <c r="I1887" i="1"/>
  <c r="J1886" i="1"/>
  <c r="I1886" i="1"/>
  <c r="J1885" i="1"/>
  <c r="I1885" i="1"/>
  <c r="J1884" i="1"/>
  <c r="I1884" i="1"/>
  <c r="J1883" i="1"/>
  <c r="I1883" i="1"/>
  <c r="J1882" i="1"/>
  <c r="I1882" i="1"/>
  <c r="J1881" i="1"/>
  <c r="I1881" i="1"/>
  <c r="J1880" i="1"/>
  <c r="I1880" i="1"/>
  <c r="J1879" i="1"/>
  <c r="I1879" i="1"/>
  <c r="J1878" i="1"/>
  <c r="I1878" i="1"/>
  <c r="J1877" i="1"/>
  <c r="I1877" i="1"/>
  <c r="J1876" i="1"/>
  <c r="I1876" i="1"/>
  <c r="J1875" i="1"/>
  <c r="I1875" i="1"/>
  <c r="J1874" i="1"/>
  <c r="I1874" i="1"/>
  <c r="J1873" i="1"/>
  <c r="I1873" i="1"/>
  <c r="J1872" i="1"/>
  <c r="I1872" i="1"/>
  <c r="J1871" i="1"/>
  <c r="I1871" i="1"/>
  <c r="J1870" i="1"/>
  <c r="I1870" i="1"/>
  <c r="J1869" i="1"/>
  <c r="I1869" i="1"/>
  <c r="J1868" i="1"/>
  <c r="I1868" i="1"/>
  <c r="J1867" i="1"/>
  <c r="I1867" i="1"/>
  <c r="J1866" i="1"/>
  <c r="I1866" i="1"/>
  <c r="J1865" i="1"/>
  <c r="I1865" i="1"/>
  <c r="J1864" i="1"/>
  <c r="I1864" i="1"/>
  <c r="J1863" i="1"/>
  <c r="I1863" i="1"/>
  <c r="J1862" i="1"/>
  <c r="I1862" i="1"/>
  <c r="J1861" i="1"/>
  <c r="I1861" i="1"/>
  <c r="J1860" i="1"/>
  <c r="I1860" i="1"/>
  <c r="J1859" i="1"/>
  <c r="I1859" i="1"/>
  <c r="J1858" i="1"/>
  <c r="I1858" i="1"/>
  <c r="J1857" i="1"/>
  <c r="I1857" i="1"/>
  <c r="J1856" i="1"/>
  <c r="I1856" i="1"/>
  <c r="J1855" i="1"/>
  <c r="I1855" i="1"/>
  <c r="J1854" i="1"/>
  <c r="I1854" i="1"/>
  <c r="J1853" i="1"/>
  <c r="I1853" i="1"/>
  <c r="J1852" i="1"/>
  <c r="I1852" i="1"/>
  <c r="J1851" i="1"/>
  <c r="I1851" i="1"/>
  <c r="J1850" i="1"/>
  <c r="I1850" i="1"/>
  <c r="J1849" i="1"/>
  <c r="I1849" i="1"/>
  <c r="J1848" i="1"/>
  <c r="I1848" i="1"/>
  <c r="J1847" i="1"/>
  <c r="I1847" i="1"/>
  <c r="J1846" i="1"/>
  <c r="I1846" i="1"/>
  <c r="J1845" i="1"/>
  <c r="I1845" i="1"/>
  <c r="J1844" i="1"/>
  <c r="I1844" i="1"/>
  <c r="J1843" i="1"/>
  <c r="I1843" i="1"/>
  <c r="J1842" i="1"/>
  <c r="I1842" i="1"/>
  <c r="J1841" i="1"/>
  <c r="I1841" i="1"/>
  <c r="J1840" i="1"/>
  <c r="I1840" i="1"/>
  <c r="J1839" i="1"/>
  <c r="I1839" i="1"/>
  <c r="J1838" i="1"/>
  <c r="I1838" i="1"/>
  <c r="J1837" i="1"/>
  <c r="I1837" i="1"/>
  <c r="J1836" i="1"/>
  <c r="I1836" i="1"/>
  <c r="J1835" i="1"/>
  <c r="I1835" i="1"/>
  <c r="J1834" i="1"/>
  <c r="I1834" i="1"/>
  <c r="J1833" i="1"/>
  <c r="I1833" i="1"/>
  <c r="J1832" i="1"/>
  <c r="I1832" i="1"/>
  <c r="J1831" i="1"/>
  <c r="I1831" i="1"/>
  <c r="J1830" i="1"/>
  <c r="I1830" i="1"/>
  <c r="J1829" i="1"/>
  <c r="I1829" i="1"/>
  <c r="J1828" i="1"/>
  <c r="I1828" i="1"/>
  <c r="J1827" i="1"/>
  <c r="I1827" i="1"/>
  <c r="J1826" i="1"/>
  <c r="I1826" i="1"/>
  <c r="J1825" i="1"/>
  <c r="I1825" i="1"/>
  <c r="J1824" i="1"/>
  <c r="I1824" i="1"/>
  <c r="J1823" i="1"/>
  <c r="I1823" i="1"/>
  <c r="J1822" i="1"/>
  <c r="I1822" i="1"/>
  <c r="J1821" i="1"/>
  <c r="I1821" i="1"/>
  <c r="J1820" i="1"/>
  <c r="I1820" i="1"/>
  <c r="J1819" i="1"/>
  <c r="I1819" i="1"/>
  <c r="J1818" i="1"/>
  <c r="I1818" i="1"/>
  <c r="J1817" i="1"/>
  <c r="I1817" i="1"/>
  <c r="J1816" i="1"/>
  <c r="I1816" i="1"/>
  <c r="J1815" i="1"/>
  <c r="I1815" i="1"/>
  <c r="J1814" i="1"/>
  <c r="I1814" i="1"/>
  <c r="J1813" i="1"/>
  <c r="I1813" i="1"/>
  <c r="J1812" i="1"/>
  <c r="I1812" i="1"/>
  <c r="J1811" i="1"/>
  <c r="I1811" i="1"/>
  <c r="J1810" i="1"/>
  <c r="I1810" i="1"/>
  <c r="J1809" i="1"/>
  <c r="I1809" i="1"/>
  <c r="J1808" i="1"/>
  <c r="I1808" i="1"/>
  <c r="J1807" i="1"/>
  <c r="I1807" i="1"/>
  <c r="J1806" i="1"/>
  <c r="I1806" i="1"/>
  <c r="J1805" i="1"/>
  <c r="I1805" i="1"/>
  <c r="J1804" i="1"/>
  <c r="I1804" i="1"/>
  <c r="J1803" i="1"/>
  <c r="I1803" i="1"/>
  <c r="J1802" i="1"/>
  <c r="I1802" i="1"/>
  <c r="J1801" i="1"/>
  <c r="I1801" i="1"/>
  <c r="J1800" i="1"/>
  <c r="I1800" i="1"/>
  <c r="J1799" i="1"/>
  <c r="I1799" i="1"/>
  <c r="J1798" i="1"/>
  <c r="I1798" i="1"/>
  <c r="J1797" i="1"/>
  <c r="I1797" i="1"/>
  <c r="J1796" i="1"/>
  <c r="I1796" i="1"/>
  <c r="J1795" i="1"/>
  <c r="I1795" i="1"/>
  <c r="J1794" i="1"/>
  <c r="I1794" i="1"/>
  <c r="J1793" i="1"/>
  <c r="I1793" i="1"/>
  <c r="J1792" i="1"/>
  <c r="I1792" i="1"/>
  <c r="J1791" i="1"/>
  <c r="I1791" i="1"/>
  <c r="J1790" i="1"/>
  <c r="I1790" i="1"/>
  <c r="J1789" i="1"/>
  <c r="I1789" i="1"/>
  <c r="J1788" i="1"/>
  <c r="I1788" i="1"/>
  <c r="J1787" i="1"/>
  <c r="I1787" i="1"/>
  <c r="J1786" i="1"/>
  <c r="I1786" i="1"/>
  <c r="J1785" i="1"/>
  <c r="I1785" i="1"/>
  <c r="J1784" i="1"/>
  <c r="I1784" i="1"/>
  <c r="J1783" i="1"/>
  <c r="I1783" i="1"/>
  <c r="J1782" i="1"/>
  <c r="I1782" i="1"/>
  <c r="J1781" i="1"/>
  <c r="I1781" i="1"/>
  <c r="J1780" i="1"/>
  <c r="I1780" i="1"/>
  <c r="J1779" i="1"/>
  <c r="I1779" i="1"/>
  <c r="J1778" i="1"/>
  <c r="I1778" i="1"/>
  <c r="J1777" i="1"/>
  <c r="I1777" i="1"/>
  <c r="J1776" i="1"/>
  <c r="I1776" i="1"/>
  <c r="J1775" i="1"/>
  <c r="I1775" i="1"/>
  <c r="J1774" i="1"/>
  <c r="I1774" i="1"/>
  <c r="J1773" i="1"/>
  <c r="I1773" i="1"/>
  <c r="J1772" i="1"/>
  <c r="I1772" i="1"/>
  <c r="J1771" i="1"/>
  <c r="I1771" i="1"/>
  <c r="J1770" i="1"/>
  <c r="I1770" i="1"/>
  <c r="J1769" i="1"/>
  <c r="I1769" i="1"/>
  <c r="J1768" i="1"/>
  <c r="I1768" i="1"/>
  <c r="J1767" i="1"/>
  <c r="I1767" i="1"/>
  <c r="J1766" i="1"/>
  <c r="I1766" i="1"/>
  <c r="J1765" i="1"/>
  <c r="I1765" i="1"/>
  <c r="J1764" i="1"/>
  <c r="I1764" i="1"/>
  <c r="J1763" i="1"/>
  <c r="I1763" i="1"/>
  <c r="J1762" i="1"/>
  <c r="I1762" i="1"/>
  <c r="J1761" i="1"/>
  <c r="I1761" i="1"/>
  <c r="J1760" i="1"/>
  <c r="I1760" i="1"/>
  <c r="J1759" i="1"/>
  <c r="I1759" i="1"/>
  <c r="J1758" i="1"/>
  <c r="I1758" i="1"/>
  <c r="J1757" i="1"/>
  <c r="I1757" i="1"/>
  <c r="J1756" i="1"/>
  <c r="I1756" i="1"/>
  <c r="J1755" i="1"/>
  <c r="I1755" i="1"/>
  <c r="J1754" i="1"/>
  <c r="I1754" i="1"/>
  <c r="J1753" i="1"/>
  <c r="I1753" i="1"/>
  <c r="J1752" i="1"/>
  <c r="I1752" i="1"/>
  <c r="J1751" i="1"/>
  <c r="I1751" i="1"/>
  <c r="J1750" i="1"/>
  <c r="I1750" i="1"/>
  <c r="J1749" i="1"/>
  <c r="I1749" i="1"/>
  <c r="J1748" i="1"/>
  <c r="I1748" i="1"/>
  <c r="J1747" i="1"/>
  <c r="I1747" i="1"/>
  <c r="J1746" i="1"/>
  <c r="I1746" i="1"/>
  <c r="J1745" i="1"/>
  <c r="I1745" i="1"/>
  <c r="J1744" i="1"/>
  <c r="I1744" i="1"/>
  <c r="J1743" i="1"/>
  <c r="I1743" i="1"/>
  <c r="J1742" i="1"/>
  <c r="I1742" i="1"/>
  <c r="J1741" i="1"/>
  <c r="I1741" i="1"/>
  <c r="J1740" i="1"/>
  <c r="I1740" i="1"/>
  <c r="J1739" i="1"/>
  <c r="I1739" i="1"/>
  <c r="J1738" i="1"/>
  <c r="I1738" i="1"/>
  <c r="J1737" i="1"/>
  <c r="I1737" i="1"/>
  <c r="J1736" i="1"/>
  <c r="I1736" i="1"/>
  <c r="J1735" i="1"/>
  <c r="I1735" i="1"/>
  <c r="J1734" i="1"/>
  <c r="I1734" i="1"/>
  <c r="J1733" i="1"/>
  <c r="I1733" i="1"/>
  <c r="J1732" i="1"/>
  <c r="I1732" i="1"/>
  <c r="J1731" i="1"/>
  <c r="I1731" i="1"/>
  <c r="J1730" i="1"/>
  <c r="I1730" i="1"/>
  <c r="J1729" i="1"/>
  <c r="I1729" i="1"/>
  <c r="J1728" i="1"/>
  <c r="I1728" i="1"/>
  <c r="J1727" i="1"/>
  <c r="I1727" i="1"/>
  <c r="J1726" i="1"/>
  <c r="I1726" i="1"/>
  <c r="J1725" i="1"/>
  <c r="I1725" i="1"/>
  <c r="J1724" i="1"/>
  <c r="I1724" i="1"/>
  <c r="J1723" i="1"/>
  <c r="I1723" i="1"/>
  <c r="J1722" i="1"/>
  <c r="I1722" i="1"/>
  <c r="J1721" i="1"/>
  <c r="I1721" i="1"/>
  <c r="J1720" i="1"/>
  <c r="I1720" i="1"/>
  <c r="J1719" i="1"/>
  <c r="I1719" i="1"/>
  <c r="J1718" i="1"/>
  <c r="I1718" i="1"/>
  <c r="J1717" i="1"/>
  <c r="I1717" i="1"/>
  <c r="J1716" i="1"/>
  <c r="I1716" i="1"/>
  <c r="J1715" i="1"/>
  <c r="I1715" i="1"/>
  <c r="J1714" i="1"/>
  <c r="I1714" i="1"/>
  <c r="J1713" i="1"/>
  <c r="I1713" i="1"/>
  <c r="J1712" i="1"/>
  <c r="I1712" i="1"/>
  <c r="J1711" i="1"/>
  <c r="I1711" i="1"/>
  <c r="J1710" i="1"/>
  <c r="I1710" i="1"/>
  <c r="J1709" i="1"/>
  <c r="I1709" i="1"/>
  <c r="J1708" i="1"/>
  <c r="I1708" i="1"/>
  <c r="J1707" i="1"/>
  <c r="I1707" i="1"/>
  <c r="J1706" i="1"/>
  <c r="I1706" i="1"/>
  <c r="J1705" i="1"/>
  <c r="I1705" i="1"/>
  <c r="J1704" i="1"/>
  <c r="I1704" i="1"/>
  <c r="J1703" i="1"/>
  <c r="I1703" i="1"/>
  <c r="J1702" i="1"/>
  <c r="I1702" i="1"/>
  <c r="J1701" i="1"/>
  <c r="I1701" i="1"/>
  <c r="J1700" i="1"/>
  <c r="I1700" i="1"/>
  <c r="J1699" i="1"/>
  <c r="I1699" i="1"/>
  <c r="J1698" i="1"/>
  <c r="I1698" i="1"/>
  <c r="J1697" i="1"/>
  <c r="I1697" i="1"/>
  <c r="J1696" i="1"/>
  <c r="I1696" i="1"/>
  <c r="J1695" i="1"/>
  <c r="I1695" i="1"/>
  <c r="J1694" i="1"/>
  <c r="I1694" i="1"/>
  <c r="J1693" i="1"/>
  <c r="I1693" i="1"/>
  <c r="J1692" i="1"/>
  <c r="I1692" i="1"/>
  <c r="J1691" i="1"/>
  <c r="I1691" i="1"/>
  <c r="J1690" i="1"/>
  <c r="I1690" i="1"/>
  <c r="J1689" i="1"/>
  <c r="I1689" i="1"/>
  <c r="J1688" i="1"/>
  <c r="I1688" i="1"/>
  <c r="J1687" i="1"/>
  <c r="I1687" i="1"/>
  <c r="J1686" i="1"/>
  <c r="I1686" i="1"/>
  <c r="J1685" i="1"/>
  <c r="I1685" i="1"/>
  <c r="J1684" i="1"/>
  <c r="I1684" i="1"/>
  <c r="J1683" i="1"/>
  <c r="I1683" i="1"/>
  <c r="J1682" i="1"/>
  <c r="I1682" i="1"/>
  <c r="J1681" i="1"/>
  <c r="I1681" i="1"/>
  <c r="J1680" i="1"/>
  <c r="I1680" i="1"/>
  <c r="J1679" i="1"/>
  <c r="I1679" i="1"/>
  <c r="J1678" i="1"/>
  <c r="I1678" i="1"/>
  <c r="J1677" i="1"/>
  <c r="I1677" i="1"/>
  <c r="J1676" i="1"/>
  <c r="I1676" i="1"/>
  <c r="J1675" i="1"/>
  <c r="I1675" i="1"/>
  <c r="J1674" i="1"/>
  <c r="I1674" i="1"/>
  <c r="J1673" i="1"/>
  <c r="I1673" i="1"/>
  <c r="J1672" i="1"/>
  <c r="I1672" i="1"/>
  <c r="J1671" i="1"/>
  <c r="I1671" i="1"/>
  <c r="J1670" i="1"/>
  <c r="I1670" i="1"/>
  <c r="J1669" i="1"/>
  <c r="I1669" i="1"/>
  <c r="J1668" i="1"/>
  <c r="I1668" i="1"/>
  <c r="J1667" i="1"/>
  <c r="I1667" i="1"/>
  <c r="J1666" i="1"/>
  <c r="I1666" i="1"/>
  <c r="J1665" i="1"/>
  <c r="I1665" i="1"/>
  <c r="J1664" i="1"/>
  <c r="I1664" i="1"/>
  <c r="J1663" i="1"/>
  <c r="I1663" i="1"/>
  <c r="J1662" i="1"/>
  <c r="I1662" i="1"/>
  <c r="J1661" i="1"/>
  <c r="I1661" i="1"/>
  <c r="J1660" i="1"/>
  <c r="I1660" i="1"/>
  <c r="J1659" i="1"/>
  <c r="I1659" i="1"/>
  <c r="J1658" i="1"/>
  <c r="I1658" i="1"/>
  <c r="J1657" i="1"/>
  <c r="I1657" i="1"/>
  <c r="J1656" i="1"/>
  <c r="I1656" i="1"/>
  <c r="J1655" i="1"/>
  <c r="I1655" i="1"/>
  <c r="J1654" i="1"/>
  <c r="I1654" i="1"/>
  <c r="J1653" i="1"/>
  <c r="I1653" i="1"/>
  <c r="J1652" i="1"/>
  <c r="I1652" i="1"/>
  <c r="J1651" i="1"/>
  <c r="I1651" i="1"/>
  <c r="J1650" i="1"/>
  <c r="I1650" i="1"/>
  <c r="J1649" i="1"/>
  <c r="I1649" i="1"/>
  <c r="J1648" i="1"/>
  <c r="I1648" i="1"/>
  <c r="J1647" i="1"/>
  <c r="I1647" i="1"/>
  <c r="J1646" i="1"/>
  <c r="I1646" i="1"/>
  <c r="J1645" i="1"/>
  <c r="I1645" i="1"/>
  <c r="J1644" i="1"/>
  <c r="I1644" i="1"/>
  <c r="J1643" i="1"/>
  <c r="I1643" i="1"/>
  <c r="J1642" i="1"/>
  <c r="I1642" i="1"/>
  <c r="J1641" i="1"/>
  <c r="I1641" i="1"/>
  <c r="J1640" i="1"/>
  <c r="I1640" i="1"/>
  <c r="J1639" i="1"/>
  <c r="I1639" i="1"/>
  <c r="J1638" i="1"/>
  <c r="I1638" i="1"/>
  <c r="J1637" i="1"/>
  <c r="I1637" i="1"/>
  <c r="J1636" i="1"/>
  <c r="I1636" i="1"/>
  <c r="J1635" i="1"/>
  <c r="I1635" i="1"/>
  <c r="J1634" i="1"/>
  <c r="I1634" i="1"/>
  <c r="J1633" i="1"/>
  <c r="I1633" i="1"/>
  <c r="J1632" i="1"/>
  <c r="I1632" i="1"/>
  <c r="J1631" i="1"/>
  <c r="I1631" i="1"/>
  <c r="J1630" i="1"/>
  <c r="I1630" i="1"/>
  <c r="J1629" i="1"/>
  <c r="I1629" i="1"/>
  <c r="J1628" i="1"/>
  <c r="I1628" i="1"/>
  <c r="J1627" i="1"/>
  <c r="I1627" i="1"/>
  <c r="J1626" i="1"/>
  <c r="I1626" i="1"/>
  <c r="J1625" i="1"/>
  <c r="I1625" i="1"/>
  <c r="J1624" i="1"/>
  <c r="I1624" i="1"/>
  <c r="J1623" i="1"/>
  <c r="I1623" i="1"/>
  <c r="J1622" i="1"/>
  <c r="I1622" i="1"/>
  <c r="J1621" i="1"/>
  <c r="I1621" i="1"/>
  <c r="J1620" i="1"/>
  <c r="I1620" i="1"/>
  <c r="J1619" i="1"/>
  <c r="I1619" i="1"/>
  <c r="J1618" i="1"/>
  <c r="I1618" i="1"/>
  <c r="J1617" i="1"/>
  <c r="I1617" i="1"/>
  <c r="J1616" i="1"/>
  <c r="I1616" i="1"/>
  <c r="J1615" i="1"/>
  <c r="I1615" i="1"/>
  <c r="J1614" i="1"/>
  <c r="I1614" i="1"/>
  <c r="J1613" i="1"/>
  <c r="I1613" i="1"/>
  <c r="J1612" i="1"/>
  <c r="I1612" i="1"/>
  <c r="J1611" i="1"/>
  <c r="I1611" i="1"/>
  <c r="J1610" i="1"/>
  <c r="I1610" i="1"/>
  <c r="J1609" i="1"/>
  <c r="I1609" i="1"/>
  <c r="J1608" i="1"/>
  <c r="I1608" i="1"/>
  <c r="J1607" i="1"/>
  <c r="I1607" i="1"/>
  <c r="J1606" i="1"/>
  <c r="I1606" i="1"/>
  <c r="J1605" i="1"/>
  <c r="I1605" i="1"/>
  <c r="J1604" i="1"/>
  <c r="I1604" i="1"/>
  <c r="J1603" i="1"/>
  <c r="I1603" i="1"/>
  <c r="J1602" i="1"/>
  <c r="I1602" i="1"/>
  <c r="J1601" i="1"/>
  <c r="I1601" i="1"/>
  <c r="J1600" i="1"/>
  <c r="I1600" i="1"/>
  <c r="J1599" i="1"/>
  <c r="I1599" i="1"/>
  <c r="J1598" i="1"/>
  <c r="I1598" i="1"/>
  <c r="J1597" i="1"/>
  <c r="I1597" i="1"/>
  <c r="J1596" i="1"/>
  <c r="I1596" i="1"/>
  <c r="J1595" i="1"/>
  <c r="I1595" i="1"/>
  <c r="J1594" i="1"/>
  <c r="I1594" i="1"/>
  <c r="J1593" i="1"/>
  <c r="I1593" i="1"/>
  <c r="J1592" i="1"/>
  <c r="I1592" i="1"/>
  <c r="J1591" i="1"/>
  <c r="I1591" i="1"/>
  <c r="J1590" i="1"/>
  <c r="I1590" i="1"/>
  <c r="J1589" i="1"/>
  <c r="I1589" i="1"/>
  <c r="J1588" i="1"/>
  <c r="I1588" i="1"/>
  <c r="J1587" i="1"/>
  <c r="I1587" i="1"/>
  <c r="J1586" i="1"/>
  <c r="I1586" i="1"/>
  <c r="J1585" i="1"/>
  <c r="I1585" i="1"/>
  <c r="J1584" i="1"/>
  <c r="I1584" i="1"/>
  <c r="J1583" i="1"/>
  <c r="I1583" i="1"/>
  <c r="J1582" i="1"/>
  <c r="I1582" i="1"/>
  <c r="J1581" i="1"/>
  <c r="I1581" i="1"/>
  <c r="J1580" i="1"/>
  <c r="I1580" i="1"/>
  <c r="J1579" i="1"/>
  <c r="I1579" i="1"/>
  <c r="J1578" i="1"/>
  <c r="I1578" i="1"/>
  <c r="J1577" i="1"/>
  <c r="I1577" i="1"/>
  <c r="J1576" i="1"/>
  <c r="I1576" i="1"/>
  <c r="J1575" i="1"/>
  <c r="I1575" i="1"/>
  <c r="J1574" i="1"/>
  <c r="I1574" i="1"/>
  <c r="J1573" i="1"/>
  <c r="I1573" i="1"/>
  <c r="J1572" i="1"/>
  <c r="I1572" i="1"/>
  <c r="J1571" i="1"/>
  <c r="I1571" i="1"/>
  <c r="J1570" i="1"/>
  <c r="I1570" i="1"/>
  <c r="J1569" i="1"/>
  <c r="I1569" i="1"/>
  <c r="J1568" i="1"/>
  <c r="I1568" i="1"/>
  <c r="J1567" i="1"/>
  <c r="I1567" i="1"/>
  <c r="J1566" i="1"/>
  <c r="I1566" i="1"/>
  <c r="J1565" i="1"/>
  <c r="I1565" i="1"/>
  <c r="J1564" i="1"/>
  <c r="I1564" i="1"/>
  <c r="J1563" i="1"/>
  <c r="I1563" i="1"/>
  <c r="J1562" i="1"/>
  <c r="I1562" i="1"/>
  <c r="J1561" i="1"/>
  <c r="I1561" i="1"/>
  <c r="J1560" i="1"/>
  <c r="I1560" i="1"/>
  <c r="J1559" i="1"/>
  <c r="I1559" i="1"/>
  <c r="J1558" i="1"/>
  <c r="I1558" i="1"/>
  <c r="J1557" i="1"/>
  <c r="I1557" i="1"/>
  <c r="J1556" i="1"/>
  <c r="I1556" i="1"/>
  <c r="J1555" i="1"/>
  <c r="I1555" i="1"/>
  <c r="J1554" i="1"/>
  <c r="I1554" i="1"/>
  <c r="J1553" i="1"/>
  <c r="I1553" i="1"/>
  <c r="J1552" i="1"/>
  <c r="I1552" i="1"/>
  <c r="J1551" i="1"/>
  <c r="I1551" i="1"/>
  <c r="J1550" i="1"/>
  <c r="I1550" i="1"/>
  <c r="J1549" i="1"/>
  <c r="I1549" i="1"/>
  <c r="J1548" i="1"/>
  <c r="I1548" i="1"/>
  <c r="J1547" i="1"/>
  <c r="I1547" i="1"/>
  <c r="J1546" i="1"/>
  <c r="I1546" i="1"/>
  <c r="J1545" i="1"/>
  <c r="I1545" i="1"/>
  <c r="J1544" i="1"/>
  <c r="I1544" i="1"/>
  <c r="J1543" i="1"/>
  <c r="I1543" i="1"/>
  <c r="J1542" i="1"/>
  <c r="I1542" i="1"/>
  <c r="J1541" i="1"/>
  <c r="I1541" i="1"/>
  <c r="J1540" i="1"/>
  <c r="I1540" i="1"/>
  <c r="J1539" i="1"/>
  <c r="I1539" i="1"/>
  <c r="J1538" i="1"/>
  <c r="I1538" i="1"/>
  <c r="J1537" i="1"/>
  <c r="I1537" i="1"/>
  <c r="J1536" i="1"/>
  <c r="I1536" i="1"/>
  <c r="J1535" i="1"/>
  <c r="I1535" i="1"/>
  <c r="J1534" i="1"/>
  <c r="I1534" i="1"/>
  <c r="J1533" i="1"/>
  <c r="I1533" i="1"/>
  <c r="J1532" i="1"/>
  <c r="I1532" i="1"/>
  <c r="J1531" i="1"/>
  <c r="I1531" i="1"/>
  <c r="J1530" i="1"/>
  <c r="I1530" i="1"/>
  <c r="J1529" i="1"/>
  <c r="I1529" i="1"/>
  <c r="J1528" i="1"/>
  <c r="I1528" i="1"/>
  <c r="J1527" i="1"/>
  <c r="I1527" i="1"/>
  <c r="J1526" i="1"/>
  <c r="I1526" i="1"/>
  <c r="J1525" i="1"/>
  <c r="I1525" i="1"/>
  <c r="J1524" i="1"/>
  <c r="I1524" i="1"/>
  <c r="J1523" i="1"/>
  <c r="I1523" i="1"/>
  <c r="J1522" i="1"/>
  <c r="I1522" i="1"/>
  <c r="J1521" i="1"/>
  <c r="I1521" i="1"/>
  <c r="J1520" i="1"/>
  <c r="I1520" i="1"/>
  <c r="J1519" i="1"/>
  <c r="I1519" i="1"/>
  <c r="J1518" i="1"/>
  <c r="I1518" i="1"/>
  <c r="J1517" i="1"/>
  <c r="I1517" i="1"/>
  <c r="J1516" i="1"/>
  <c r="I1516" i="1"/>
  <c r="J1515" i="1"/>
  <c r="I1515" i="1"/>
  <c r="J1514" i="1"/>
  <c r="I1514" i="1"/>
  <c r="J1513" i="1"/>
  <c r="I1513" i="1"/>
  <c r="J1512" i="1"/>
  <c r="I1512" i="1"/>
  <c r="J1511" i="1"/>
  <c r="I1511" i="1"/>
  <c r="J1510" i="1"/>
  <c r="I1510" i="1"/>
  <c r="J1509" i="1"/>
  <c r="I1509" i="1"/>
  <c r="J1508" i="1"/>
  <c r="I1508" i="1"/>
  <c r="J1507" i="1"/>
  <c r="I1507" i="1"/>
  <c r="J1506" i="1"/>
  <c r="I1506" i="1"/>
  <c r="J1505" i="1"/>
  <c r="I1505" i="1"/>
  <c r="J1504" i="1"/>
  <c r="I1504" i="1"/>
  <c r="J1503" i="1"/>
  <c r="I1503" i="1"/>
  <c r="J1502" i="1"/>
  <c r="I1502" i="1"/>
  <c r="J1501" i="1"/>
  <c r="I1501" i="1"/>
  <c r="J1500" i="1"/>
  <c r="I1500" i="1"/>
  <c r="J1499" i="1"/>
  <c r="I1499" i="1"/>
  <c r="J1498" i="1"/>
  <c r="I1498" i="1"/>
  <c r="J1497" i="1"/>
  <c r="I1497" i="1"/>
  <c r="J1496" i="1"/>
  <c r="I1496" i="1"/>
  <c r="J1495" i="1"/>
  <c r="I1495" i="1"/>
  <c r="J1494" i="1"/>
  <c r="I1494" i="1"/>
  <c r="J1493" i="1"/>
  <c r="I1493" i="1"/>
  <c r="J1492" i="1"/>
  <c r="I1492" i="1"/>
  <c r="J1491" i="1"/>
  <c r="I1491" i="1"/>
  <c r="J1490" i="1"/>
  <c r="I1490" i="1"/>
  <c r="J1489" i="1"/>
  <c r="I1489" i="1"/>
  <c r="J1488" i="1"/>
  <c r="I1488" i="1"/>
  <c r="J1487" i="1"/>
  <c r="I1487" i="1"/>
  <c r="J1486" i="1"/>
  <c r="I1486" i="1"/>
  <c r="J1485" i="1"/>
  <c r="I1485" i="1"/>
  <c r="J1484" i="1"/>
  <c r="I1484" i="1"/>
  <c r="J1483" i="1"/>
  <c r="I1483" i="1"/>
  <c r="J1482" i="1"/>
  <c r="I1482" i="1"/>
  <c r="J1481" i="1"/>
  <c r="I1481" i="1"/>
  <c r="J1480" i="1"/>
  <c r="I1480" i="1"/>
  <c r="J1479" i="1"/>
  <c r="I1479" i="1"/>
  <c r="J1478" i="1"/>
  <c r="I1478" i="1"/>
  <c r="J1477" i="1"/>
  <c r="I1477" i="1"/>
  <c r="J1476" i="1"/>
  <c r="I1476" i="1"/>
  <c r="J1475" i="1"/>
  <c r="I1475" i="1"/>
  <c r="J1474" i="1"/>
  <c r="I1474" i="1"/>
  <c r="J1473" i="1"/>
  <c r="I1473" i="1"/>
  <c r="J1472" i="1"/>
  <c r="I1472" i="1"/>
  <c r="J1471" i="1"/>
  <c r="I1471" i="1"/>
  <c r="J1470" i="1"/>
  <c r="I1470" i="1"/>
  <c r="J1469" i="1"/>
  <c r="I1469" i="1"/>
  <c r="J1468" i="1"/>
  <c r="I1468" i="1"/>
  <c r="J1467" i="1"/>
  <c r="I1467" i="1"/>
  <c r="J1466" i="1"/>
  <c r="I1466" i="1"/>
  <c r="J1465" i="1"/>
  <c r="I1465" i="1"/>
  <c r="J1464" i="1"/>
  <c r="I1464" i="1"/>
  <c r="J1463" i="1"/>
  <c r="I1463" i="1"/>
  <c r="J1462" i="1"/>
  <c r="I1462" i="1"/>
  <c r="J1461" i="1"/>
  <c r="I1461" i="1"/>
  <c r="J1460" i="1"/>
  <c r="I1460" i="1"/>
  <c r="J1459" i="1"/>
  <c r="I1459" i="1"/>
  <c r="J1458" i="1"/>
  <c r="I1458" i="1"/>
  <c r="J1457" i="1"/>
  <c r="I1457" i="1"/>
  <c r="J1456" i="1"/>
  <c r="I1456" i="1"/>
  <c r="J1455" i="1"/>
  <c r="I1455" i="1"/>
  <c r="J1454" i="1"/>
  <c r="I1454" i="1"/>
  <c r="J1453" i="1"/>
  <c r="I1453" i="1"/>
  <c r="J1452" i="1"/>
  <c r="I1452" i="1"/>
  <c r="J1451" i="1"/>
  <c r="I1451" i="1"/>
  <c r="J1450" i="1"/>
  <c r="I1450" i="1"/>
  <c r="J1449" i="1"/>
  <c r="I1449" i="1"/>
  <c r="J1448" i="1"/>
  <c r="I1448" i="1"/>
  <c r="J1447" i="1"/>
  <c r="I1447" i="1"/>
  <c r="J1446" i="1"/>
  <c r="I1446" i="1"/>
  <c r="J1445" i="1"/>
  <c r="I1445" i="1"/>
  <c r="J1444" i="1"/>
  <c r="I1444" i="1"/>
  <c r="J1443" i="1"/>
  <c r="I1443" i="1"/>
  <c r="J1442" i="1"/>
  <c r="I1442" i="1"/>
  <c r="J1441" i="1"/>
  <c r="I1441" i="1"/>
  <c r="J1440" i="1"/>
  <c r="I1440" i="1"/>
  <c r="J1439" i="1"/>
  <c r="I1439" i="1"/>
  <c r="J1438" i="1"/>
  <c r="I1438" i="1"/>
  <c r="J1437" i="1"/>
  <c r="I1437" i="1"/>
  <c r="J1436" i="1"/>
  <c r="I1436" i="1"/>
  <c r="J1435" i="1"/>
  <c r="I1435" i="1"/>
  <c r="J1434" i="1"/>
  <c r="I1434" i="1"/>
  <c r="J1433" i="1"/>
  <c r="I1433" i="1"/>
  <c r="J1432" i="1"/>
  <c r="I1432" i="1"/>
  <c r="J1431" i="1"/>
  <c r="I1431" i="1"/>
  <c r="J1430" i="1"/>
  <c r="I1430" i="1"/>
  <c r="J1429" i="1"/>
  <c r="I1429" i="1"/>
  <c r="J1428" i="1"/>
  <c r="I1428" i="1"/>
  <c r="J1427" i="1"/>
  <c r="I1427" i="1"/>
  <c r="J1426" i="1"/>
  <c r="I1426" i="1"/>
  <c r="J1425" i="1"/>
  <c r="I1425" i="1"/>
  <c r="J1424" i="1"/>
  <c r="I1424" i="1"/>
  <c r="J1423" i="1"/>
  <c r="I1423" i="1"/>
  <c r="J1422" i="1"/>
  <c r="I1422" i="1"/>
  <c r="J1421" i="1"/>
  <c r="I1421" i="1"/>
  <c r="J1420" i="1"/>
  <c r="I1420" i="1"/>
  <c r="J1419" i="1"/>
  <c r="I1419" i="1"/>
  <c r="J1418" i="1"/>
  <c r="I1418" i="1"/>
  <c r="J1417" i="1"/>
  <c r="I1417" i="1"/>
  <c r="J1416" i="1"/>
  <c r="I1416" i="1"/>
  <c r="J1415" i="1"/>
  <c r="I1415" i="1"/>
  <c r="J1414" i="1"/>
  <c r="I1414" i="1"/>
  <c r="J1413" i="1"/>
  <c r="I1413" i="1"/>
  <c r="J1412" i="1"/>
  <c r="I1412" i="1"/>
  <c r="J1411" i="1"/>
  <c r="I1411" i="1"/>
  <c r="J1410" i="1"/>
  <c r="I1410" i="1"/>
  <c r="J1409" i="1"/>
  <c r="I1409" i="1"/>
  <c r="J1408" i="1"/>
  <c r="I1408" i="1"/>
  <c r="J1407" i="1"/>
  <c r="I1407" i="1"/>
  <c r="J1406" i="1"/>
  <c r="I1406" i="1"/>
  <c r="J1405" i="1"/>
  <c r="I1405" i="1"/>
  <c r="J1404" i="1"/>
  <c r="I1404" i="1"/>
  <c r="J1403" i="1"/>
  <c r="I1403" i="1"/>
  <c r="J1402" i="1"/>
  <c r="I1402" i="1"/>
  <c r="J1401" i="1"/>
  <c r="I1401" i="1"/>
  <c r="J1400" i="1"/>
  <c r="I1400" i="1"/>
  <c r="J1399" i="1"/>
  <c r="I1399" i="1"/>
  <c r="J1398" i="1"/>
  <c r="I1398" i="1"/>
  <c r="J1397" i="1"/>
  <c r="I1397" i="1"/>
  <c r="J1396" i="1"/>
  <c r="I1396" i="1"/>
  <c r="J1395" i="1"/>
  <c r="I1395" i="1"/>
  <c r="J1394" i="1"/>
  <c r="I1394" i="1"/>
  <c r="J1393" i="1"/>
  <c r="I1393" i="1"/>
  <c r="J1392" i="1"/>
  <c r="I1392" i="1"/>
  <c r="J1391" i="1"/>
  <c r="I1391" i="1"/>
  <c r="J1390" i="1"/>
  <c r="I1390" i="1"/>
  <c r="J1389" i="1"/>
  <c r="I1389" i="1"/>
  <c r="J1388" i="1"/>
  <c r="I1388" i="1"/>
  <c r="J1387" i="1"/>
  <c r="I1387" i="1"/>
  <c r="J1386" i="1"/>
  <c r="I1386" i="1"/>
  <c r="J1385" i="1"/>
  <c r="I1385" i="1"/>
  <c r="J1384" i="1"/>
  <c r="I1384" i="1"/>
  <c r="J1383" i="1"/>
  <c r="I1383" i="1"/>
  <c r="J1382" i="1"/>
  <c r="I1382" i="1"/>
  <c r="J1381" i="1"/>
  <c r="I1381" i="1"/>
  <c r="J1380" i="1"/>
  <c r="I1380" i="1"/>
  <c r="J1379" i="1"/>
  <c r="I1379" i="1"/>
  <c r="J1378" i="1"/>
  <c r="I1378" i="1"/>
  <c r="J1377" i="1"/>
  <c r="I1377" i="1"/>
  <c r="J1376" i="1"/>
  <c r="I1376" i="1"/>
  <c r="J1375" i="1"/>
  <c r="I1375" i="1"/>
  <c r="J1374" i="1"/>
  <c r="I1374" i="1"/>
  <c r="J1373" i="1"/>
  <c r="I1373" i="1"/>
  <c r="J1372" i="1"/>
  <c r="I1372" i="1"/>
  <c r="J1371" i="1"/>
  <c r="I1371" i="1"/>
  <c r="J1370" i="1"/>
  <c r="I1370" i="1"/>
  <c r="J1369" i="1"/>
  <c r="I1369" i="1"/>
  <c r="J1368" i="1"/>
  <c r="I1368" i="1"/>
  <c r="J1367" i="1"/>
  <c r="I1367" i="1"/>
  <c r="J1366" i="1"/>
  <c r="I1366" i="1"/>
  <c r="J1365" i="1"/>
  <c r="I1365" i="1"/>
  <c r="J1364" i="1"/>
  <c r="I1364" i="1"/>
  <c r="J1363" i="1"/>
  <c r="I1363" i="1"/>
  <c r="J1362" i="1"/>
  <c r="I1362" i="1"/>
  <c r="J1361" i="1"/>
  <c r="I1361" i="1"/>
  <c r="J1360" i="1"/>
  <c r="I1360" i="1"/>
  <c r="J1359" i="1"/>
  <c r="I1359" i="1"/>
  <c r="J1358" i="1"/>
  <c r="I1358" i="1"/>
  <c r="J1357" i="1"/>
  <c r="I1357" i="1"/>
  <c r="J1356" i="1"/>
  <c r="I1356" i="1"/>
  <c r="J1355" i="1"/>
  <c r="I1355" i="1"/>
  <c r="J1354" i="1"/>
  <c r="I1354" i="1"/>
  <c r="J1353" i="1"/>
  <c r="I1353" i="1"/>
  <c r="J1352" i="1"/>
  <c r="I1352" i="1"/>
  <c r="J1351" i="1"/>
  <c r="I1351" i="1"/>
  <c r="J1350" i="1"/>
  <c r="I1350" i="1"/>
  <c r="J1349" i="1"/>
  <c r="I1349" i="1"/>
  <c r="J1348" i="1"/>
  <c r="I1348" i="1"/>
  <c r="J1347" i="1"/>
  <c r="I1347" i="1"/>
  <c r="J1346" i="1"/>
  <c r="I1346" i="1"/>
  <c r="J1345" i="1"/>
  <c r="I1345" i="1"/>
  <c r="J1344" i="1"/>
  <c r="I1344" i="1"/>
  <c r="J1343" i="1"/>
  <c r="I1343" i="1"/>
  <c r="J1342" i="1"/>
  <c r="I1342" i="1"/>
  <c r="J1341" i="1"/>
  <c r="I1341" i="1"/>
  <c r="J1340" i="1"/>
  <c r="I1340" i="1"/>
  <c r="J1339" i="1"/>
  <c r="I1339" i="1"/>
  <c r="J1338" i="1"/>
  <c r="I1338" i="1"/>
  <c r="J1337" i="1"/>
  <c r="I1337" i="1"/>
  <c r="J1336" i="1"/>
  <c r="I1336" i="1"/>
  <c r="J1335" i="1"/>
  <c r="I1335" i="1"/>
  <c r="J1334" i="1"/>
  <c r="I1334" i="1"/>
  <c r="J1333" i="1"/>
  <c r="I1333" i="1"/>
  <c r="J1332" i="1"/>
  <c r="I1332" i="1"/>
  <c r="J1331" i="1"/>
  <c r="I1331" i="1"/>
  <c r="J1330" i="1"/>
  <c r="I1330" i="1"/>
  <c r="J1329" i="1"/>
  <c r="I1329" i="1"/>
  <c r="J1328" i="1"/>
  <c r="I1328" i="1"/>
  <c r="J1327" i="1"/>
  <c r="I1327" i="1"/>
  <c r="J1326" i="1"/>
  <c r="I1326" i="1"/>
  <c r="J1325" i="1"/>
  <c r="I1325" i="1"/>
  <c r="J1324" i="1"/>
  <c r="I1324" i="1"/>
  <c r="J1323" i="1"/>
  <c r="I1323" i="1"/>
  <c r="J1322" i="1"/>
  <c r="I1322" i="1"/>
  <c r="J1321" i="1"/>
  <c r="I1321" i="1"/>
  <c r="J1320" i="1"/>
  <c r="I1320" i="1"/>
  <c r="J1319" i="1"/>
  <c r="I1319" i="1"/>
  <c r="J1318" i="1"/>
  <c r="I1318" i="1"/>
  <c r="J1317" i="1"/>
  <c r="I1317" i="1"/>
  <c r="J1316" i="1"/>
  <c r="I1316" i="1"/>
  <c r="J1315" i="1"/>
  <c r="I1315" i="1"/>
  <c r="J1314" i="1"/>
  <c r="I1314" i="1"/>
  <c r="J1313" i="1"/>
  <c r="I1313" i="1"/>
  <c r="J1312" i="1"/>
  <c r="I1312" i="1"/>
  <c r="J1311" i="1"/>
  <c r="I1311" i="1"/>
  <c r="J1310" i="1"/>
  <c r="I1310" i="1"/>
  <c r="J1309" i="1"/>
  <c r="I1309" i="1"/>
  <c r="J1308" i="1"/>
  <c r="I1308" i="1"/>
  <c r="J1307" i="1"/>
  <c r="I1307" i="1"/>
  <c r="J1306" i="1"/>
  <c r="I1306" i="1"/>
  <c r="J1305" i="1"/>
  <c r="I1305" i="1"/>
  <c r="J1304" i="1"/>
  <c r="I1304" i="1"/>
  <c r="J1303" i="1"/>
  <c r="I1303" i="1"/>
  <c r="J1302" i="1"/>
  <c r="I1302" i="1"/>
  <c r="J1301" i="1"/>
  <c r="I1301" i="1"/>
  <c r="J1300" i="1"/>
  <c r="I1300" i="1"/>
  <c r="J1299" i="1"/>
  <c r="I1299" i="1"/>
  <c r="J1298" i="1"/>
  <c r="I1298" i="1"/>
  <c r="J1297" i="1"/>
  <c r="I1297" i="1"/>
  <c r="J1296" i="1"/>
  <c r="I1296" i="1"/>
  <c r="J1295" i="1"/>
  <c r="I1295" i="1"/>
  <c r="J1294" i="1"/>
  <c r="I1294" i="1"/>
  <c r="J1293" i="1"/>
  <c r="I1293" i="1"/>
  <c r="J1292" i="1"/>
  <c r="I1292" i="1"/>
  <c r="J1291" i="1"/>
  <c r="I1291" i="1"/>
  <c r="J1290" i="1"/>
  <c r="I1290" i="1"/>
  <c r="J1289" i="1"/>
  <c r="I1289" i="1"/>
  <c r="J1288" i="1"/>
  <c r="I1288" i="1"/>
  <c r="J1287" i="1"/>
  <c r="I1287" i="1"/>
  <c r="J1286" i="1"/>
  <c r="I1286" i="1"/>
  <c r="J1285" i="1"/>
  <c r="I1285" i="1"/>
  <c r="J1284" i="1"/>
  <c r="I1284" i="1"/>
  <c r="J1283" i="1"/>
  <c r="I1283" i="1"/>
  <c r="J1282" i="1"/>
  <c r="I1282" i="1"/>
  <c r="J1281" i="1"/>
  <c r="I1281" i="1"/>
  <c r="J1280" i="1"/>
  <c r="I1280" i="1"/>
  <c r="J1279" i="1"/>
  <c r="I1279" i="1"/>
  <c r="J1278" i="1"/>
  <c r="I1278" i="1"/>
  <c r="J1277" i="1"/>
  <c r="I1277" i="1"/>
  <c r="J1276" i="1"/>
  <c r="I1276" i="1"/>
  <c r="J1275" i="1"/>
  <c r="I1275" i="1"/>
  <c r="J1274" i="1"/>
  <c r="I1274" i="1"/>
  <c r="J1273" i="1"/>
  <c r="I1273" i="1"/>
  <c r="J1272" i="1"/>
  <c r="I1272" i="1"/>
  <c r="J1271" i="1"/>
  <c r="I1271" i="1"/>
  <c r="J1270" i="1"/>
  <c r="I1270" i="1"/>
  <c r="J1269" i="1"/>
  <c r="I1269" i="1"/>
  <c r="J1268" i="1"/>
  <c r="I1268" i="1"/>
  <c r="J1267" i="1"/>
  <c r="I1267" i="1"/>
  <c r="J1266" i="1"/>
  <c r="I1266" i="1"/>
  <c r="J1265" i="1"/>
  <c r="I1265" i="1"/>
  <c r="J1264" i="1"/>
  <c r="I1264" i="1"/>
  <c r="J1263" i="1"/>
  <c r="I1263" i="1"/>
  <c r="J1262" i="1"/>
  <c r="I1262" i="1"/>
  <c r="J1261" i="1"/>
  <c r="I1261" i="1"/>
  <c r="J1260" i="1"/>
  <c r="I1260" i="1"/>
  <c r="J1259" i="1"/>
  <c r="I1259" i="1"/>
  <c r="J1258" i="1"/>
  <c r="I1258" i="1"/>
  <c r="J1257" i="1"/>
  <c r="I1257" i="1"/>
  <c r="J1256" i="1"/>
  <c r="I1256" i="1"/>
  <c r="J1255" i="1"/>
  <c r="I1255" i="1"/>
  <c r="J1254" i="1"/>
  <c r="I1254" i="1"/>
  <c r="J1253" i="1"/>
  <c r="I1253" i="1"/>
  <c r="J1252" i="1"/>
  <c r="I1252" i="1"/>
  <c r="J1251" i="1"/>
  <c r="I1251" i="1"/>
  <c r="J1250" i="1"/>
  <c r="I1250" i="1"/>
  <c r="J1249" i="1"/>
  <c r="I1249" i="1"/>
  <c r="J1248" i="1"/>
  <c r="I1248" i="1"/>
  <c r="J1247" i="1"/>
  <c r="I1247" i="1"/>
  <c r="J1246" i="1"/>
  <c r="I1246" i="1"/>
  <c r="J1245" i="1"/>
  <c r="I1245" i="1"/>
  <c r="J1244" i="1"/>
  <c r="I1244" i="1"/>
  <c r="J1243" i="1"/>
  <c r="I1243" i="1"/>
  <c r="J1242" i="1"/>
  <c r="I1242" i="1"/>
  <c r="J1241" i="1"/>
  <c r="I1241" i="1"/>
  <c r="J1240" i="1"/>
  <c r="I1240" i="1"/>
  <c r="J1239" i="1"/>
  <c r="I1239" i="1"/>
  <c r="J1238" i="1"/>
  <c r="I1238" i="1"/>
  <c r="J1237" i="1"/>
  <c r="I1237" i="1"/>
  <c r="J1236" i="1"/>
  <c r="I1236" i="1"/>
  <c r="J1235" i="1"/>
  <c r="I1235" i="1"/>
  <c r="J1234" i="1"/>
  <c r="I1234" i="1"/>
  <c r="J1233" i="1"/>
  <c r="I1233" i="1"/>
  <c r="J1232" i="1"/>
  <c r="I1232" i="1"/>
  <c r="J1231" i="1"/>
  <c r="I1231" i="1"/>
  <c r="J1230" i="1"/>
  <c r="I1230" i="1"/>
  <c r="J1229" i="1"/>
  <c r="I1229" i="1"/>
  <c r="J1228" i="1"/>
  <c r="I1228" i="1"/>
  <c r="J1227" i="1"/>
  <c r="I1227" i="1"/>
  <c r="J1226" i="1"/>
  <c r="I1226" i="1"/>
  <c r="J1225" i="1"/>
  <c r="I1225" i="1"/>
  <c r="J1224" i="1"/>
  <c r="I1224" i="1"/>
  <c r="J1223" i="1"/>
  <c r="I1223" i="1"/>
  <c r="J1222" i="1"/>
  <c r="I1222" i="1"/>
  <c r="J1221" i="1"/>
  <c r="I1221" i="1"/>
  <c r="J1220" i="1"/>
  <c r="I1220" i="1"/>
  <c r="J1219" i="1"/>
  <c r="I1219" i="1"/>
  <c r="J1218" i="1"/>
  <c r="I1218" i="1"/>
  <c r="J1217" i="1"/>
  <c r="I1217" i="1"/>
  <c r="J1216" i="1"/>
  <c r="I1216" i="1"/>
  <c r="J1215" i="1"/>
  <c r="I1215" i="1"/>
  <c r="J1214" i="1"/>
  <c r="I1214" i="1"/>
  <c r="J1213" i="1"/>
  <c r="I1213" i="1"/>
  <c r="J1212" i="1"/>
  <c r="I1212" i="1"/>
  <c r="J1211" i="1"/>
  <c r="I1211" i="1"/>
  <c r="J1210" i="1"/>
  <c r="I1210" i="1"/>
  <c r="J1209" i="1"/>
  <c r="I1209" i="1"/>
  <c r="J1208" i="1"/>
  <c r="I1208" i="1"/>
  <c r="J1207" i="1"/>
  <c r="I1207" i="1"/>
  <c r="J1206" i="1"/>
  <c r="I1206" i="1"/>
  <c r="J1205" i="1"/>
  <c r="I1205" i="1"/>
  <c r="J1204" i="1"/>
  <c r="I1204" i="1"/>
  <c r="J1203" i="1"/>
  <c r="I1203" i="1"/>
  <c r="J1202" i="1"/>
  <c r="I1202" i="1"/>
  <c r="J1201" i="1"/>
  <c r="I1201" i="1"/>
  <c r="J1200" i="1"/>
  <c r="I1200" i="1"/>
  <c r="J1199" i="1"/>
  <c r="I1199" i="1"/>
  <c r="J1198" i="1"/>
  <c r="I1198" i="1"/>
  <c r="J1197" i="1"/>
  <c r="I1197" i="1"/>
  <c r="J1196" i="1"/>
  <c r="I1196" i="1"/>
  <c r="J1195" i="1"/>
  <c r="I1195" i="1"/>
  <c r="J1194" i="1"/>
  <c r="I1194" i="1"/>
  <c r="J1193" i="1"/>
  <c r="I1193" i="1"/>
  <c r="J1192" i="1"/>
  <c r="I1192" i="1"/>
  <c r="J1191" i="1"/>
  <c r="I1191" i="1"/>
  <c r="J1190" i="1"/>
  <c r="I1190" i="1"/>
  <c r="J1189" i="1"/>
  <c r="I1189" i="1"/>
  <c r="J1188" i="1"/>
  <c r="I1188" i="1"/>
  <c r="J1187" i="1"/>
  <c r="I1187" i="1"/>
  <c r="J1186" i="1"/>
  <c r="I1186" i="1"/>
  <c r="J1185" i="1"/>
  <c r="I1185" i="1"/>
  <c r="J1184" i="1"/>
  <c r="I1184" i="1"/>
  <c r="J1183" i="1"/>
  <c r="I1183" i="1"/>
  <c r="J1182" i="1"/>
  <c r="I1182" i="1"/>
  <c r="J1181" i="1"/>
  <c r="I1181" i="1"/>
  <c r="J1180" i="1"/>
  <c r="I1180" i="1"/>
  <c r="J1179" i="1"/>
  <c r="I1179" i="1"/>
  <c r="J1178" i="1"/>
  <c r="I1178" i="1"/>
  <c r="J1177" i="1"/>
  <c r="I1177" i="1"/>
  <c r="J1176" i="1"/>
  <c r="I1176" i="1"/>
  <c r="J1175" i="1"/>
  <c r="I1175" i="1"/>
  <c r="J1174" i="1"/>
  <c r="I1174" i="1"/>
  <c r="J1173" i="1"/>
  <c r="I1173" i="1"/>
  <c r="J1172" i="1"/>
  <c r="I1172" i="1"/>
  <c r="J1171" i="1"/>
  <c r="I1171" i="1"/>
  <c r="J1170" i="1"/>
  <c r="I1170" i="1"/>
  <c r="J1169" i="1"/>
  <c r="I1169" i="1"/>
  <c r="J1168" i="1"/>
  <c r="I1168" i="1"/>
  <c r="J1167" i="1"/>
  <c r="I1167" i="1"/>
  <c r="J1166" i="1"/>
  <c r="I1166" i="1"/>
  <c r="J1165" i="1"/>
  <c r="I1165" i="1"/>
  <c r="J1164" i="1"/>
  <c r="I1164" i="1"/>
  <c r="J1163" i="1"/>
  <c r="I1163" i="1"/>
  <c r="J1162" i="1"/>
  <c r="I1162" i="1"/>
  <c r="J1161" i="1"/>
  <c r="I1161" i="1"/>
  <c r="J1160" i="1"/>
  <c r="I1160" i="1"/>
  <c r="J1159" i="1"/>
  <c r="I1159" i="1"/>
  <c r="J1158" i="1"/>
  <c r="I1158" i="1"/>
  <c r="J1157" i="1"/>
  <c r="I1157" i="1"/>
  <c r="J1156" i="1"/>
  <c r="I1156" i="1"/>
  <c r="J1155" i="1"/>
  <c r="I1155" i="1"/>
  <c r="J1154" i="1"/>
  <c r="I1154" i="1"/>
  <c r="J1153" i="1"/>
  <c r="I1153" i="1"/>
  <c r="J1152" i="1"/>
  <c r="I1152" i="1"/>
  <c r="J1151" i="1"/>
  <c r="I1151" i="1"/>
  <c r="J1150" i="1"/>
  <c r="I1150" i="1"/>
  <c r="J1149" i="1"/>
  <c r="I1149" i="1"/>
  <c r="J1148" i="1"/>
  <c r="I1148" i="1"/>
  <c r="J1147" i="1"/>
  <c r="I1147" i="1"/>
  <c r="J1146" i="1"/>
  <c r="I1146" i="1"/>
  <c r="J1145" i="1"/>
  <c r="I1145" i="1"/>
  <c r="J1144" i="1"/>
  <c r="I1144" i="1"/>
  <c r="J1143" i="1"/>
  <c r="I1143" i="1"/>
  <c r="J1142" i="1"/>
  <c r="I1142" i="1"/>
  <c r="J1141" i="1"/>
  <c r="I1141" i="1"/>
  <c r="J1140" i="1"/>
  <c r="I1140" i="1"/>
  <c r="J1139" i="1"/>
  <c r="I1139" i="1"/>
  <c r="J1138" i="1"/>
  <c r="I1138" i="1"/>
  <c r="J1137" i="1"/>
  <c r="I1137" i="1"/>
  <c r="J1136" i="1"/>
  <c r="I1136" i="1"/>
  <c r="J1135" i="1"/>
  <c r="I1135" i="1"/>
  <c r="J1134" i="1"/>
  <c r="I1134" i="1"/>
  <c r="J1133" i="1"/>
  <c r="I1133" i="1"/>
  <c r="J1132" i="1"/>
  <c r="I1132" i="1"/>
  <c r="J1131" i="1"/>
  <c r="I1131" i="1"/>
  <c r="J1130" i="1"/>
  <c r="I1130" i="1"/>
  <c r="J1129" i="1"/>
  <c r="I1129" i="1"/>
  <c r="J1128" i="1"/>
  <c r="I1128" i="1"/>
  <c r="J1127" i="1"/>
  <c r="I1127" i="1"/>
  <c r="J1126" i="1"/>
  <c r="I1126" i="1"/>
  <c r="J1125" i="1"/>
  <c r="I1125" i="1"/>
  <c r="J1124" i="1"/>
  <c r="I1124" i="1"/>
  <c r="J1123" i="1"/>
  <c r="I1123" i="1"/>
  <c r="J1122" i="1"/>
  <c r="I1122" i="1"/>
  <c r="J1121" i="1"/>
  <c r="I1121" i="1"/>
  <c r="J1120" i="1"/>
  <c r="I1120" i="1"/>
  <c r="J1119" i="1"/>
  <c r="I1119" i="1"/>
  <c r="J1118" i="1"/>
  <c r="I1118" i="1"/>
  <c r="J1117" i="1"/>
  <c r="I1117" i="1"/>
  <c r="J1116" i="1"/>
  <c r="I1116" i="1"/>
  <c r="J1115" i="1"/>
  <c r="I1115" i="1"/>
  <c r="J1114" i="1"/>
  <c r="I1114" i="1"/>
  <c r="J1113" i="1"/>
  <c r="I1113" i="1"/>
  <c r="J1112" i="1"/>
  <c r="I1112" i="1"/>
  <c r="J1111" i="1"/>
  <c r="I1111" i="1"/>
  <c r="J1110" i="1"/>
  <c r="I1110" i="1"/>
  <c r="J1109" i="1"/>
  <c r="I1109" i="1"/>
  <c r="J1108" i="1"/>
  <c r="I1108" i="1"/>
  <c r="J1107" i="1"/>
  <c r="I1107" i="1"/>
  <c r="J1106" i="1"/>
  <c r="I1106" i="1"/>
  <c r="J1105" i="1"/>
  <c r="I1105" i="1"/>
  <c r="J1104" i="1"/>
  <c r="I1104" i="1"/>
  <c r="J1103" i="1"/>
  <c r="I1103" i="1"/>
  <c r="J1102" i="1"/>
  <c r="I1102" i="1"/>
  <c r="J1101" i="1"/>
  <c r="I1101" i="1"/>
  <c r="J1100" i="1"/>
  <c r="I1100" i="1"/>
  <c r="J1099" i="1"/>
  <c r="I1099" i="1"/>
  <c r="J1098" i="1"/>
  <c r="I1098" i="1"/>
  <c r="J1097" i="1"/>
  <c r="I1097" i="1"/>
  <c r="J1096" i="1"/>
  <c r="I1096" i="1"/>
  <c r="J1095" i="1"/>
  <c r="I1095" i="1"/>
  <c r="J1094" i="1"/>
  <c r="I1094" i="1"/>
  <c r="J1093" i="1"/>
  <c r="I1093" i="1"/>
  <c r="J1092" i="1"/>
  <c r="I1092" i="1"/>
  <c r="J1091" i="1"/>
  <c r="I1091" i="1"/>
  <c r="J1090" i="1"/>
  <c r="I1090" i="1"/>
  <c r="J1089" i="1"/>
  <c r="I1089" i="1"/>
  <c r="J1088" i="1"/>
  <c r="I1088" i="1"/>
  <c r="J1087" i="1"/>
  <c r="I1087" i="1"/>
  <c r="J1086" i="1"/>
  <c r="I1086" i="1"/>
  <c r="J1085" i="1"/>
  <c r="I1085" i="1"/>
  <c r="J1084" i="1"/>
  <c r="I1084" i="1"/>
  <c r="J1083" i="1"/>
  <c r="I1083" i="1"/>
  <c r="J1082" i="1"/>
  <c r="I1082" i="1"/>
  <c r="J1081" i="1"/>
  <c r="I1081" i="1"/>
  <c r="J1080" i="1"/>
  <c r="I1080" i="1"/>
  <c r="J1079" i="1"/>
  <c r="I1079" i="1"/>
  <c r="J1078" i="1"/>
  <c r="I1078" i="1"/>
  <c r="J1077" i="1"/>
  <c r="I1077" i="1"/>
  <c r="J1076" i="1"/>
  <c r="I1076" i="1"/>
  <c r="J1075" i="1"/>
  <c r="I1075" i="1"/>
  <c r="J1074" i="1"/>
  <c r="I1074" i="1"/>
  <c r="J1073" i="1"/>
  <c r="I1073" i="1"/>
  <c r="J1072" i="1"/>
  <c r="I1072" i="1"/>
  <c r="J1071" i="1"/>
  <c r="I1071" i="1"/>
  <c r="J1070" i="1"/>
  <c r="I1070" i="1"/>
  <c r="J1069" i="1"/>
  <c r="I1069" i="1"/>
  <c r="J1068" i="1"/>
  <c r="I1068" i="1"/>
  <c r="J1067" i="1"/>
  <c r="I1067" i="1"/>
  <c r="J1066" i="1"/>
  <c r="I1066" i="1"/>
  <c r="J1065" i="1"/>
  <c r="I1065" i="1"/>
  <c r="J1064" i="1"/>
  <c r="I1064" i="1"/>
  <c r="J1063" i="1"/>
  <c r="I1063" i="1"/>
  <c r="J1062" i="1"/>
  <c r="I1062" i="1"/>
  <c r="J1061" i="1"/>
  <c r="I1061" i="1"/>
  <c r="J1060" i="1"/>
  <c r="I1060" i="1"/>
  <c r="J1059" i="1"/>
  <c r="I1059" i="1"/>
  <c r="J1058" i="1"/>
  <c r="I1058" i="1"/>
  <c r="J1057" i="1"/>
  <c r="I1057" i="1"/>
  <c r="J1056" i="1"/>
  <c r="I1056" i="1"/>
  <c r="J1055" i="1"/>
  <c r="I1055" i="1"/>
  <c r="J1054" i="1"/>
  <c r="I1054" i="1"/>
  <c r="J1053" i="1"/>
  <c r="I1053" i="1"/>
  <c r="J1052" i="1"/>
  <c r="I1052" i="1"/>
  <c r="J1051" i="1"/>
  <c r="I1051" i="1"/>
  <c r="J1050" i="1"/>
  <c r="I1050" i="1"/>
  <c r="J1049" i="1"/>
  <c r="I1049" i="1"/>
  <c r="J1048" i="1"/>
  <c r="I1048" i="1"/>
  <c r="J1047" i="1"/>
  <c r="I1047" i="1"/>
  <c r="J1046" i="1"/>
  <c r="I1046" i="1"/>
  <c r="J1045" i="1"/>
  <c r="I1045" i="1"/>
  <c r="J1044" i="1"/>
  <c r="I1044" i="1"/>
  <c r="J1043" i="1"/>
  <c r="I1043" i="1"/>
  <c r="J1042" i="1"/>
  <c r="I1042" i="1"/>
  <c r="J1041" i="1"/>
  <c r="I1041" i="1"/>
  <c r="J1040" i="1"/>
  <c r="I1040" i="1"/>
  <c r="J1039" i="1"/>
  <c r="I1039" i="1"/>
  <c r="J1038" i="1"/>
  <c r="I1038" i="1"/>
  <c r="J1037" i="1"/>
  <c r="I1037" i="1"/>
  <c r="J1036" i="1"/>
  <c r="I1036" i="1"/>
  <c r="J1035" i="1"/>
  <c r="I1035" i="1"/>
  <c r="J1034" i="1"/>
  <c r="I1034" i="1"/>
  <c r="J1033" i="1"/>
  <c r="I1033" i="1"/>
  <c r="J1032" i="1"/>
  <c r="I1032" i="1"/>
  <c r="J1031" i="1"/>
  <c r="I1031" i="1"/>
  <c r="J1030" i="1"/>
  <c r="I1030" i="1"/>
  <c r="J1029" i="1"/>
  <c r="I1029" i="1"/>
  <c r="J1028" i="1"/>
  <c r="I1028" i="1"/>
  <c r="J1027" i="1"/>
  <c r="I1027" i="1"/>
  <c r="J1026" i="1"/>
  <c r="I1026" i="1"/>
  <c r="J1025" i="1"/>
  <c r="I1025" i="1"/>
  <c r="J1024" i="1"/>
  <c r="I1024" i="1"/>
  <c r="J1023" i="1"/>
  <c r="I1023" i="1"/>
  <c r="J1022" i="1"/>
  <c r="I1022" i="1"/>
  <c r="J1021" i="1"/>
  <c r="I1021" i="1"/>
  <c r="J1020" i="1"/>
  <c r="I1020" i="1"/>
  <c r="J1019" i="1"/>
  <c r="I1019" i="1"/>
  <c r="J1018" i="1"/>
  <c r="I1018" i="1"/>
  <c r="J1017" i="1"/>
  <c r="I1017" i="1"/>
  <c r="J1016" i="1"/>
  <c r="I1016" i="1"/>
  <c r="J1015" i="1"/>
  <c r="I1015" i="1"/>
  <c r="J1014" i="1"/>
  <c r="I1014" i="1"/>
  <c r="J1013" i="1"/>
  <c r="I1013" i="1"/>
  <c r="J1012" i="1"/>
  <c r="I1012" i="1"/>
  <c r="J1011" i="1"/>
  <c r="I1011" i="1"/>
  <c r="J1010" i="1"/>
  <c r="I1010" i="1"/>
  <c r="J1009" i="1"/>
  <c r="I1009" i="1"/>
  <c r="J1008" i="1"/>
  <c r="I1008" i="1"/>
  <c r="J1007" i="1"/>
  <c r="I1007" i="1"/>
  <c r="J1006" i="1"/>
  <c r="I1006" i="1"/>
  <c r="J1005" i="1"/>
  <c r="I1005" i="1"/>
  <c r="J1004" i="1"/>
  <c r="I1004" i="1"/>
  <c r="J1003" i="1"/>
  <c r="I1003" i="1"/>
  <c r="J1002" i="1"/>
  <c r="I1002" i="1"/>
  <c r="J1001" i="1"/>
  <c r="I1001" i="1"/>
  <c r="J1000" i="1"/>
  <c r="I1000" i="1"/>
  <c r="J999" i="1"/>
  <c r="I999" i="1"/>
  <c r="J998" i="1"/>
  <c r="I998" i="1"/>
  <c r="J997" i="1"/>
  <c r="I997" i="1"/>
  <c r="J996" i="1"/>
  <c r="I996" i="1"/>
  <c r="J995" i="1"/>
  <c r="I995" i="1"/>
  <c r="J994" i="1"/>
  <c r="I994" i="1"/>
  <c r="J993" i="1"/>
  <c r="I993" i="1"/>
  <c r="J992" i="1"/>
  <c r="I992" i="1"/>
  <c r="J991" i="1"/>
  <c r="I991" i="1"/>
  <c r="J990" i="1"/>
  <c r="I990" i="1"/>
  <c r="J989" i="1"/>
  <c r="I989" i="1"/>
  <c r="J988" i="1"/>
  <c r="I988" i="1"/>
  <c r="J987" i="1"/>
  <c r="I987" i="1"/>
  <c r="J986" i="1"/>
  <c r="I986" i="1"/>
  <c r="J985" i="1"/>
  <c r="I985" i="1"/>
  <c r="J984" i="1"/>
  <c r="I984" i="1"/>
  <c r="J983" i="1"/>
  <c r="I983" i="1"/>
  <c r="J982" i="1"/>
  <c r="I982" i="1"/>
  <c r="J981" i="1"/>
  <c r="I981" i="1"/>
  <c r="J980" i="1"/>
  <c r="I980" i="1"/>
  <c r="J979" i="1"/>
  <c r="I979" i="1"/>
  <c r="J978" i="1"/>
  <c r="I978" i="1"/>
  <c r="J977" i="1"/>
  <c r="I977" i="1"/>
  <c r="J976" i="1"/>
  <c r="I976" i="1"/>
  <c r="J975" i="1"/>
  <c r="I975" i="1"/>
  <c r="J974" i="1"/>
  <c r="I974" i="1"/>
  <c r="J973" i="1"/>
  <c r="I973" i="1"/>
  <c r="J972" i="1"/>
  <c r="I972" i="1"/>
  <c r="J971" i="1"/>
  <c r="I971" i="1"/>
  <c r="J970" i="1"/>
  <c r="I970" i="1"/>
  <c r="J969" i="1"/>
  <c r="I969" i="1"/>
  <c r="J968" i="1"/>
  <c r="I968" i="1"/>
  <c r="J967" i="1"/>
  <c r="I967" i="1"/>
  <c r="J966" i="1"/>
  <c r="I966" i="1"/>
  <c r="J965" i="1"/>
  <c r="I965" i="1"/>
  <c r="J964" i="1"/>
  <c r="I964" i="1"/>
  <c r="J963" i="1"/>
  <c r="I963" i="1"/>
  <c r="J962" i="1"/>
  <c r="I962" i="1"/>
  <c r="J961" i="1"/>
  <c r="I961" i="1"/>
  <c r="J960" i="1"/>
  <c r="I960" i="1"/>
  <c r="J959" i="1"/>
  <c r="I959" i="1"/>
  <c r="J958" i="1"/>
  <c r="I958" i="1"/>
  <c r="J957" i="1"/>
  <c r="I957" i="1"/>
  <c r="J956" i="1"/>
  <c r="I956" i="1"/>
  <c r="J955" i="1"/>
  <c r="I955" i="1"/>
  <c r="J954" i="1"/>
  <c r="I954" i="1"/>
  <c r="J953" i="1"/>
  <c r="I953" i="1"/>
  <c r="J952" i="1"/>
  <c r="I952" i="1"/>
  <c r="J951" i="1"/>
  <c r="I951" i="1"/>
  <c r="J950" i="1"/>
  <c r="I950" i="1"/>
  <c r="J949" i="1"/>
  <c r="I949" i="1"/>
  <c r="J948" i="1"/>
  <c r="I948" i="1"/>
  <c r="J947" i="1"/>
  <c r="I947" i="1"/>
  <c r="J946" i="1"/>
  <c r="I946" i="1"/>
  <c r="J945" i="1"/>
  <c r="I945" i="1"/>
  <c r="J944" i="1"/>
  <c r="I944" i="1"/>
  <c r="J943" i="1"/>
  <c r="I943" i="1"/>
  <c r="J942" i="1"/>
  <c r="I942" i="1"/>
  <c r="J941" i="1"/>
  <c r="I941" i="1"/>
  <c r="J940" i="1"/>
  <c r="I940" i="1"/>
  <c r="J939" i="1"/>
  <c r="I939" i="1"/>
  <c r="J938" i="1"/>
  <c r="I938" i="1"/>
  <c r="J937" i="1"/>
  <c r="I937" i="1"/>
  <c r="J936" i="1"/>
  <c r="I936" i="1"/>
  <c r="J935" i="1"/>
  <c r="I935" i="1"/>
  <c r="J934" i="1"/>
  <c r="I934" i="1"/>
  <c r="J933" i="1"/>
  <c r="I933" i="1"/>
  <c r="J932" i="1"/>
  <c r="I932" i="1"/>
  <c r="J931" i="1"/>
  <c r="I931" i="1"/>
  <c r="J930" i="1"/>
  <c r="I930" i="1"/>
  <c r="J929" i="1"/>
  <c r="I929" i="1"/>
  <c r="J928" i="1"/>
  <c r="I928" i="1"/>
  <c r="J927" i="1"/>
  <c r="I927" i="1"/>
  <c r="J926" i="1"/>
  <c r="I926" i="1"/>
  <c r="J925" i="1"/>
  <c r="I925" i="1"/>
  <c r="J924" i="1"/>
  <c r="I924" i="1"/>
  <c r="J923" i="1"/>
  <c r="I923" i="1"/>
  <c r="J922" i="1"/>
  <c r="I922" i="1"/>
  <c r="J921" i="1"/>
  <c r="I921" i="1"/>
  <c r="J920" i="1"/>
  <c r="I920" i="1"/>
  <c r="J919" i="1"/>
  <c r="I919" i="1"/>
  <c r="J918" i="1"/>
  <c r="I918" i="1"/>
  <c r="J917" i="1"/>
  <c r="I917" i="1"/>
  <c r="J916" i="1"/>
  <c r="I916" i="1"/>
  <c r="J915" i="1"/>
  <c r="I915" i="1"/>
  <c r="J914" i="1"/>
  <c r="I914" i="1"/>
  <c r="J913" i="1"/>
  <c r="I913" i="1"/>
  <c r="J912" i="1"/>
  <c r="I912" i="1"/>
  <c r="J911" i="1"/>
  <c r="I911" i="1"/>
  <c r="J910" i="1"/>
  <c r="I910" i="1"/>
  <c r="J909" i="1"/>
  <c r="I909" i="1"/>
  <c r="J908" i="1"/>
  <c r="I908" i="1"/>
  <c r="J907" i="1"/>
  <c r="I907" i="1"/>
  <c r="J906" i="1"/>
  <c r="I906" i="1"/>
  <c r="J905" i="1"/>
  <c r="I905" i="1"/>
  <c r="J904" i="1"/>
  <c r="I904" i="1"/>
  <c r="J903" i="1"/>
  <c r="I903" i="1"/>
  <c r="J902" i="1"/>
  <c r="I902" i="1"/>
  <c r="J901" i="1"/>
  <c r="I901" i="1"/>
  <c r="J900" i="1"/>
  <c r="I900" i="1"/>
  <c r="J899" i="1"/>
  <c r="I899" i="1"/>
  <c r="J898" i="1"/>
  <c r="I898" i="1"/>
  <c r="J897" i="1"/>
  <c r="I897" i="1"/>
  <c r="J896" i="1"/>
  <c r="I896" i="1"/>
  <c r="J895" i="1"/>
  <c r="I895" i="1"/>
  <c r="J894" i="1"/>
  <c r="I894" i="1"/>
  <c r="J893" i="1"/>
  <c r="I893" i="1"/>
  <c r="J892" i="1"/>
  <c r="I892" i="1"/>
  <c r="J891" i="1"/>
  <c r="I891" i="1"/>
  <c r="J890" i="1"/>
  <c r="I890" i="1"/>
  <c r="J889" i="1"/>
  <c r="I889" i="1"/>
  <c r="J888" i="1"/>
  <c r="I888" i="1"/>
  <c r="J887" i="1"/>
  <c r="I887" i="1"/>
  <c r="J886" i="1"/>
  <c r="I886" i="1"/>
  <c r="J885" i="1"/>
  <c r="I885" i="1"/>
  <c r="J884" i="1"/>
  <c r="I884" i="1"/>
  <c r="J883" i="1"/>
  <c r="I883" i="1"/>
  <c r="J882" i="1"/>
  <c r="I882" i="1"/>
  <c r="J881" i="1"/>
  <c r="I881" i="1"/>
  <c r="J880" i="1"/>
  <c r="I880" i="1"/>
  <c r="J879" i="1"/>
  <c r="I879" i="1"/>
  <c r="J878" i="1"/>
  <c r="I878" i="1"/>
  <c r="J877" i="1"/>
  <c r="I877" i="1"/>
  <c r="J876" i="1"/>
  <c r="I876" i="1"/>
  <c r="J875" i="1"/>
  <c r="I875" i="1"/>
  <c r="J874" i="1"/>
  <c r="I874" i="1"/>
  <c r="J873" i="1"/>
  <c r="I873" i="1"/>
  <c r="J872" i="1"/>
  <c r="I872" i="1"/>
  <c r="J871" i="1"/>
  <c r="I871" i="1"/>
  <c r="J870" i="1"/>
  <c r="I870" i="1"/>
  <c r="J869" i="1"/>
  <c r="I869" i="1"/>
  <c r="J868" i="1"/>
  <c r="I868" i="1"/>
  <c r="J867" i="1"/>
  <c r="I867" i="1"/>
  <c r="J866" i="1"/>
  <c r="I866" i="1"/>
  <c r="J865" i="1"/>
  <c r="I865" i="1"/>
  <c r="J864" i="1"/>
  <c r="I864" i="1"/>
  <c r="J863" i="1"/>
  <c r="I863" i="1"/>
  <c r="J862" i="1"/>
  <c r="I862" i="1"/>
  <c r="J861" i="1"/>
  <c r="I861" i="1"/>
  <c r="J860" i="1"/>
  <c r="I860" i="1"/>
  <c r="J859" i="1"/>
  <c r="I859" i="1"/>
  <c r="J858" i="1"/>
  <c r="I858" i="1"/>
  <c r="J857" i="1"/>
  <c r="I857" i="1"/>
  <c r="J856" i="1"/>
  <c r="I856" i="1"/>
  <c r="J855" i="1"/>
  <c r="I855" i="1"/>
  <c r="J854" i="1"/>
  <c r="I854" i="1"/>
  <c r="J853" i="1"/>
  <c r="I853" i="1"/>
  <c r="J852" i="1"/>
  <c r="I852" i="1"/>
  <c r="J851" i="1"/>
  <c r="I851" i="1"/>
  <c r="J850" i="1"/>
  <c r="I850" i="1"/>
  <c r="J849" i="1"/>
  <c r="I849" i="1"/>
  <c r="J848" i="1"/>
  <c r="I848" i="1"/>
  <c r="J847" i="1"/>
  <c r="I847" i="1"/>
  <c r="J846" i="1"/>
  <c r="I846" i="1"/>
  <c r="J845" i="1"/>
  <c r="I845" i="1"/>
  <c r="J844" i="1"/>
  <c r="I844" i="1"/>
  <c r="J843" i="1"/>
  <c r="I843" i="1"/>
  <c r="J842" i="1"/>
  <c r="I842" i="1"/>
  <c r="J841" i="1"/>
  <c r="I841" i="1"/>
  <c r="J840" i="1"/>
  <c r="I840" i="1"/>
  <c r="J839" i="1"/>
  <c r="I839" i="1"/>
  <c r="J838" i="1"/>
  <c r="I838" i="1"/>
  <c r="J837" i="1"/>
  <c r="I837" i="1"/>
  <c r="J836" i="1"/>
  <c r="I836" i="1"/>
  <c r="J835" i="1"/>
  <c r="I835" i="1"/>
  <c r="J834" i="1"/>
  <c r="I834" i="1"/>
  <c r="J833" i="1"/>
  <c r="I833" i="1"/>
  <c r="J832" i="1"/>
  <c r="I832" i="1"/>
  <c r="J831" i="1"/>
  <c r="I831" i="1"/>
  <c r="J830" i="1"/>
  <c r="I830" i="1"/>
  <c r="J829" i="1"/>
  <c r="I829" i="1"/>
  <c r="J828" i="1"/>
  <c r="I828" i="1"/>
  <c r="J827" i="1"/>
  <c r="I827" i="1"/>
  <c r="J826" i="1"/>
  <c r="I826" i="1"/>
  <c r="J825" i="1"/>
  <c r="I825" i="1"/>
  <c r="J824" i="1"/>
  <c r="I824" i="1"/>
  <c r="J823" i="1"/>
  <c r="I823" i="1"/>
  <c r="J822" i="1"/>
  <c r="I822" i="1"/>
  <c r="J821" i="1"/>
  <c r="I821" i="1"/>
  <c r="J820" i="1"/>
  <c r="I820" i="1"/>
  <c r="J819" i="1"/>
  <c r="I819" i="1"/>
  <c r="J818" i="1"/>
  <c r="I818" i="1"/>
  <c r="J817" i="1"/>
  <c r="I817" i="1"/>
  <c r="J816" i="1"/>
  <c r="I816" i="1"/>
  <c r="J815" i="1"/>
  <c r="I815" i="1"/>
  <c r="J814" i="1"/>
  <c r="I814" i="1"/>
  <c r="J813" i="1"/>
  <c r="I813" i="1"/>
  <c r="J812" i="1"/>
  <c r="I812" i="1"/>
  <c r="J811" i="1"/>
  <c r="I811" i="1"/>
  <c r="J810" i="1"/>
  <c r="I810" i="1"/>
  <c r="J809" i="1"/>
  <c r="I809" i="1"/>
  <c r="J808" i="1"/>
  <c r="I808" i="1"/>
  <c r="J807" i="1"/>
  <c r="I807" i="1"/>
  <c r="J806" i="1"/>
  <c r="I806" i="1"/>
  <c r="J805" i="1"/>
  <c r="I805" i="1"/>
  <c r="J804" i="1"/>
  <c r="I804" i="1"/>
  <c r="J803" i="1"/>
  <c r="I803" i="1"/>
  <c r="J802" i="1"/>
  <c r="I802" i="1"/>
  <c r="J801" i="1"/>
  <c r="I801" i="1"/>
  <c r="J800" i="1"/>
  <c r="I800" i="1"/>
  <c r="J799" i="1"/>
  <c r="I799" i="1"/>
  <c r="J798" i="1"/>
  <c r="I798" i="1"/>
  <c r="J797" i="1"/>
  <c r="I797" i="1"/>
  <c r="J796" i="1"/>
  <c r="I796" i="1"/>
  <c r="J795" i="1"/>
  <c r="I795" i="1"/>
  <c r="J794" i="1"/>
  <c r="I794" i="1"/>
  <c r="J793" i="1"/>
  <c r="I793" i="1"/>
  <c r="J792" i="1"/>
  <c r="I792" i="1"/>
  <c r="J791" i="1"/>
  <c r="I791" i="1"/>
  <c r="J790" i="1"/>
  <c r="I790" i="1"/>
  <c r="J789" i="1"/>
  <c r="I789" i="1"/>
  <c r="J788" i="1"/>
  <c r="I788" i="1"/>
  <c r="J787" i="1"/>
  <c r="I787" i="1"/>
  <c r="J786" i="1"/>
  <c r="I786" i="1"/>
  <c r="J785" i="1"/>
  <c r="I785" i="1"/>
  <c r="J784" i="1"/>
  <c r="I784" i="1"/>
  <c r="J783" i="1"/>
  <c r="I783" i="1"/>
  <c r="J782" i="1"/>
  <c r="I782" i="1"/>
  <c r="J781" i="1"/>
  <c r="I781" i="1"/>
  <c r="J780" i="1"/>
  <c r="I780" i="1"/>
  <c r="J779" i="1"/>
  <c r="I779" i="1"/>
  <c r="J778" i="1"/>
  <c r="I778" i="1"/>
  <c r="J777" i="1"/>
  <c r="I777" i="1"/>
  <c r="J776" i="1"/>
  <c r="I776" i="1"/>
  <c r="J775" i="1"/>
  <c r="I775" i="1"/>
  <c r="J774" i="1"/>
  <c r="I774" i="1"/>
  <c r="J773" i="1"/>
  <c r="I773" i="1"/>
  <c r="J772" i="1"/>
  <c r="I772" i="1"/>
  <c r="J771" i="1"/>
  <c r="I771" i="1"/>
  <c r="J770" i="1"/>
  <c r="I770" i="1"/>
  <c r="J769" i="1"/>
  <c r="I769" i="1"/>
  <c r="J768" i="1"/>
  <c r="I768" i="1"/>
  <c r="J767" i="1"/>
  <c r="I767" i="1"/>
  <c r="J766" i="1"/>
  <c r="I766" i="1"/>
  <c r="J765" i="1"/>
  <c r="I765" i="1"/>
  <c r="J764" i="1"/>
  <c r="I764" i="1"/>
  <c r="J763" i="1"/>
  <c r="I763" i="1"/>
  <c r="J762" i="1"/>
  <c r="I762" i="1"/>
  <c r="J761" i="1"/>
  <c r="I761" i="1"/>
  <c r="J760" i="1"/>
  <c r="I760" i="1"/>
  <c r="J759" i="1"/>
  <c r="I759" i="1"/>
  <c r="J758" i="1"/>
  <c r="I758" i="1"/>
  <c r="J757" i="1"/>
  <c r="I757" i="1"/>
  <c r="J756" i="1"/>
  <c r="I756" i="1"/>
  <c r="J755" i="1"/>
  <c r="I755" i="1"/>
  <c r="J754" i="1"/>
  <c r="I754" i="1"/>
  <c r="J753" i="1"/>
  <c r="I753" i="1"/>
  <c r="J752" i="1"/>
  <c r="I752" i="1"/>
  <c r="J751" i="1"/>
  <c r="I751" i="1"/>
  <c r="J750" i="1"/>
  <c r="I750" i="1"/>
  <c r="J749" i="1"/>
  <c r="I749" i="1"/>
  <c r="J748" i="1"/>
  <c r="I748" i="1"/>
  <c r="J747" i="1"/>
  <c r="I747" i="1"/>
  <c r="J746" i="1"/>
  <c r="I746" i="1"/>
  <c r="J745" i="1"/>
  <c r="I745" i="1"/>
  <c r="J744" i="1"/>
  <c r="I744" i="1"/>
  <c r="J743" i="1"/>
  <c r="I743" i="1"/>
  <c r="J742" i="1"/>
  <c r="I742" i="1"/>
  <c r="J741" i="1"/>
  <c r="I741" i="1"/>
  <c r="J740" i="1"/>
  <c r="I740" i="1"/>
  <c r="J739" i="1"/>
  <c r="I739" i="1"/>
  <c r="J738" i="1"/>
  <c r="I738" i="1"/>
  <c r="J737" i="1"/>
  <c r="I737" i="1"/>
  <c r="J736" i="1"/>
  <c r="I736" i="1"/>
  <c r="J735" i="1"/>
  <c r="I735" i="1"/>
  <c r="J734" i="1"/>
  <c r="I734" i="1"/>
  <c r="J733" i="1"/>
  <c r="I733" i="1"/>
  <c r="J732" i="1"/>
  <c r="I732" i="1"/>
  <c r="J731" i="1"/>
  <c r="I731" i="1"/>
  <c r="J730" i="1"/>
  <c r="I730" i="1"/>
  <c r="J729" i="1"/>
  <c r="I729" i="1"/>
  <c r="J728" i="1"/>
  <c r="I728" i="1"/>
  <c r="J727" i="1"/>
  <c r="I727" i="1"/>
  <c r="J726" i="1"/>
  <c r="I726" i="1"/>
  <c r="J725" i="1"/>
  <c r="I725" i="1"/>
  <c r="J724" i="1"/>
  <c r="I724" i="1"/>
  <c r="J723" i="1"/>
  <c r="I723" i="1"/>
  <c r="J722" i="1"/>
  <c r="I722" i="1"/>
  <c r="J721" i="1"/>
  <c r="I721" i="1"/>
  <c r="J720" i="1"/>
  <c r="I720" i="1"/>
  <c r="J719" i="1"/>
  <c r="I719" i="1"/>
  <c r="J718" i="1"/>
  <c r="I718" i="1"/>
  <c r="J717" i="1"/>
  <c r="I717" i="1"/>
  <c r="J716" i="1"/>
  <c r="I716" i="1"/>
  <c r="J715" i="1"/>
  <c r="I715" i="1"/>
  <c r="J714" i="1"/>
  <c r="I714" i="1"/>
  <c r="J713" i="1"/>
  <c r="I713" i="1"/>
  <c r="J712" i="1"/>
  <c r="I712" i="1"/>
  <c r="J711" i="1"/>
  <c r="I711" i="1"/>
  <c r="J710" i="1"/>
  <c r="I710" i="1"/>
  <c r="J709" i="1"/>
  <c r="I709" i="1"/>
  <c r="J708" i="1"/>
  <c r="I708" i="1"/>
  <c r="J707" i="1"/>
  <c r="I707" i="1"/>
  <c r="J706" i="1"/>
  <c r="I706" i="1"/>
  <c r="J705" i="1"/>
  <c r="I705" i="1"/>
  <c r="J704" i="1"/>
  <c r="I704" i="1"/>
  <c r="J703" i="1"/>
  <c r="I703" i="1"/>
  <c r="J702" i="1"/>
  <c r="I702" i="1"/>
  <c r="J701" i="1"/>
  <c r="I701" i="1"/>
  <c r="J700" i="1"/>
  <c r="I700" i="1"/>
  <c r="J699" i="1"/>
  <c r="I699" i="1"/>
  <c r="J698" i="1"/>
  <c r="I698" i="1"/>
  <c r="J697" i="1"/>
  <c r="I697" i="1"/>
  <c r="J696" i="1"/>
  <c r="I696" i="1"/>
  <c r="J695" i="1"/>
  <c r="I695" i="1"/>
  <c r="J694" i="1"/>
  <c r="I694" i="1"/>
  <c r="J693" i="1"/>
  <c r="I693" i="1"/>
  <c r="J692" i="1"/>
  <c r="I692" i="1"/>
  <c r="J691" i="1"/>
  <c r="I691" i="1"/>
  <c r="J690" i="1"/>
  <c r="I690" i="1"/>
  <c r="J689" i="1"/>
  <c r="I689" i="1"/>
  <c r="J688" i="1"/>
  <c r="I688" i="1"/>
  <c r="J687" i="1"/>
  <c r="I687" i="1"/>
  <c r="J686" i="1"/>
  <c r="I686" i="1"/>
  <c r="J685" i="1"/>
  <c r="I685" i="1"/>
  <c r="J684" i="1"/>
  <c r="I684" i="1"/>
  <c r="J683" i="1"/>
  <c r="I683" i="1"/>
  <c r="J682" i="1"/>
  <c r="I682" i="1"/>
  <c r="J681" i="1"/>
  <c r="I681" i="1"/>
  <c r="J680" i="1"/>
  <c r="I680" i="1"/>
  <c r="J679" i="1"/>
  <c r="I679" i="1"/>
  <c r="J678" i="1"/>
  <c r="I678" i="1"/>
  <c r="J677" i="1"/>
  <c r="I677" i="1"/>
  <c r="J676" i="1"/>
  <c r="I676" i="1"/>
  <c r="J675" i="1"/>
  <c r="I675" i="1"/>
  <c r="J674" i="1"/>
  <c r="I674" i="1"/>
  <c r="J673" i="1"/>
  <c r="I673" i="1"/>
  <c r="J672" i="1"/>
  <c r="I672" i="1"/>
  <c r="J671" i="1"/>
  <c r="I671" i="1"/>
  <c r="J670" i="1"/>
  <c r="I670" i="1"/>
  <c r="J669" i="1"/>
  <c r="I669" i="1"/>
  <c r="J668" i="1"/>
  <c r="I668" i="1"/>
  <c r="J667" i="1"/>
  <c r="I667" i="1"/>
  <c r="J666" i="1"/>
  <c r="I666" i="1"/>
  <c r="J665" i="1"/>
  <c r="I665" i="1"/>
  <c r="J664" i="1"/>
  <c r="I664" i="1"/>
  <c r="J663" i="1"/>
  <c r="I663" i="1"/>
  <c r="J662" i="1"/>
  <c r="I662" i="1"/>
  <c r="J661" i="1"/>
  <c r="I661" i="1"/>
  <c r="J660" i="1"/>
  <c r="I660" i="1"/>
  <c r="J659" i="1"/>
  <c r="I659" i="1"/>
  <c r="J658" i="1"/>
  <c r="I658" i="1"/>
  <c r="J657" i="1"/>
  <c r="I657" i="1"/>
  <c r="J656" i="1"/>
  <c r="I656" i="1"/>
  <c r="J655" i="1"/>
  <c r="I655" i="1"/>
  <c r="J654" i="1"/>
  <c r="I654" i="1"/>
  <c r="J653" i="1"/>
  <c r="I653" i="1"/>
  <c r="J652" i="1"/>
  <c r="I652" i="1"/>
  <c r="J651" i="1"/>
  <c r="I651" i="1"/>
  <c r="J650" i="1"/>
  <c r="I650" i="1"/>
  <c r="J649" i="1"/>
  <c r="I649" i="1"/>
  <c r="J648" i="1"/>
  <c r="I648" i="1"/>
  <c r="J647" i="1"/>
  <c r="I647" i="1"/>
  <c r="J646" i="1"/>
  <c r="I646" i="1"/>
  <c r="J645" i="1"/>
  <c r="I645" i="1"/>
  <c r="J644" i="1"/>
  <c r="I644" i="1"/>
  <c r="J643" i="1"/>
  <c r="I643" i="1"/>
  <c r="J642" i="1"/>
  <c r="I642" i="1"/>
  <c r="J641" i="1"/>
  <c r="I641" i="1"/>
  <c r="J640" i="1"/>
  <c r="I640" i="1"/>
  <c r="J639" i="1"/>
  <c r="I639" i="1"/>
  <c r="J638" i="1"/>
  <c r="I638" i="1"/>
  <c r="J637" i="1"/>
  <c r="I637" i="1"/>
  <c r="J636" i="1"/>
  <c r="I636" i="1"/>
  <c r="J635" i="1"/>
  <c r="I635" i="1"/>
  <c r="J634" i="1"/>
  <c r="I634" i="1"/>
  <c r="J633" i="1"/>
  <c r="I633" i="1"/>
  <c r="J632" i="1"/>
  <c r="I632" i="1"/>
  <c r="J631" i="1"/>
  <c r="I631" i="1"/>
  <c r="J630" i="1"/>
  <c r="I630" i="1"/>
  <c r="J629" i="1"/>
  <c r="I629" i="1"/>
  <c r="J628" i="1"/>
  <c r="I628" i="1"/>
  <c r="J627" i="1"/>
  <c r="I627" i="1"/>
  <c r="J626" i="1"/>
  <c r="I626" i="1"/>
  <c r="J625" i="1"/>
  <c r="I625" i="1"/>
  <c r="J624" i="1"/>
  <c r="I624" i="1"/>
  <c r="J623" i="1"/>
  <c r="I623" i="1"/>
  <c r="J622" i="1"/>
  <c r="I622" i="1"/>
  <c r="J621" i="1"/>
  <c r="I621" i="1"/>
  <c r="J620" i="1"/>
  <c r="I620" i="1"/>
  <c r="J619" i="1"/>
  <c r="I619" i="1"/>
  <c r="J618" i="1"/>
  <c r="I618" i="1"/>
  <c r="J617" i="1"/>
  <c r="I617" i="1"/>
  <c r="J616" i="1"/>
  <c r="I616" i="1"/>
  <c r="J615" i="1"/>
  <c r="I615" i="1"/>
  <c r="J614" i="1"/>
  <c r="I614" i="1"/>
  <c r="J613" i="1"/>
  <c r="I613" i="1"/>
  <c r="J612" i="1"/>
  <c r="I612" i="1"/>
  <c r="J611" i="1"/>
  <c r="I611" i="1"/>
  <c r="J610" i="1"/>
  <c r="I610" i="1"/>
  <c r="J609" i="1"/>
  <c r="I609" i="1"/>
  <c r="J608" i="1"/>
  <c r="I608" i="1"/>
  <c r="J607" i="1"/>
  <c r="I607" i="1"/>
  <c r="J606" i="1"/>
  <c r="I606" i="1"/>
  <c r="J605" i="1"/>
  <c r="I605" i="1"/>
  <c r="J604" i="1"/>
  <c r="I604" i="1"/>
  <c r="J603" i="1"/>
  <c r="I603" i="1"/>
  <c r="J602" i="1"/>
  <c r="I602" i="1"/>
  <c r="J601" i="1"/>
  <c r="I601" i="1"/>
  <c r="J600" i="1"/>
  <c r="I600" i="1"/>
  <c r="J599" i="1"/>
  <c r="I599" i="1"/>
  <c r="J598" i="1"/>
  <c r="I598" i="1"/>
  <c r="J597" i="1"/>
  <c r="I597" i="1"/>
  <c r="J596" i="1"/>
  <c r="I596" i="1"/>
  <c r="J595" i="1"/>
  <c r="I595" i="1"/>
  <c r="J594" i="1"/>
  <c r="I594" i="1"/>
  <c r="J593" i="1"/>
  <c r="I593" i="1"/>
  <c r="J592" i="1"/>
  <c r="I592" i="1"/>
  <c r="J591" i="1"/>
  <c r="I591" i="1"/>
  <c r="J590" i="1"/>
  <c r="I590" i="1"/>
  <c r="J589" i="1"/>
  <c r="I589" i="1"/>
  <c r="J588" i="1"/>
  <c r="I588" i="1"/>
  <c r="J587" i="1"/>
  <c r="I587" i="1"/>
  <c r="J586" i="1"/>
  <c r="I586" i="1"/>
  <c r="J585" i="1"/>
  <c r="I585" i="1"/>
  <c r="J584" i="1"/>
  <c r="I584" i="1"/>
  <c r="J583" i="1"/>
  <c r="I583" i="1"/>
  <c r="J582" i="1"/>
  <c r="I582" i="1"/>
  <c r="J581" i="1"/>
  <c r="I581" i="1"/>
  <c r="J580" i="1"/>
  <c r="I580" i="1"/>
  <c r="J579" i="1"/>
  <c r="I579" i="1"/>
  <c r="J578" i="1"/>
  <c r="I578" i="1"/>
  <c r="J577" i="1"/>
  <c r="I577" i="1"/>
  <c r="J576" i="1"/>
  <c r="I576" i="1"/>
  <c r="J575" i="1"/>
  <c r="I575" i="1"/>
  <c r="J574" i="1"/>
  <c r="I574" i="1"/>
  <c r="J573" i="1"/>
  <c r="I573" i="1"/>
  <c r="J572" i="1"/>
  <c r="I572" i="1"/>
  <c r="J571" i="1"/>
  <c r="I571" i="1"/>
  <c r="J570" i="1"/>
  <c r="I570" i="1"/>
  <c r="J569" i="1"/>
  <c r="I569" i="1"/>
  <c r="J568" i="1"/>
  <c r="I568" i="1"/>
  <c r="J567" i="1"/>
  <c r="I567" i="1"/>
  <c r="J566" i="1"/>
  <c r="I566" i="1"/>
  <c r="J565" i="1"/>
  <c r="I565" i="1"/>
  <c r="J564" i="1"/>
  <c r="I564" i="1"/>
  <c r="J563" i="1"/>
  <c r="I563" i="1"/>
  <c r="J562" i="1"/>
  <c r="I562" i="1"/>
  <c r="J561" i="1"/>
  <c r="I561" i="1"/>
  <c r="J560" i="1"/>
  <c r="I560" i="1"/>
  <c r="J559" i="1"/>
  <c r="I559" i="1"/>
  <c r="J558" i="1"/>
  <c r="I558" i="1"/>
  <c r="J557" i="1"/>
  <c r="I557" i="1"/>
  <c r="J556" i="1"/>
  <c r="I556" i="1"/>
  <c r="J555" i="1"/>
  <c r="I555" i="1"/>
  <c r="J554" i="1"/>
  <c r="I554" i="1"/>
  <c r="J553" i="1"/>
  <c r="I553" i="1"/>
  <c r="J552" i="1"/>
  <c r="I552" i="1"/>
  <c r="J551" i="1"/>
  <c r="I551" i="1"/>
  <c r="J550" i="1"/>
  <c r="I550" i="1"/>
  <c r="J549" i="1"/>
  <c r="I549" i="1"/>
  <c r="J548" i="1"/>
  <c r="I548" i="1"/>
  <c r="J547" i="1"/>
  <c r="I547" i="1"/>
  <c r="J546" i="1"/>
  <c r="I546" i="1"/>
  <c r="J545" i="1"/>
  <c r="I545" i="1"/>
  <c r="J544" i="1"/>
  <c r="I544" i="1"/>
  <c r="J543" i="1"/>
  <c r="I543" i="1"/>
  <c r="J542" i="1"/>
  <c r="I542" i="1"/>
  <c r="J541" i="1"/>
  <c r="I541" i="1"/>
  <c r="J540" i="1"/>
  <c r="I540" i="1"/>
  <c r="J539" i="1"/>
  <c r="I539" i="1"/>
  <c r="J538" i="1"/>
  <c r="I538" i="1"/>
  <c r="J537" i="1"/>
  <c r="I537" i="1"/>
  <c r="J536" i="1"/>
  <c r="I536" i="1"/>
  <c r="J535" i="1"/>
  <c r="I535" i="1"/>
  <c r="J534" i="1"/>
  <c r="I534" i="1"/>
  <c r="J533" i="1"/>
  <c r="I533" i="1"/>
  <c r="J532" i="1"/>
  <c r="I532" i="1"/>
  <c r="J531" i="1"/>
  <c r="I531" i="1"/>
  <c r="J530" i="1"/>
  <c r="I530" i="1"/>
  <c r="J529" i="1"/>
  <c r="I529" i="1"/>
  <c r="J528" i="1"/>
  <c r="I528" i="1"/>
  <c r="J527" i="1"/>
  <c r="I527" i="1"/>
  <c r="J526" i="1"/>
  <c r="I526" i="1"/>
  <c r="J525" i="1"/>
  <c r="I525" i="1"/>
  <c r="J524" i="1"/>
  <c r="I524" i="1"/>
  <c r="J523" i="1"/>
  <c r="I523" i="1"/>
  <c r="J522" i="1"/>
  <c r="I522" i="1"/>
  <c r="J521" i="1"/>
  <c r="I521" i="1"/>
  <c r="J520" i="1"/>
  <c r="I520" i="1"/>
  <c r="J519" i="1"/>
  <c r="I519" i="1"/>
  <c r="J518" i="1"/>
  <c r="I518" i="1"/>
  <c r="J517" i="1"/>
  <c r="I517" i="1"/>
  <c r="J516" i="1"/>
  <c r="I516" i="1"/>
  <c r="J515" i="1"/>
  <c r="I515" i="1"/>
  <c r="J514" i="1"/>
  <c r="I514" i="1"/>
  <c r="J513" i="1"/>
  <c r="I513" i="1"/>
  <c r="J512" i="1"/>
  <c r="I512" i="1"/>
  <c r="J511" i="1"/>
  <c r="I511" i="1"/>
  <c r="J510" i="1"/>
  <c r="I510" i="1"/>
  <c r="J509" i="1"/>
  <c r="I509" i="1"/>
  <c r="J508" i="1"/>
  <c r="I508" i="1"/>
  <c r="J507" i="1"/>
  <c r="I507" i="1"/>
  <c r="J506" i="1"/>
  <c r="I506" i="1"/>
  <c r="J505" i="1"/>
  <c r="I505" i="1"/>
  <c r="J504" i="1"/>
  <c r="I504" i="1"/>
  <c r="J503" i="1"/>
  <c r="I503" i="1"/>
  <c r="J502" i="1"/>
  <c r="I502" i="1"/>
  <c r="J501" i="1"/>
  <c r="I501" i="1"/>
  <c r="J500" i="1"/>
  <c r="I500" i="1"/>
  <c r="J499" i="1"/>
  <c r="I499" i="1"/>
  <c r="J498" i="1"/>
  <c r="I498" i="1"/>
  <c r="J497" i="1"/>
  <c r="I497" i="1"/>
  <c r="J496" i="1"/>
  <c r="I496" i="1"/>
  <c r="J495" i="1"/>
  <c r="I495" i="1"/>
  <c r="J494" i="1"/>
  <c r="I494" i="1"/>
  <c r="J493" i="1"/>
  <c r="I493" i="1"/>
  <c r="J492" i="1"/>
  <c r="I492" i="1"/>
  <c r="J491" i="1"/>
  <c r="I491" i="1"/>
  <c r="J490" i="1"/>
  <c r="I490" i="1"/>
  <c r="J489" i="1"/>
  <c r="I489" i="1"/>
  <c r="J488" i="1"/>
  <c r="I488" i="1"/>
  <c r="J487" i="1"/>
  <c r="I487" i="1"/>
  <c r="J486" i="1"/>
  <c r="I486" i="1"/>
  <c r="J485" i="1"/>
  <c r="I485" i="1"/>
  <c r="J484" i="1"/>
  <c r="I484" i="1"/>
  <c r="J483" i="1"/>
  <c r="I483" i="1"/>
  <c r="J482" i="1"/>
  <c r="I482" i="1"/>
  <c r="J481" i="1"/>
  <c r="I481" i="1"/>
  <c r="J480" i="1"/>
  <c r="I480" i="1"/>
  <c r="J479" i="1"/>
  <c r="I479" i="1"/>
  <c r="J478" i="1"/>
  <c r="I478" i="1"/>
  <c r="J477" i="1"/>
  <c r="I477" i="1"/>
  <c r="J476" i="1"/>
  <c r="I476" i="1"/>
  <c r="J475" i="1"/>
  <c r="I475" i="1"/>
  <c r="J474" i="1"/>
  <c r="I474" i="1"/>
  <c r="J473" i="1"/>
  <c r="I473" i="1"/>
  <c r="J472" i="1"/>
  <c r="I472" i="1"/>
  <c r="J471" i="1"/>
  <c r="I471" i="1"/>
  <c r="J470" i="1"/>
  <c r="I470" i="1"/>
  <c r="J469" i="1"/>
  <c r="I469" i="1"/>
  <c r="J468" i="1"/>
  <c r="I468" i="1"/>
  <c r="J467" i="1"/>
  <c r="I467" i="1"/>
  <c r="J466" i="1"/>
  <c r="I466" i="1"/>
  <c r="J465" i="1"/>
  <c r="I465" i="1"/>
  <c r="J464" i="1"/>
  <c r="I464" i="1"/>
  <c r="J463" i="1"/>
  <c r="I463" i="1"/>
  <c r="J462" i="1"/>
  <c r="I462" i="1"/>
  <c r="J461" i="1"/>
  <c r="I461" i="1"/>
  <c r="J460" i="1"/>
  <c r="I460" i="1"/>
  <c r="J459" i="1"/>
  <c r="I459" i="1"/>
  <c r="J458" i="1"/>
  <c r="I458" i="1"/>
  <c r="J457" i="1"/>
  <c r="I457" i="1"/>
  <c r="J456" i="1"/>
  <c r="I456" i="1"/>
  <c r="J455" i="1"/>
  <c r="I455" i="1"/>
  <c r="J454" i="1"/>
  <c r="I454" i="1"/>
  <c r="J453" i="1"/>
  <c r="I453" i="1"/>
  <c r="J452" i="1"/>
  <c r="I452" i="1"/>
  <c r="J451" i="1"/>
  <c r="I451" i="1"/>
  <c r="J450" i="1"/>
  <c r="I450" i="1"/>
  <c r="J449" i="1"/>
  <c r="I449" i="1"/>
  <c r="J448" i="1"/>
  <c r="I448" i="1"/>
  <c r="J447" i="1"/>
  <c r="I447" i="1"/>
  <c r="J446" i="1"/>
  <c r="I446" i="1"/>
  <c r="J445" i="1"/>
  <c r="I445" i="1"/>
  <c r="J444" i="1"/>
  <c r="I444" i="1"/>
  <c r="J443" i="1"/>
  <c r="I443" i="1"/>
  <c r="J442" i="1"/>
  <c r="I442" i="1"/>
  <c r="J441" i="1"/>
  <c r="I441" i="1"/>
  <c r="J440" i="1"/>
  <c r="I440" i="1"/>
  <c r="J439" i="1"/>
  <c r="I439" i="1"/>
  <c r="J438" i="1"/>
  <c r="I438" i="1"/>
  <c r="J437" i="1"/>
  <c r="I437" i="1"/>
  <c r="J436" i="1"/>
  <c r="I436" i="1"/>
  <c r="J435" i="1"/>
  <c r="I435" i="1"/>
  <c r="J434" i="1"/>
  <c r="I434" i="1"/>
  <c r="J433" i="1"/>
  <c r="I433" i="1"/>
  <c r="J432" i="1"/>
  <c r="I432" i="1"/>
  <c r="J431" i="1"/>
  <c r="I431" i="1"/>
  <c r="J430" i="1"/>
  <c r="I430" i="1"/>
  <c r="J429" i="1"/>
  <c r="I429" i="1"/>
  <c r="J428" i="1"/>
  <c r="I428" i="1"/>
  <c r="J427" i="1"/>
  <c r="I427" i="1"/>
  <c r="J426" i="1"/>
  <c r="I426" i="1"/>
  <c r="J425" i="1"/>
  <c r="I425" i="1"/>
  <c r="J424" i="1"/>
  <c r="I424" i="1"/>
  <c r="J423" i="1"/>
  <c r="I423" i="1"/>
  <c r="J422" i="1"/>
  <c r="I422" i="1"/>
  <c r="J421" i="1"/>
  <c r="I421" i="1"/>
  <c r="J420" i="1"/>
  <c r="I420" i="1"/>
  <c r="J419" i="1"/>
  <c r="I419" i="1"/>
  <c r="J418" i="1"/>
  <c r="I418" i="1"/>
  <c r="J417" i="1"/>
  <c r="I417" i="1"/>
  <c r="J416" i="1"/>
  <c r="I416" i="1"/>
  <c r="J415" i="1"/>
  <c r="I415" i="1"/>
  <c r="J414" i="1"/>
  <c r="I414" i="1"/>
  <c r="J413" i="1"/>
  <c r="I413" i="1"/>
  <c r="J412" i="1"/>
  <c r="I412" i="1"/>
  <c r="J411" i="1"/>
  <c r="I411" i="1"/>
  <c r="J410" i="1"/>
  <c r="I410" i="1"/>
  <c r="J409" i="1"/>
  <c r="I409" i="1"/>
  <c r="J408" i="1"/>
  <c r="I408" i="1"/>
  <c r="J407" i="1"/>
  <c r="I407" i="1"/>
  <c r="J406" i="1"/>
  <c r="I406" i="1"/>
  <c r="J405" i="1"/>
  <c r="I405" i="1"/>
  <c r="J404" i="1"/>
  <c r="I404" i="1"/>
  <c r="J403" i="1"/>
  <c r="I403" i="1"/>
  <c r="J402" i="1"/>
  <c r="I402" i="1"/>
  <c r="J401" i="1"/>
  <c r="I401" i="1"/>
  <c r="J400" i="1"/>
  <c r="I400" i="1"/>
  <c r="J399" i="1"/>
  <c r="I399" i="1"/>
  <c r="J398" i="1"/>
  <c r="I398" i="1"/>
  <c r="J397" i="1"/>
  <c r="I397" i="1"/>
  <c r="J396" i="1"/>
  <c r="I396" i="1"/>
  <c r="J395" i="1"/>
  <c r="I395" i="1"/>
  <c r="J394" i="1"/>
  <c r="I394" i="1"/>
  <c r="J393" i="1"/>
  <c r="I393" i="1"/>
  <c r="J392" i="1"/>
  <c r="I392" i="1"/>
  <c r="J391" i="1"/>
  <c r="I391" i="1"/>
  <c r="J390" i="1"/>
  <c r="I390" i="1"/>
  <c r="J389" i="1"/>
  <c r="I389" i="1"/>
  <c r="J388" i="1"/>
  <c r="I388" i="1"/>
  <c r="J387" i="1"/>
  <c r="I387" i="1"/>
  <c r="J386" i="1"/>
  <c r="I386" i="1"/>
  <c r="J385" i="1"/>
  <c r="I385" i="1"/>
  <c r="J384" i="1"/>
  <c r="I384" i="1"/>
  <c r="J383" i="1"/>
  <c r="I383" i="1"/>
  <c r="J382" i="1"/>
  <c r="I382" i="1"/>
  <c r="J381" i="1"/>
  <c r="I381" i="1"/>
  <c r="J380" i="1"/>
  <c r="I380" i="1"/>
  <c r="J379" i="1"/>
  <c r="I379" i="1"/>
  <c r="J378" i="1"/>
  <c r="I378" i="1"/>
  <c r="J377" i="1"/>
  <c r="I377" i="1"/>
  <c r="J376" i="1"/>
  <c r="I376" i="1"/>
  <c r="J375" i="1"/>
  <c r="I375" i="1"/>
  <c r="J374" i="1"/>
  <c r="I374" i="1"/>
  <c r="J373" i="1"/>
  <c r="I373" i="1"/>
  <c r="J372" i="1"/>
  <c r="I372" i="1"/>
  <c r="J371" i="1"/>
  <c r="I371" i="1"/>
  <c r="J370" i="1"/>
  <c r="I370" i="1"/>
  <c r="J369" i="1"/>
  <c r="I369" i="1"/>
  <c r="J368" i="1"/>
  <c r="I368" i="1"/>
  <c r="J367" i="1"/>
  <c r="I367" i="1"/>
  <c r="J366" i="1"/>
  <c r="I366" i="1"/>
  <c r="J365" i="1"/>
  <c r="I365" i="1"/>
  <c r="J364" i="1"/>
  <c r="I364" i="1"/>
  <c r="J363" i="1"/>
  <c r="I363" i="1"/>
  <c r="J362" i="1"/>
  <c r="I362" i="1"/>
  <c r="J361" i="1"/>
  <c r="I361" i="1"/>
  <c r="J360" i="1"/>
  <c r="I360" i="1"/>
  <c r="J359" i="1"/>
  <c r="I359" i="1"/>
  <c r="J358" i="1"/>
  <c r="I358" i="1"/>
  <c r="J357" i="1"/>
  <c r="I357" i="1"/>
  <c r="J356" i="1"/>
  <c r="I356" i="1"/>
  <c r="J355" i="1"/>
  <c r="I355" i="1"/>
  <c r="J354" i="1"/>
  <c r="I354" i="1"/>
  <c r="J353" i="1"/>
  <c r="I353" i="1"/>
  <c r="J352" i="1"/>
  <c r="I352" i="1"/>
  <c r="J351" i="1"/>
  <c r="I351" i="1"/>
  <c r="J350" i="1"/>
  <c r="I350" i="1"/>
  <c r="J349" i="1"/>
  <c r="I349" i="1"/>
  <c r="J348" i="1"/>
  <c r="I348" i="1"/>
  <c r="J347" i="1"/>
  <c r="I347" i="1"/>
  <c r="J346" i="1"/>
  <c r="I346" i="1"/>
  <c r="J345" i="1"/>
  <c r="I345" i="1"/>
  <c r="J344" i="1"/>
  <c r="I344" i="1"/>
  <c r="J343" i="1"/>
  <c r="I343" i="1"/>
  <c r="J342" i="1"/>
  <c r="I342" i="1"/>
  <c r="J341" i="1"/>
  <c r="I341" i="1"/>
  <c r="J340" i="1"/>
  <c r="I340" i="1"/>
  <c r="J339" i="1"/>
  <c r="I339" i="1"/>
  <c r="J338" i="1"/>
  <c r="I338" i="1"/>
  <c r="J337" i="1"/>
  <c r="I337" i="1"/>
  <c r="J336" i="1"/>
  <c r="I336" i="1"/>
  <c r="J335" i="1"/>
  <c r="I335" i="1"/>
  <c r="J334" i="1"/>
  <c r="I334" i="1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J325" i="1"/>
  <c r="I325" i="1"/>
  <c r="J324" i="1"/>
  <c r="I324" i="1"/>
  <c r="J323" i="1"/>
  <c r="I323" i="1"/>
  <c r="J322" i="1"/>
  <c r="I322" i="1"/>
  <c r="J321" i="1"/>
  <c r="I321" i="1"/>
  <c r="J320" i="1"/>
  <c r="I320" i="1"/>
  <c r="J319" i="1"/>
  <c r="I319" i="1"/>
  <c r="J318" i="1"/>
  <c r="I318" i="1"/>
  <c r="J317" i="1"/>
  <c r="I317" i="1"/>
  <c r="J316" i="1"/>
  <c r="I316" i="1"/>
  <c r="J315" i="1"/>
  <c r="I315" i="1"/>
  <c r="J314" i="1"/>
  <c r="I314" i="1"/>
  <c r="J313" i="1"/>
  <c r="I313" i="1"/>
  <c r="J312" i="1"/>
  <c r="I312" i="1"/>
  <c r="J311" i="1"/>
  <c r="I311" i="1"/>
  <c r="J310" i="1"/>
  <c r="I310" i="1"/>
  <c r="J309" i="1"/>
  <c r="I309" i="1"/>
  <c r="J308" i="1"/>
  <c r="I308" i="1"/>
  <c r="J307" i="1"/>
  <c r="I307" i="1"/>
  <c r="J306" i="1"/>
  <c r="I306" i="1"/>
  <c r="J305" i="1"/>
  <c r="I305" i="1"/>
  <c r="J304" i="1"/>
  <c r="I304" i="1"/>
  <c r="J303" i="1"/>
  <c r="I303" i="1"/>
  <c r="J302" i="1"/>
  <c r="I302" i="1"/>
  <c r="J301" i="1"/>
  <c r="I301" i="1"/>
  <c r="J300" i="1"/>
  <c r="I300" i="1"/>
  <c r="J299" i="1"/>
  <c r="I299" i="1"/>
  <c r="J298" i="1"/>
  <c r="I298" i="1"/>
  <c r="J297" i="1"/>
  <c r="I297" i="1"/>
  <c r="J296" i="1"/>
  <c r="I296" i="1"/>
  <c r="J295" i="1"/>
  <c r="I295" i="1"/>
  <c r="J294" i="1"/>
  <c r="I294" i="1"/>
  <c r="J293" i="1"/>
  <c r="I293" i="1"/>
  <c r="J292" i="1"/>
  <c r="I292" i="1"/>
  <c r="J291" i="1"/>
  <c r="I291" i="1"/>
  <c r="J290" i="1"/>
  <c r="I290" i="1"/>
  <c r="J289" i="1"/>
  <c r="I289" i="1"/>
  <c r="J288" i="1"/>
  <c r="I288" i="1"/>
  <c r="J287" i="1"/>
  <c r="I287" i="1"/>
  <c r="J286" i="1"/>
  <c r="I286" i="1"/>
  <c r="J285" i="1"/>
  <c r="I285" i="1"/>
  <c r="J284" i="1"/>
  <c r="I284" i="1"/>
  <c r="J283" i="1"/>
  <c r="I283" i="1"/>
  <c r="J282" i="1"/>
  <c r="I282" i="1"/>
  <c r="J281" i="1"/>
  <c r="I281" i="1"/>
  <c r="J280" i="1"/>
  <c r="I280" i="1"/>
  <c r="J279" i="1"/>
  <c r="I279" i="1"/>
  <c r="J278" i="1"/>
  <c r="I278" i="1"/>
  <c r="J277" i="1"/>
  <c r="I277" i="1"/>
  <c r="J276" i="1"/>
  <c r="I276" i="1"/>
  <c r="J275" i="1"/>
  <c r="I275" i="1"/>
  <c r="J274" i="1"/>
  <c r="I274" i="1"/>
  <c r="J273" i="1"/>
  <c r="I273" i="1"/>
  <c r="J272" i="1"/>
  <c r="I272" i="1"/>
  <c r="J271" i="1"/>
  <c r="I271" i="1"/>
  <c r="J270" i="1"/>
  <c r="I270" i="1"/>
  <c r="J269" i="1"/>
  <c r="I269" i="1"/>
  <c r="J268" i="1"/>
  <c r="I268" i="1"/>
  <c r="J267" i="1"/>
  <c r="I267" i="1"/>
  <c r="J266" i="1"/>
  <c r="I266" i="1"/>
  <c r="J265" i="1"/>
  <c r="I265" i="1"/>
  <c r="J264" i="1"/>
  <c r="I264" i="1"/>
  <c r="J263" i="1"/>
  <c r="I263" i="1"/>
  <c r="J262" i="1"/>
  <c r="I262" i="1"/>
  <c r="J261" i="1"/>
  <c r="I261" i="1"/>
  <c r="J260" i="1"/>
  <c r="I260" i="1"/>
  <c r="J259" i="1"/>
  <c r="I259" i="1"/>
  <c r="J258" i="1"/>
  <c r="I258" i="1"/>
  <c r="J257" i="1"/>
  <c r="I257" i="1"/>
  <c r="J256" i="1"/>
  <c r="I256" i="1"/>
  <c r="J255" i="1"/>
  <c r="I255" i="1"/>
  <c r="J254" i="1"/>
  <c r="I254" i="1"/>
  <c r="J253" i="1"/>
  <c r="I253" i="1"/>
  <c r="J252" i="1"/>
  <c r="I252" i="1"/>
  <c r="J251" i="1"/>
  <c r="I251" i="1"/>
  <c r="J250" i="1"/>
  <c r="I250" i="1"/>
  <c r="J249" i="1"/>
  <c r="I249" i="1"/>
  <c r="J248" i="1"/>
  <c r="I248" i="1"/>
  <c r="J247" i="1"/>
  <c r="I247" i="1"/>
  <c r="J246" i="1"/>
  <c r="I246" i="1"/>
  <c r="J245" i="1"/>
  <c r="I245" i="1"/>
  <c r="J244" i="1"/>
  <c r="I244" i="1"/>
  <c r="J243" i="1"/>
  <c r="I243" i="1"/>
  <c r="J242" i="1"/>
  <c r="I242" i="1"/>
  <c r="J241" i="1"/>
  <c r="I241" i="1"/>
  <c r="J240" i="1"/>
  <c r="I240" i="1"/>
  <c r="J239" i="1"/>
  <c r="I239" i="1"/>
  <c r="J238" i="1"/>
  <c r="I238" i="1"/>
  <c r="J237" i="1"/>
  <c r="I237" i="1"/>
  <c r="J236" i="1"/>
  <c r="I236" i="1"/>
  <c r="J235" i="1"/>
  <c r="I235" i="1"/>
  <c r="J234" i="1"/>
  <c r="I234" i="1"/>
  <c r="J233" i="1"/>
  <c r="I233" i="1"/>
  <c r="J232" i="1"/>
  <c r="I232" i="1"/>
  <c r="J231" i="1"/>
  <c r="I231" i="1"/>
  <c r="J230" i="1"/>
  <c r="I230" i="1"/>
  <c r="J229" i="1"/>
  <c r="I229" i="1"/>
  <c r="J228" i="1"/>
  <c r="I228" i="1"/>
  <c r="J227" i="1"/>
  <c r="I227" i="1"/>
  <c r="J226" i="1"/>
  <c r="I226" i="1"/>
  <c r="J225" i="1"/>
  <c r="I225" i="1"/>
  <c r="J224" i="1"/>
  <c r="I224" i="1"/>
  <c r="J223" i="1"/>
  <c r="I223" i="1"/>
  <c r="J222" i="1"/>
  <c r="I222" i="1"/>
  <c r="J221" i="1"/>
  <c r="I221" i="1"/>
  <c r="J220" i="1"/>
  <c r="I220" i="1"/>
  <c r="J219" i="1"/>
  <c r="I219" i="1"/>
  <c r="J218" i="1"/>
  <c r="I218" i="1"/>
  <c r="J217" i="1"/>
  <c r="I217" i="1"/>
  <c r="J216" i="1"/>
  <c r="I216" i="1"/>
  <c r="J215" i="1"/>
  <c r="I215" i="1"/>
  <c r="J214" i="1"/>
  <c r="I214" i="1"/>
  <c r="J213" i="1"/>
  <c r="I213" i="1"/>
  <c r="J212" i="1"/>
  <c r="I212" i="1"/>
  <c r="J211" i="1"/>
  <c r="I211" i="1"/>
  <c r="J210" i="1"/>
  <c r="I210" i="1"/>
  <c r="J209" i="1"/>
  <c r="I209" i="1"/>
  <c r="J208" i="1"/>
  <c r="I208" i="1"/>
  <c r="J207" i="1"/>
  <c r="I207" i="1"/>
  <c r="J206" i="1"/>
  <c r="I206" i="1"/>
  <c r="J205" i="1"/>
  <c r="I205" i="1"/>
  <c r="J204" i="1"/>
  <c r="I204" i="1"/>
  <c r="J203" i="1"/>
  <c r="I203" i="1"/>
  <c r="J202" i="1"/>
  <c r="I202" i="1"/>
  <c r="J201" i="1"/>
  <c r="I201" i="1"/>
  <c r="J200" i="1"/>
  <c r="I200" i="1"/>
  <c r="J199" i="1"/>
  <c r="I199" i="1"/>
  <c r="J198" i="1"/>
  <c r="I198" i="1"/>
  <c r="J197" i="1"/>
  <c r="I197" i="1"/>
  <c r="J196" i="1"/>
  <c r="I196" i="1"/>
  <c r="J195" i="1"/>
  <c r="I195" i="1"/>
  <c r="J194" i="1"/>
  <c r="I194" i="1"/>
  <c r="J193" i="1"/>
  <c r="I193" i="1"/>
  <c r="J192" i="1"/>
  <c r="I192" i="1"/>
  <c r="J191" i="1"/>
  <c r="I191" i="1"/>
  <c r="J190" i="1"/>
  <c r="I190" i="1"/>
  <c r="J189" i="1"/>
  <c r="I189" i="1"/>
  <c r="J188" i="1"/>
  <c r="I188" i="1"/>
  <c r="J187" i="1"/>
  <c r="I187" i="1"/>
  <c r="J186" i="1"/>
  <c r="I186" i="1"/>
  <c r="J185" i="1"/>
  <c r="I185" i="1"/>
  <c r="J184" i="1"/>
  <c r="I184" i="1"/>
  <c r="J183" i="1"/>
  <c r="I183" i="1"/>
  <c r="J182" i="1"/>
  <c r="I182" i="1"/>
  <c r="J181" i="1"/>
  <c r="I181" i="1"/>
  <c r="J180" i="1"/>
  <c r="I180" i="1"/>
  <c r="J179" i="1"/>
  <c r="I179" i="1"/>
  <c r="J178" i="1"/>
  <c r="I178" i="1"/>
  <c r="J177" i="1"/>
  <c r="I177" i="1"/>
  <c r="J176" i="1"/>
  <c r="I176" i="1"/>
  <c r="J175" i="1"/>
  <c r="I175" i="1"/>
  <c r="J174" i="1"/>
  <c r="I174" i="1"/>
  <c r="J173" i="1"/>
  <c r="I173" i="1"/>
  <c r="J172" i="1"/>
  <c r="I172" i="1"/>
  <c r="J171" i="1"/>
  <c r="I171" i="1"/>
  <c r="J170" i="1"/>
  <c r="I170" i="1"/>
  <c r="J169" i="1"/>
  <c r="I169" i="1"/>
  <c r="J168" i="1"/>
  <c r="I168" i="1"/>
  <c r="J167" i="1"/>
  <c r="I167" i="1"/>
  <c r="J166" i="1"/>
  <c r="I166" i="1"/>
  <c r="J165" i="1"/>
  <c r="I165" i="1"/>
  <c r="J164" i="1"/>
  <c r="I164" i="1"/>
  <c r="J163" i="1"/>
  <c r="I163" i="1"/>
  <c r="J162" i="1"/>
  <c r="I162" i="1"/>
  <c r="J161" i="1"/>
  <c r="I161" i="1"/>
  <c r="J160" i="1"/>
  <c r="I160" i="1"/>
  <c r="J159" i="1"/>
  <c r="I159" i="1"/>
  <c r="J158" i="1"/>
  <c r="I158" i="1"/>
  <c r="J157" i="1"/>
  <c r="I157" i="1"/>
  <c r="J156" i="1"/>
  <c r="I156" i="1"/>
  <c r="J155" i="1"/>
  <c r="I155" i="1"/>
  <c r="J154" i="1"/>
  <c r="I154" i="1"/>
  <c r="J153" i="1"/>
  <c r="I153" i="1"/>
  <c r="J152" i="1"/>
  <c r="I152" i="1"/>
  <c r="J151" i="1"/>
  <c r="I151" i="1"/>
  <c r="J150" i="1"/>
  <c r="I150" i="1"/>
  <c r="J149" i="1"/>
  <c r="I149" i="1"/>
  <c r="J148" i="1"/>
  <c r="I148" i="1"/>
  <c r="J147" i="1"/>
  <c r="I147" i="1"/>
  <c r="J146" i="1"/>
  <c r="I146" i="1"/>
  <c r="J145" i="1"/>
  <c r="I145" i="1"/>
  <c r="J144" i="1"/>
  <c r="I144" i="1"/>
  <c r="J143" i="1"/>
  <c r="I143" i="1"/>
  <c r="J142" i="1"/>
  <c r="I142" i="1"/>
  <c r="J141" i="1"/>
  <c r="I141" i="1"/>
  <c r="J140" i="1"/>
  <c r="I140" i="1"/>
  <c r="J139" i="1"/>
  <c r="I139" i="1"/>
  <c r="J138" i="1"/>
  <c r="I138" i="1"/>
  <c r="J137" i="1"/>
  <c r="I137" i="1"/>
  <c r="J136" i="1"/>
  <c r="I136" i="1"/>
  <c r="J135" i="1"/>
  <c r="I135" i="1"/>
  <c r="J134" i="1"/>
  <c r="I134" i="1"/>
  <c r="J133" i="1"/>
  <c r="I133" i="1"/>
  <c r="J132" i="1"/>
  <c r="I132" i="1"/>
  <c r="J131" i="1"/>
  <c r="I131" i="1"/>
  <c r="J130" i="1"/>
  <c r="I130" i="1"/>
  <c r="J129" i="1"/>
  <c r="I129" i="1"/>
  <c r="J128" i="1"/>
  <c r="I128" i="1"/>
  <c r="J127" i="1"/>
  <c r="I127" i="1"/>
  <c r="J126" i="1"/>
  <c r="I126" i="1"/>
  <c r="J125" i="1"/>
  <c r="I125" i="1"/>
  <c r="J124" i="1"/>
  <c r="I124" i="1"/>
  <c r="J123" i="1"/>
  <c r="I123" i="1"/>
  <c r="J122" i="1"/>
  <c r="I122" i="1"/>
  <c r="J121" i="1"/>
  <c r="I121" i="1"/>
  <c r="J120" i="1"/>
  <c r="I120" i="1"/>
  <c r="J119" i="1"/>
  <c r="I119" i="1"/>
  <c r="J118" i="1"/>
  <c r="I118" i="1"/>
  <c r="J117" i="1"/>
  <c r="I117" i="1"/>
  <c r="J116" i="1"/>
  <c r="I116" i="1"/>
  <c r="J115" i="1"/>
  <c r="I115" i="1"/>
  <c r="J114" i="1"/>
  <c r="I114" i="1"/>
  <c r="J113" i="1"/>
  <c r="I113" i="1"/>
  <c r="J112" i="1"/>
  <c r="I112" i="1"/>
  <c r="J111" i="1"/>
  <c r="I111" i="1"/>
  <c r="J110" i="1"/>
  <c r="I110" i="1"/>
  <c r="J109" i="1"/>
  <c r="I109" i="1"/>
  <c r="J108" i="1"/>
  <c r="I108" i="1"/>
  <c r="J107" i="1"/>
  <c r="I107" i="1"/>
  <c r="J106" i="1"/>
  <c r="I106" i="1"/>
  <c r="J105" i="1"/>
  <c r="I105" i="1"/>
  <c r="J104" i="1"/>
  <c r="I104" i="1"/>
  <c r="J103" i="1"/>
  <c r="I103" i="1"/>
  <c r="J102" i="1"/>
  <c r="I102" i="1"/>
  <c r="J101" i="1"/>
  <c r="I101" i="1"/>
  <c r="J100" i="1"/>
  <c r="I100" i="1"/>
  <c r="J99" i="1"/>
  <c r="I99" i="1"/>
  <c r="J98" i="1"/>
  <c r="I98" i="1"/>
  <c r="J97" i="1"/>
  <c r="I97" i="1"/>
  <c r="J96" i="1"/>
  <c r="I96" i="1"/>
  <c r="J95" i="1"/>
  <c r="I95" i="1"/>
  <c r="J94" i="1"/>
  <c r="I94" i="1"/>
  <c r="J93" i="1"/>
  <c r="I93" i="1"/>
  <c r="J92" i="1"/>
  <c r="I92" i="1"/>
  <c r="J91" i="1"/>
  <c r="I91" i="1"/>
  <c r="J90" i="1"/>
  <c r="I90" i="1"/>
  <c r="J89" i="1"/>
  <c r="I89" i="1"/>
  <c r="J88" i="1"/>
  <c r="I88" i="1"/>
  <c r="J87" i="1"/>
  <c r="I87" i="1"/>
  <c r="J86" i="1"/>
  <c r="I86" i="1"/>
  <c r="J85" i="1"/>
  <c r="I85" i="1"/>
  <c r="J84" i="1"/>
  <c r="I84" i="1"/>
  <c r="J83" i="1"/>
  <c r="I83" i="1"/>
  <c r="J82" i="1"/>
  <c r="I82" i="1"/>
  <c r="J81" i="1"/>
  <c r="I81" i="1"/>
  <c r="J80" i="1"/>
  <c r="I80" i="1"/>
  <c r="J79" i="1"/>
  <c r="I79" i="1"/>
  <c r="J78" i="1"/>
  <c r="I78" i="1"/>
  <c r="J77" i="1"/>
  <c r="I77" i="1"/>
  <c r="J76" i="1"/>
  <c r="I76" i="1"/>
  <c r="J75" i="1"/>
  <c r="I75" i="1"/>
  <c r="J74" i="1"/>
  <c r="I74" i="1"/>
  <c r="J73" i="1"/>
  <c r="I73" i="1"/>
  <c r="J72" i="1"/>
  <c r="I72" i="1"/>
  <c r="J71" i="1"/>
  <c r="I71" i="1"/>
  <c r="J70" i="1"/>
  <c r="I70" i="1"/>
  <c r="J69" i="1"/>
  <c r="I69" i="1"/>
  <c r="J68" i="1"/>
  <c r="I68" i="1"/>
  <c r="J67" i="1"/>
  <c r="I67" i="1"/>
  <c r="J66" i="1"/>
  <c r="I66" i="1"/>
  <c r="J65" i="1"/>
  <c r="I65" i="1"/>
  <c r="J64" i="1"/>
  <c r="I64" i="1"/>
  <c r="J63" i="1"/>
  <c r="I63" i="1"/>
  <c r="J62" i="1"/>
  <c r="I62" i="1"/>
  <c r="J61" i="1"/>
  <c r="I61" i="1"/>
  <c r="J60" i="1"/>
  <c r="I60" i="1"/>
  <c r="J59" i="1"/>
  <c r="I59" i="1"/>
  <c r="J58" i="1"/>
  <c r="I58" i="1"/>
  <c r="J57" i="1"/>
  <c r="I57" i="1"/>
  <c r="J56" i="1"/>
  <c r="I56" i="1"/>
  <c r="J55" i="1"/>
  <c r="I55" i="1"/>
  <c r="J54" i="1"/>
  <c r="I54" i="1"/>
  <c r="J53" i="1"/>
  <c r="I53" i="1"/>
  <c r="J52" i="1"/>
  <c r="I52" i="1"/>
  <c r="J51" i="1"/>
  <c r="I51" i="1"/>
  <c r="J50" i="1"/>
  <c r="I50" i="1"/>
  <c r="J49" i="1"/>
  <c r="I49" i="1"/>
  <c r="J48" i="1"/>
  <c r="I48" i="1"/>
  <c r="J47" i="1"/>
  <c r="I47" i="1"/>
  <c r="J46" i="1"/>
  <c r="I46" i="1"/>
  <c r="J45" i="1"/>
  <c r="I45" i="1"/>
  <c r="J44" i="1"/>
  <c r="I44" i="1"/>
  <c r="J43" i="1"/>
  <c r="I43" i="1"/>
  <c r="J42" i="1"/>
  <c r="I42" i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</calcChain>
</file>

<file path=xl/sharedStrings.xml><?xml version="1.0" encoding="utf-8"?>
<sst xmlns="http://schemas.openxmlformats.org/spreadsheetml/2006/main" count="7531" uniqueCount="37">
  <si>
    <t>Processo</t>
  </si>
  <si>
    <t>Departamento</t>
  </si>
  <si>
    <t>Gestor</t>
  </si>
  <si>
    <t>Status</t>
  </si>
  <si>
    <t>Advogado</t>
  </si>
  <si>
    <t>Data de conclusão</t>
  </si>
  <si>
    <t>Valor</t>
  </si>
  <si>
    <t>Trabalhista</t>
  </si>
  <si>
    <t>Cível</t>
  </si>
  <si>
    <t>Societário</t>
  </si>
  <si>
    <t>Pedro Alcântara</t>
  </si>
  <si>
    <t>Lucia Mattos</t>
  </si>
  <si>
    <t>Cláudia Souza</t>
  </si>
  <si>
    <t>Helio Gaspar</t>
  </si>
  <si>
    <t>Juliana Bacelar</t>
  </si>
  <si>
    <t>Fernando Lemos</t>
  </si>
  <si>
    <t>Osmar Otaviano</t>
  </si>
  <si>
    <t>Paula Francisco</t>
  </si>
  <si>
    <t>Caio Brito</t>
  </si>
  <si>
    <t>Renê Amaranto</t>
  </si>
  <si>
    <t>Data de entrada</t>
  </si>
  <si>
    <t>Ter a visão dos processos da empresa. Precisamos saber quantos processos temos de cada departamento, de cada gestor, e os detalhes de cada um desses processos. O que temos em andamento no mês atual e no seguinte. Qual o status de conclusão do grupo de processos de cada gestor para saber a eficiência do departamento de cada um. Também é necessário ter um relatório sobre o faturamento do escritório, por departamento, e que esse não seja liberado para todos, e sim somente para os gestores.</t>
  </si>
  <si>
    <t>Total Geral</t>
  </si>
  <si>
    <t>Qtd</t>
  </si>
  <si>
    <t>2016</t>
  </si>
  <si>
    <t>Soma de Valor</t>
  </si>
  <si>
    <t>Processos</t>
  </si>
  <si>
    <t>Aguard. Doc</t>
  </si>
  <si>
    <t>Concluído</t>
  </si>
  <si>
    <t>Em Andamento</t>
  </si>
  <si>
    <t>Tempo</t>
  </si>
  <si>
    <t>Média de Tempo</t>
  </si>
  <si>
    <t>Tudo</t>
  </si>
  <si>
    <t>Validação</t>
  </si>
  <si>
    <t>Posição</t>
  </si>
  <si>
    <t>Advogados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</si>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</sst>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164" formatCode="&quot;R$&quot;\ #,##0.00"/>
    <numFmt numFmtId="165" formatCode="&quot;R$&quot;\ ###,#00,\(&quot;Mil&quot;\)"/>
    <numFmt numFmtId="170" formatCode="&quot;R$&quot;\ #,##0,&quot; mi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ont="1"/>
    <xf numFmtId="14" fontId="0" fillId="0" borderId="0" xfId="0" applyNumberFormat="1" applyAlignment="1">
      <alignment horizontal="left" indent="1"/>
    </xf>
    <xf numFmtId="164" fontId="0" fillId="0" borderId="0" xfId="0" applyNumberFormat="1"/>
    <xf numFmtId="44" fontId="0" fillId="0" borderId="0" xfId="0" applyNumberFormat="1"/>
    <xf numFmtId="0" fontId="0" fillId="0" borderId="0" xfId="0" pivotButton="1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2" fillId="0" borderId="0" xfId="0" applyNumberFormat="1" applyFont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0" xfId="0" applyFont="1" applyAlignment="1">
      <alignment horizontal="center"/>
    </xf>
    <xf numFmtId="44" fontId="0" fillId="0" borderId="0" xfId="0" applyNumberFormat="1" applyFont="1" applyAlignment="1">
      <alignment horizontal="center"/>
    </xf>
    <xf numFmtId="0" fontId="0" fillId="2" borderId="0" xfId="0" applyFill="1" applyBorder="1" applyAlignment="1">
      <alignment horizontal="center" vertical="top" wrapText="1"/>
    </xf>
    <xf numFmtId="44" fontId="3" fillId="3" borderId="1" xfId="0" applyNumberFormat="1" applyFont="1" applyFill="1" applyBorder="1" applyAlignment="1">
      <alignment horizontal="center"/>
    </xf>
    <xf numFmtId="10" fontId="0" fillId="0" borderId="0" xfId="2" applyNumberFormat="1" applyFont="1"/>
    <xf numFmtId="170" fontId="0" fillId="0" borderId="0" xfId="0" applyNumberFormat="1"/>
    <xf numFmtId="0" fontId="4" fillId="0" borderId="0" xfId="0" pivotButton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NumberFormat="1" applyFont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3990"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numFmt numFmtId="34" formatCode="_-&quot;R$&quot;\ * #,##0.00_-;\-&quot;R$&quot;\ * #,##0.00_-;_-&quot;R$&quot;\ * &quot;-&quot;??_-;_-@_-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z val="11"/>
        <color theme="0" tint="-4.9989318521683403E-2"/>
        <name val="Century Gothic"/>
        <scheme val="none"/>
      </font>
      <fill>
        <patternFill patternType="solid">
          <bgColor rgb="FFCA7237"/>
        </patternFill>
      </fill>
      <border diagonalUp="0" diagonalDown="0">
        <left/>
        <right/>
        <top/>
        <bottom/>
        <vertical/>
        <horizontal/>
      </border>
    </dxf>
    <dxf>
      <font>
        <sz val="11"/>
        <name val="Century Gothic"/>
        <scheme val="none"/>
      </font>
      <fill>
        <patternFill patternType="solid">
          <bgColor theme="0" tint="-4.9989318521683403E-2"/>
        </patternFill>
      </fill>
    </dxf>
  </dxfs>
  <tableStyles count="1" defaultTableStyle="TableStyleMedium2" defaultPivotStyle="PivotStyleLight16">
    <tableStyle name="Estilo de Segmentação de Dados 2" pivot="0" table="0" count="7">
      <tableStyleElement type="wholeTable" dxfId="3989"/>
      <tableStyleElement type="headerRow" dxfId="3988"/>
    </tableStyle>
  </tableStyles>
  <colors>
    <mruColors>
      <color rgb="FF767171"/>
      <color rgb="FFCA7237"/>
      <color rgb="FFEDEDED"/>
      <color rgb="FFFFFFFF"/>
      <color rgb="FFFBE5D6"/>
      <color rgb="FFFFF2CC"/>
      <color rgb="FFD40000"/>
      <color rgb="FFEA711E"/>
    </mruColors>
  </colors>
  <extLst>
    <ext xmlns:x14="http://schemas.microsoft.com/office/spreadsheetml/2009/9/main" uri="{46F421CA-312F-682f-3DD2-61675219B42D}">
      <x14:dxfs count="5">
        <dxf>
          <font>
            <sz val="11"/>
            <color theme="0"/>
            <name val="Century Gothic"/>
            <scheme val="none"/>
          </font>
          <fill>
            <patternFill>
              <bgColor rgb="FFEA711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1"/>
            <name val="Century Gothic"/>
            <scheme val="none"/>
          </font>
          <fill>
            <patternFill patternType="none">
              <bgColor auto="1"/>
            </patternFill>
          </fill>
        </dxf>
        <dxf>
          <font>
            <sz val="11"/>
            <color theme="0"/>
            <name val="Century Gothic"/>
            <scheme val="none"/>
          </font>
          <fill>
            <patternFill>
              <bgColor theme="0" tint="-0.499984740745262"/>
            </patternFill>
          </fill>
        </dxf>
        <dxf>
          <font>
            <sz val="11"/>
            <name val="Century Gothic"/>
            <scheme val="none"/>
          </font>
          <fill>
            <patternFill patternType="none">
              <bgColor auto="1"/>
            </patternFill>
          </fill>
        </dxf>
        <dxf>
          <font>
            <sz val="11"/>
            <name val="Century Gothic"/>
            <scheme val="none"/>
          </font>
          <fill>
            <patternFill patternType="none">
              <bgColor auto="1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ção de Dados 2">
        <x14:slicerStyle name="Estilo de Segmentação de Dados 2">
          <x14:slicerStyleElements>
            <x14:slicerStyleElement type="unselectedItemWithData" dxfId="4"/>
            <x14:slicerStyleElement type="unselectedItemWithNoData" dxfId="3"/>
            <x14:slicerStyleElement type="selectedItemWithData" dxfId="2"/>
            <x14:slicerStyleElement type="selectedItemWithNo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[Abecia &amp; Boldarine Adv.xlsm]Analises!Tabela dinâmica1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rgbClr val="FFF2CC">
                <a:alpha val="74902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4.6457607433216764E-3"/>
              <c:y val="-1.0437057965940674E-2"/>
            </c:manualLayout>
          </c:layout>
          <c:spPr>
            <a:solidFill>
              <a:srgbClr val="FFF2CC">
                <a:alpha val="74902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Analises!$C$4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dLbl>
              <c:idx val="2"/>
              <c:layout>
                <c:manualLayout>
                  <c:x val="4.6457607433216764E-3"/>
                  <c:y val="-1.04370579659406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2CC">
                  <a:alpha val="74902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Analises!$B$5:$B$8</c:f>
              <c:strCache>
                <c:ptCount val="3"/>
                <c:pt idx="0">
                  <c:v>Cível</c:v>
                </c:pt>
                <c:pt idx="1">
                  <c:v>Societário</c:v>
                </c:pt>
                <c:pt idx="2">
                  <c:v>Trabalhista</c:v>
                </c:pt>
              </c:strCache>
            </c:strRef>
          </c:cat>
          <c:val>
            <c:numRef>
              <c:f>Analises!$C$5:$C$8</c:f>
              <c:numCache>
                <c:formatCode>General</c:formatCode>
                <c:ptCount val="3"/>
                <c:pt idx="0">
                  <c:v>63</c:v>
                </c:pt>
                <c:pt idx="1">
                  <c:v>64</c:v>
                </c:pt>
                <c:pt idx="2">
                  <c:v>63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[Abecia &amp; Boldarine Adv.xlsm]Analises!Tabela dinâmica3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2CC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50000"/>
            </a:schemeClr>
          </a:solidFill>
          <a:ln>
            <a:noFill/>
          </a:ln>
          <a:effectLst/>
        </c:spPr>
        <c:dLbl>
          <c:idx val="0"/>
          <c:layout/>
          <c:spPr>
            <a:solidFill>
              <a:srgbClr val="FFF2CC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pt-BR"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/>
          <c:spPr>
            <a:solidFill>
              <a:srgbClr val="FFF2CC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Analises!$J$4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solidFill>
                  <a:srgbClr val="FFF2CC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24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2CC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Analises!$I$5:$I$7</c:f>
              <c:strCache>
                <c:ptCount val="2"/>
                <c:pt idx="0">
                  <c:v>Caio Brito</c:v>
                </c:pt>
                <c:pt idx="1">
                  <c:v>Renê Amaranto</c:v>
                </c:pt>
              </c:strCache>
            </c:strRef>
          </c:cat>
          <c:val>
            <c:numRef>
              <c:f>Analises!$J$5:$J$7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775946240"/>
        <c:axId val="775946632"/>
      </c:barChart>
      <c:catAx>
        <c:axId val="775946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5946632"/>
        <c:crosses val="autoZero"/>
        <c:auto val="1"/>
        <c:lblAlgn val="ctr"/>
        <c:lblOffset val="100"/>
        <c:noMultiLvlLbl val="0"/>
      </c:catAx>
      <c:valAx>
        <c:axId val="77594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59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Analises!$M$2</c:f>
              <c:strCache>
                <c:ptCount val="1"/>
                <c:pt idx="0">
                  <c:v>Caio Brito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</c:dPt>
          <c:dLbls>
            <c:dLbl>
              <c:idx val="0"/>
              <c:layout>
                <c:manualLayout>
                  <c:x val="1.9444444444444445E-2"/>
                  <c:y val="0.20430047895988568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-186000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11111111111112"/>
                      <c:h val="0.25790343078195677"/>
                    </c:manualLayout>
                  </c15:layout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Analises!$O$2</c:f>
              <c:numCache>
                <c:formatCode>0.00%</c:formatCode>
                <c:ptCount val="1"/>
                <c:pt idx="0">
                  <c:v>0.51130626424480197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8827944"/>
        <c:axId val="918829904"/>
      </c:barChart>
      <c:catAx>
        <c:axId val="918827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18829904"/>
        <c:crosses val="autoZero"/>
        <c:auto val="1"/>
        <c:lblAlgn val="ctr"/>
        <c:lblOffset val="100"/>
        <c:noMultiLvlLbl val="0"/>
      </c:catAx>
      <c:valAx>
        <c:axId val="9188299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1882794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Analises!$M$3</c:f>
              <c:strCache>
                <c:ptCount val="1"/>
                <c:pt idx="0">
                  <c:v>Renê Amaranto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</c:dPt>
          <c:dLbls>
            <c:dLbl>
              <c:idx val="0"/>
              <c:layout>
                <c:manualLayout>
                  <c:x val="1.6666666666666666E-2"/>
                  <c:y val="0.20430090229370726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-192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-19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Analises!$O$3</c:f>
              <c:numCache>
                <c:formatCode>0.00%</c:formatCode>
                <c:ptCount val="1"/>
                <c:pt idx="0">
                  <c:v>0.48869373575519803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9005544"/>
        <c:axId val="919003584"/>
      </c:barChart>
      <c:catAx>
        <c:axId val="919005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19003584"/>
        <c:crosses val="autoZero"/>
        <c:auto val="1"/>
        <c:lblAlgn val="ctr"/>
        <c:lblOffset val="100"/>
        <c:noMultiLvlLbl val="0"/>
      </c:catAx>
      <c:valAx>
        <c:axId val="9190035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1900554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Analises!$M$2</c:f>
              <c:strCache>
                <c:ptCount val="1"/>
                <c:pt idx="0">
                  <c:v>Caio Brito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</c:dPt>
          <c:val>
            <c:numRef>
              <c:f>Analises!$O$2</c:f>
              <c:numCache>
                <c:formatCode>0.00%</c:formatCode>
                <c:ptCount val="1"/>
                <c:pt idx="0">
                  <c:v>0.51130626424480197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2284000"/>
        <c:axId val="832282432"/>
      </c:barChart>
      <c:catAx>
        <c:axId val="83228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832282432"/>
        <c:crosses val="autoZero"/>
        <c:auto val="1"/>
        <c:lblAlgn val="ctr"/>
        <c:lblOffset val="100"/>
        <c:noMultiLvlLbl val="0"/>
      </c:catAx>
      <c:valAx>
        <c:axId val="8322824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8322840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2.xml"/><Relationship Id="rId11" Type="http://schemas.openxmlformats.org/officeDocument/2006/relationships/image" Target="../media/image8.png"/><Relationship Id="rId5" Type="http://schemas.openxmlformats.org/officeDocument/2006/relationships/chart" Target="../charts/chart1.xml"/><Relationship Id="rId10" Type="http://schemas.openxmlformats.org/officeDocument/2006/relationships/chart" Target="../charts/chart4.xml"/><Relationship Id="rId4" Type="http://schemas.openxmlformats.org/officeDocument/2006/relationships/image" Target="../media/image4.emf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438978</xdr:colOff>
      <xdr:row>39</xdr:row>
      <xdr:rowOff>19907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71413" cy="7449407"/>
        </a:xfrm>
        <a:prstGeom prst="rect">
          <a:avLst/>
        </a:prstGeom>
      </xdr:spPr>
    </xdr:pic>
    <xdr:clientData/>
  </xdr:twoCellAnchor>
  <xdr:twoCellAnchor>
    <xdr:from>
      <xdr:col>0</xdr:col>
      <xdr:colOff>447675</xdr:colOff>
      <xdr:row>30</xdr:row>
      <xdr:rowOff>38100</xdr:rowOff>
    </xdr:from>
    <xdr:to>
      <xdr:col>8</xdr:col>
      <xdr:colOff>390525</xdr:colOff>
      <xdr:row>37</xdr:row>
      <xdr:rowOff>47625</xdr:rowOff>
    </xdr:to>
    <xdr:sp macro="" textlink="">
      <xdr:nvSpPr>
        <xdr:cNvPr id="58" name="Retângulo de cantos arredondados 57"/>
        <xdr:cNvSpPr/>
      </xdr:nvSpPr>
      <xdr:spPr>
        <a:xfrm>
          <a:off x="447675" y="5753100"/>
          <a:ext cx="4819650" cy="1343025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114300</xdr:rowOff>
    </xdr:to>
    <xdr:sp macro="" textlink="">
      <xdr:nvSpPr>
        <xdr:cNvPr id="3073" name="AutoShape 1" descr="Resultado de imagem para background advocacia"/>
        <xdr:cNvSpPr>
          <a:spLocks noChangeAspect="1" noChangeArrowheads="1"/>
        </xdr:cNvSpPr>
      </xdr:nvSpPr>
      <xdr:spPr bwMode="auto">
        <a:xfrm>
          <a:off x="18288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268354</xdr:colOff>
      <xdr:row>0</xdr:row>
      <xdr:rowOff>174763</xdr:rowOff>
    </xdr:from>
    <xdr:to>
      <xdr:col>18</xdr:col>
      <xdr:colOff>180975</xdr:colOff>
      <xdr:row>37</xdr:row>
      <xdr:rowOff>136071</xdr:rowOff>
    </xdr:to>
    <xdr:sp macro="" textlink="">
      <xdr:nvSpPr>
        <xdr:cNvPr id="3" name="Retângulo de cantos arredondados 2"/>
        <xdr:cNvSpPr/>
      </xdr:nvSpPr>
      <xdr:spPr>
        <a:xfrm>
          <a:off x="268354" y="174763"/>
          <a:ext cx="10885421" cy="7009808"/>
        </a:xfrm>
        <a:prstGeom prst="roundRect">
          <a:avLst>
            <a:gd name="adj" fmla="val 1608"/>
          </a:avLst>
        </a:prstGeom>
        <a:solidFill>
          <a:srgbClr val="EDEDED">
            <a:alpha val="20000"/>
          </a:srgbClr>
        </a:solidFill>
        <a:ln>
          <a:noFill/>
        </a:ln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457200</xdr:colOff>
      <xdr:row>34</xdr:row>
      <xdr:rowOff>123824</xdr:rowOff>
    </xdr:from>
    <xdr:to>
      <xdr:col>18</xdr:col>
      <xdr:colOff>180975</xdr:colOff>
      <xdr:row>37</xdr:row>
      <xdr:rowOff>190499</xdr:rowOff>
    </xdr:to>
    <xdr:sp macro="" textlink="">
      <xdr:nvSpPr>
        <xdr:cNvPr id="6" name="Retângulo de cantos arredondados 5"/>
        <xdr:cNvSpPr/>
      </xdr:nvSpPr>
      <xdr:spPr>
        <a:xfrm>
          <a:off x="7772400" y="6600824"/>
          <a:ext cx="3381375" cy="638175"/>
        </a:xfrm>
        <a:prstGeom prst="roundRect">
          <a:avLst>
            <a:gd name="adj" fmla="val 1608"/>
          </a:avLst>
        </a:prstGeom>
        <a:solidFill>
          <a:srgbClr val="EDEDED">
            <a:alpha val="54902"/>
          </a:srgbClr>
        </a:solidFill>
        <a:ln>
          <a:noFill/>
        </a:ln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504825</xdr:colOff>
      <xdr:row>34</xdr:row>
      <xdr:rowOff>85725</xdr:rowOff>
    </xdr:from>
    <xdr:to>
      <xdr:col>17</xdr:col>
      <xdr:colOff>523379</xdr:colOff>
      <xdr:row>37</xdr:row>
      <xdr:rowOff>136071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6562725"/>
          <a:ext cx="3066554" cy="621846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3</xdr:row>
      <xdr:rowOff>114300</xdr:rowOff>
    </xdr:from>
    <xdr:to>
      <xdr:col>3</xdr:col>
      <xdr:colOff>419100</xdr:colOff>
      <xdr:row>7</xdr:row>
      <xdr:rowOff>38102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8" name="Ano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0" y="685800"/>
              <a:ext cx="1790700" cy="6858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495298</xdr:colOff>
      <xdr:row>3</xdr:row>
      <xdr:rowOff>123823</xdr:rowOff>
    </xdr:from>
    <xdr:to>
      <xdr:col>15</xdr:col>
      <xdr:colOff>266699</xdr:colOff>
      <xdr:row>7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9" name="Mes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098" y="695323"/>
              <a:ext cx="7086601" cy="6858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600075</xdr:colOff>
      <xdr:row>7</xdr:row>
      <xdr:rowOff>57149</xdr:rowOff>
    </xdr:from>
    <xdr:to>
      <xdr:col>18</xdr:col>
      <xdr:colOff>142875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44075" y="1390649"/>
              <a:ext cx="1371600" cy="10477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447676</xdr:colOff>
      <xdr:row>32</xdr:row>
      <xdr:rowOff>19051</xdr:rowOff>
    </xdr:from>
    <xdr:to>
      <xdr:col>4</xdr:col>
      <xdr:colOff>504076</xdr:colOff>
      <xdr:row>35</xdr:row>
      <xdr:rowOff>113551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276476" y="6115051"/>
          <a:ext cx="666000" cy="66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190502</xdr:colOff>
      <xdr:row>32</xdr:row>
      <xdr:rowOff>28849</xdr:rowOff>
    </xdr:from>
    <xdr:to>
      <xdr:col>7</xdr:col>
      <xdr:colOff>314054</xdr:colOff>
      <xdr:row>36</xdr:row>
      <xdr:rowOff>1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848102" y="6124849"/>
          <a:ext cx="733152" cy="733152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523876</xdr:colOff>
      <xdr:row>32</xdr:row>
      <xdr:rowOff>19908</xdr:rowOff>
    </xdr:from>
    <xdr:to>
      <xdr:col>1</xdr:col>
      <xdr:colOff>581025</xdr:colOff>
      <xdr:row>35</xdr:row>
      <xdr:rowOff>115157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3876" y="6115908"/>
          <a:ext cx="666749" cy="666749"/>
        </a:xfrm>
        <a:prstGeom prst="rect">
          <a:avLst/>
        </a:prstGeom>
      </xdr:spPr>
    </xdr:pic>
    <xdr:clientData/>
  </xdr:twoCellAnchor>
  <xdr:twoCellAnchor>
    <xdr:from>
      <xdr:col>0</xdr:col>
      <xdr:colOff>380999</xdr:colOff>
      <xdr:row>35</xdr:row>
      <xdr:rowOff>114300</xdr:rowOff>
    </xdr:from>
    <xdr:to>
      <xdr:col>2</xdr:col>
      <xdr:colOff>86999</xdr:colOff>
      <xdr:row>36</xdr:row>
      <xdr:rowOff>142875</xdr:rowOff>
    </xdr:to>
    <xdr:sp macro="" textlink="">
      <xdr:nvSpPr>
        <xdr:cNvPr id="9" name="CaixaDeTexto 8"/>
        <xdr:cNvSpPr txBox="1"/>
      </xdr:nvSpPr>
      <xdr:spPr>
        <a:xfrm>
          <a:off x="380999" y="6781800"/>
          <a:ext cx="925200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pt-B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Cível</a:t>
          </a:r>
        </a:p>
      </xdr:txBody>
    </xdr:sp>
    <xdr:clientData/>
  </xdr:twoCellAnchor>
  <xdr:twoCellAnchor>
    <xdr:from>
      <xdr:col>3</xdr:col>
      <xdr:colOff>114299</xdr:colOff>
      <xdr:row>35</xdr:row>
      <xdr:rowOff>114300</xdr:rowOff>
    </xdr:from>
    <xdr:to>
      <xdr:col>5</xdr:col>
      <xdr:colOff>171450</xdr:colOff>
      <xdr:row>36</xdr:row>
      <xdr:rowOff>152400</xdr:rowOff>
    </xdr:to>
    <xdr:sp macro="" textlink="">
      <xdr:nvSpPr>
        <xdr:cNvPr id="39" name="CaixaDeTexto 38"/>
        <xdr:cNvSpPr txBox="1"/>
      </xdr:nvSpPr>
      <xdr:spPr>
        <a:xfrm>
          <a:off x="1943099" y="6781800"/>
          <a:ext cx="1276351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pt-B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Societário</a:t>
          </a:r>
        </a:p>
      </xdr:txBody>
    </xdr:sp>
    <xdr:clientData/>
  </xdr:twoCellAnchor>
  <xdr:twoCellAnchor>
    <xdr:from>
      <xdr:col>5</xdr:col>
      <xdr:colOff>466726</xdr:colOff>
      <xdr:row>35</xdr:row>
      <xdr:rowOff>152400</xdr:rowOff>
    </xdr:from>
    <xdr:to>
      <xdr:col>8</xdr:col>
      <xdr:colOff>142876</xdr:colOff>
      <xdr:row>36</xdr:row>
      <xdr:rowOff>161925</xdr:rowOff>
    </xdr:to>
    <xdr:sp macro="" textlink="">
      <xdr:nvSpPr>
        <xdr:cNvPr id="41" name="CaixaDeTexto 40"/>
        <xdr:cNvSpPr txBox="1"/>
      </xdr:nvSpPr>
      <xdr:spPr>
        <a:xfrm>
          <a:off x="3514726" y="6819900"/>
          <a:ext cx="1504950" cy="20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pt-BR" sz="2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Trabalhista</a:t>
          </a:r>
        </a:p>
      </xdr:txBody>
    </xdr:sp>
    <xdr:clientData/>
  </xdr:twoCellAnchor>
  <xdr:twoCellAnchor>
    <xdr:from>
      <xdr:col>1</xdr:col>
      <xdr:colOff>428625</xdr:colOff>
      <xdr:row>33</xdr:row>
      <xdr:rowOff>0</xdr:rowOff>
    </xdr:from>
    <xdr:to>
      <xdr:col>2</xdr:col>
      <xdr:colOff>485775</xdr:colOff>
      <xdr:row>35</xdr:row>
      <xdr:rowOff>9525</xdr:rowOff>
    </xdr:to>
    <xdr:sp macro="" textlink="Analises!C38">
      <xdr:nvSpPr>
        <xdr:cNvPr id="10" name="Retângulo de cantos arredondados 9"/>
        <xdr:cNvSpPr/>
      </xdr:nvSpPr>
      <xdr:spPr>
        <a:xfrm>
          <a:off x="1038225" y="6286500"/>
          <a:ext cx="666750" cy="390525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AB4CE27-23E5-4DBB-87A9-361310AADD62}" type="TxLink">
            <a:rPr lang="en-US" sz="2000" b="1" i="0" u="none" strike="noStrike">
              <a:solidFill>
                <a:sysClr val="windowText" lastClr="000000"/>
              </a:solidFill>
              <a:latin typeface="Calibri"/>
            </a:rPr>
            <a:pPr algn="ctr"/>
            <a:t>52</a:t>
          </a:fld>
          <a:endParaRPr lang="pt-BR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409575</xdr:colOff>
      <xdr:row>32</xdr:row>
      <xdr:rowOff>161925</xdr:rowOff>
    </xdr:from>
    <xdr:to>
      <xdr:col>5</xdr:col>
      <xdr:colOff>466725</xdr:colOff>
      <xdr:row>34</xdr:row>
      <xdr:rowOff>171450</xdr:rowOff>
    </xdr:to>
    <xdr:sp macro="" textlink="Analises!C39">
      <xdr:nvSpPr>
        <xdr:cNvPr id="50" name="Retângulo de cantos arredondados 49"/>
        <xdr:cNvSpPr/>
      </xdr:nvSpPr>
      <xdr:spPr>
        <a:xfrm>
          <a:off x="2847975" y="6257925"/>
          <a:ext cx="666750" cy="390525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4ACEE87-53E4-4937-B295-38E50553B357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51</a:t>
          </a:fld>
          <a:endParaRPr lang="pt-BR" sz="2000" b="1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238125</xdr:colOff>
      <xdr:row>33</xdr:row>
      <xdr:rowOff>19050</xdr:rowOff>
    </xdr:from>
    <xdr:to>
      <xdr:col>8</xdr:col>
      <xdr:colOff>295275</xdr:colOff>
      <xdr:row>35</xdr:row>
      <xdr:rowOff>28575</xdr:rowOff>
    </xdr:to>
    <xdr:sp macro="" textlink="Analises!C40">
      <xdr:nvSpPr>
        <xdr:cNvPr id="54" name="Retângulo de cantos arredondados 53"/>
        <xdr:cNvSpPr/>
      </xdr:nvSpPr>
      <xdr:spPr>
        <a:xfrm>
          <a:off x="4505325" y="6305550"/>
          <a:ext cx="666750" cy="390525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89D7FFF-8D23-4AE0-BC71-8873F81B99B3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58</a:t>
          </a:fld>
          <a:endParaRPr lang="pt-BR" sz="2000" b="1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542925</xdr:colOff>
      <xdr:row>6</xdr:row>
      <xdr:rowOff>133350</xdr:rowOff>
    </xdr:from>
    <xdr:to>
      <xdr:col>17</xdr:col>
      <xdr:colOff>409575</xdr:colOff>
      <xdr:row>8</xdr:row>
      <xdr:rowOff>114300</xdr:rowOff>
    </xdr:to>
    <xdr:sp macro="" textlink="">
      <xdr:nvSpPr>
        <xdr:cNvPr id="76" name="CaixaDeTexto 75"/>
        <xdr:cNvSpPr txBox="1"/>
      </xdr:nvSpPr>
      <xdr:spPr>
        <a:xfrm>
          <a:off x="9686925" y="1276350"/>
          <a:ext cx="1085850" cy="361950"/>
        </a:xfrm>
        <a:prstGeom prst="rect">
          <a:avLst/>
        </a:prstGeom>
        <a:solidFill>
          <a:srgbClr val="CA7237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200" b="1" i="1">
              <a:solidFill>
                <a:schemeClr val="bg1"/>
              </a:solidFill>
              <a:latin typeface="Century Gothic" panose="020B0502020202020204" pitchFamily="34" charset="0"/>
            </a:rPr>
            <a:t>STATUS</a:t>
          </a:r>
        </a:p>
      </xdr:txBody>
    </xdr:sp>
    <xdr:clientData/>
  </xdr:twoCellAnchor>
  <xdr:twoCellAnchor>
    <xdr:from>
      <xdr:col>0</xdr:col>
      <xdr:colOff>447675</xdr:colOff>
      <xdr:row>7</xdr:row>
      <xdr:rowOff>123825</xdr:rowOff>
    </xdr:from>
    <xdr:to>
      <xdr:col>4</xdr:col>
      <xdr:colOff>390525</xdr:colOff>
      <xdr:row>20</xdr:row>
      <xdr:rowOff>104774</xdr:rowOff>
    </xdr:to>
    <xdr:sp macro="" textlink="">
      <xdr:nvSpPr>
        <xdr:cNvPr id="7" name="Retângulo de cantos arredondados 6"/>
        <xdr:cNvSpPr/>
      </xdr:nvSpPr>
      <xdr:spPr>
        <a:xfrm>
          <a:off x="447675" y="1457325"/>
          <a:ext cx="2381250" cy="2457449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552449</xdr:colOff>
          <xdr:row>10</xdr:row>
          <xdr:rowOff>19049</xdr:rowOff>
        </xdr:from>
        <xdr:to>
          <xdr:col>4</xdr:col>
          <xdr:colOff>308610</xdr:colOff>
          <xdr:row>19</xdr:row>
          <xdr:rowOff>133350</xdr:rowOff>
        </xdr:to>
        <xdr:pic>
          <xdr:nvPicPr>
            <xdr:cNvPr id="55" name="Imagem 54"/>
            <xdr:cNvPicPr>
              <a:picLocks noChangeAspect="1" noChangeArrowheads="1"/>
              <a:extLst>
                <a:ext uri="{84589F7E-364E-4C9E-8A38-B11213B215E9}">
                  <a14:cameraTool cellRange="Analises!$S$3:$T$11" spid="_x0000_s319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52449" y="1924049"/>
              <a:ext cx="2194561" cy="18288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438150</xdr:colOff>
      <xdr:row>8</xdr:row>
      <xdr:rowOff>28574</xdr:rowOff>
    </xdr:from>
    <xdr:to>
      <xdr:col>4</xdr:col>
      <xdr:colOff>352425</xdr:colOff>
      <xdr:row>9</xdr:row>
      <xdr:rowOff>90074</xdr:rowOff>
    </xdr:to>
    <xdr:sp macro="" textlink="">
      <xdr:nvSpPr>
        <xdr:cNvPr id="37" name="CaixaDeTexto 36"/>
        <xdr:cNvSpPr txBox="1"/>
      </xdr:nvSpPr>
      <xdr:spPr>
        <a:xfrm>
          <a:off x="438150" y="1552574"/>
          <a:ext cx="2352675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QDT POR ADVOGADO |</a:t>
          </a:r>
        </a:p>
      </xdr:txBody>
    </xdr:sp>
    <xdr:clientData/>
  </xdr:twoCellAnchor>
  <xdr:twoCellAnchor>
    <xdr:from>
      <xdr:col>4</xdr:col>
      <xdr:colOff>447675</xdr:colOff>
      <xdr:row>7</xdr:row>
      <xdr:rowOff>114300</xdr:rowOff>
    </xdr:from>
    <xdr:to>
      <xdr:col>8</xdr:col>
      <xdr:colOff>390525</xdr:colOff>
      <xdr:row>20</xdr:row>
      <xdr:rowOff>95249</xdr:rowOff>
    </xdr:to>
    <xdr:sp macro="" textlink="">
      <xdr:nvSpPr>
        <xdr:cNvPr id="38" name="Retângulo de cantos arredondados 37"/>
        <xdr:cNvSpPr/>
      </xdr:nvSpPr>
      <xdr:spPr>
        <a:xfrm>
          <a:off x="2886075" y="1447800"/>
          <a:ext cx="2381250" cy="2457449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438150</xdr:colOff>
      <xdr:row>8</xdr:row>
      <xdr:rowOff>19049</xdr:rowOff>
    </xdr:from>
    <xdr:to>
      <xdr:col>8</xdr:col>
      <xdr:colOff>352425</xdr:colOff>
      <xdr:row>9</xdr:row>
      <xdr:rowOff>80549</xdr:rowOff>
    </xdr:to>
    <xdr:sp macro="" textlink="">
      <xdr:nvSpPr>
        <xdr:cNvPr id="44" name="CaixaDeTexto 43"/>
        <xdr:cNvSpPr txBox="1"/>
      </xdr:nvSpPr>
      <xdr:spPr>
        <a:xfrm>
          <a:off x="2876550" y="1543049"/>
          <a:ext cx="2352675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QDT POR DEPARTAMENTO |</a:t>
          </a:r>
        </a:p>
      </xdr:txBody>
    </xdr:sp>
    <xdr:clientData/>
  </xdr:twoCellAnchor>
  <xdr:twoCellAnchor>
    <xdr:from>
      <xdr:col>4</xdr:col>
      <xdr:colOff>257175</xdr:colOff>
      <xdr:row>8</xdr:row>
      <xdr:rowOff>28575</xdr:rowOff>
    </xdr:from>
    <xdr:to>
      <xdr:col>8</xdr:col>
      <xdr:colOff>533400</xdr:colOff>
      <xdr:row>20</xdr:row>
      <xdr:rowOff>152400</xdr:rowOff>
    </xdr:to>
    <xdr:graphicFrame macro="">
      <xdr:nvGraphicFramePr>
        <xdr:cNvPr id="43" name="Grá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457200</xdr:colOff>
      <xdr:row>21</xdr:row>
      <xdr:rowOff>47625</xdr:rowOff>
    </xdr:from>
    <xdr:to>
      <xdr:col>8</xdr:col>
      <xdr:colOff>400050</xdr:colOff>
      <xdr:row>29</xdr:row>
      <xdr:rowOff>171450</xdr:rowOff>
    </xdr:to>
    <xdr:sp macro="" textlink="">
      <xdr:nvSpPr>
        <xdr:cNvPr id="49" name="Retângulo de cantos arredondados 48"/>
        <xdr:cNvSpPr/>
      </xdr:nvSpPr>
      <xdr:spPr>
        <a:xfrm>
          <a:off x="457200" y="4048125"/>
          <a:ext cx="4819650" cy="1647825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447675</xdr:colOff>
      <xdr:row>21</xdr:row>
      <xdr:rowOff>142873</xdr:rowOff>
    </xdr:from>
    <xdr:to>
      <xdr:col>8</xdr:col>
      <xdr:colOff>332689</xdr:colOff>
      <xdr:row>23</xdr:row>
      <xdr:rowOff>13873</xdr:rowOff>
    </xdr:to>
    <xdr:sp macro="" textlink="">
      <xdr:nvSpPr>
        <xdr:cNvPr id="53" name="CaixaDeTexto 52"/>
        <xdr:cNvSpPr txBox="1"/>
      </xdr:nvSpPr>
      <xdr:spPr>
        <a:xfrm>
          <a:off x="447675" y="4143373"/>
          <a:ext cx="4761814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PROCESSOS POR GESTOR|</a:t>
          </a:r>
        </a:p>
      </xdr:txBody>
    </xdr:sp>
    <xdr:clientData/>
  </xdr:twoCellAnchor>
  <xdr:twoCellAnchor>
    <xdr:from>
      <xdr:col>0</xdr:col>
      <xdr:colOff>533400</xdr:colOff>
      <xdr:row>22</xdr:row>
      <xdr:rowOff>190499</xdr:rowOff>
    </xdr:from>
    <xdr:to>
      <xdr:col>8</xdr:col>
      <xdr:colOff>323850</xdr:colOff>
      <xdr:row>30</xdr:row>
      <xdr:rowOff>0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438150</xdr:colOff>
      <xdr:row>30</xdr:row>
      <xdr:rowOff>133348</xdr:rowOff>
    </xdr:from>
    <xdr:to>
      <xdr:col>8</xdr:col>
      <xdr:colOff>323164</xdr:colOff>
      <xdr:row>32</xdr:row>
      <xdr:rowOff>4348</xdr:rowOff>
    </xdr:to>
    <xdr:sp macro="" textlink="">
      <xdr:nvSpPr>
        <xdr:cNvPr id="59" name="CaixaDeTexto 58"/>
        <xdr:cNvSpPr txBox="1"/>
      </xdr:nvSpPr>
      <xdr:spPr>
        <a:xfrm>
          <a:off x="438150" y="5848348"/>
          <a:ext cx="4761814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PROCESSOS POR DEPARTAMENTO|</a:t>
          </a:r>
        </a:p>
      </xdr:txBody>
    </xdr:sp>
    <xdr:clientData/>
  </xdr:twoCellAnchor>
  <xdr:twoCellAnchor>
    <xdr:from>
      <xdr:col>8</xdr:col>
      <xdr:colOff>447675</xdr:colOff>
      <xdr:row>15</xdr:row>
      <xdr:rowOff>85725</xdr:rowOff>
    </xdr:from>
    <xdr:to>
      <xdr:col>15</xdr:col>
      <xdr:colOff>295275</xdr:colOff>
      <xdr:row>25</xdr:row>
      <xdr:rowOff>57150</xdr:rowOff>
    </xdr:to>
    <xdr:sp macro="" textlink="">
      <xdr:nvSpPr>
        <xdr:cNvPr id="60" name="Retângulo de cantos arredondados 59"/>
        <xdr:cNvSpPr/>
      </xdr:nvSpPr>
      <xdr:spPr>
        <a:xfrm>
          <a:off x="5324475" y="2943225"/>
          <a:ext cx="4114800" cy="1876425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438150</xdr:colOff>
      <xdr:row>15</xdr:row>
      <xdr:rowOff>152398</xdr:rowOff>
    </xdr:from>
    <xdr:to>
      <xdr:col>15</xdr:col>
      <xdr:colOff>236372</xdr:colOff>
      <xdr:row>17</xdr:row>
      <xdr:rowOff>23398</xdr:rowOff>
    </xdr:to>
    <xdr:sp macro="" textlink="">
      <xdr:nvSpPr>
        <xdr:cNvPr id="61" name="CaixaDeTexto 60"/>
        <xdr:cNvSpPr txBox="1"/>
      </xdr:nvSpPr>
      <xdr:spPr>
        <a:xfrm>
          <a:off x="5314950" y="3009898"/>
          <a:ext cx="4065422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FATURAMENTO POR GESTOR|</a:t>
          </a:r>
        </a:p>
      </xdr:txBody>
    </xdr:sp>
    <xdr:clientData/>
  </xdr:twoCellAnchor>
  <xdr:twoCellAnchor editAs="oneCell">
    <xdr:from>
      <xdr:col>9</xdr:col>
      <xdr:colOff>295275</xdr:colOff>
      <xdr:row>20</xdr:row>
      <xdr:rowOff>53857</xdr:rowOff>
    </xdr:from>
    <xdr:to>
      <xdr:col>11</xdr:col>
      <xdr:colOff>416406</xdr:colOff>
      <xdr:row>25</xdr:row>
      <xdr:rowOff>9525</xdr:rowOff>
    </xdr:to>
    <xdr:pic>
      <xdr:nvPicPr>
        <xdr:cNvPr id="74" name="Imagem 73"/>
        <xdr:cNvPicPr>
          <a:picLocks noChangeAspect="1"/>
        </xdr:cNvPicPr>
      </xdr:nvPicPr>
      <xdr:blipFill rotWithShape="1"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70000" contrast="-70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96000"/>
                  </a14:imgEffect>
                </a14:imgLayer>
              </a14:imgProps>
            </a:ext>
          </a:extLst>
        </a:blip>
        <a:srcRect l="4306" t="3177" r="3556" b="4697"/>
        <a:stretch/>
      </xdr:blipFill>
      <xdr:spPr>
        <a:xfrm>
          <a:off x="5781675" y="3863857"/>
          <a:ext cx="1340331" cy="908168"/>
        </a:xfrm>
        <a:prstGeom prst="rect">
          <a:avLst/>
        </a:prstGeom>
      </xdr:spPr>
    </xdr:pic>
    <xdr:clientData/>
  </xdr:twoCellAnchor>
  <xdr:twoCellAnchor>
    <xdr:from>
      <xdr:col>6</xdr:col>
      <xdr:colOff>485775</xdr:colOff>
      <xdr:row>19</xdr:row>
      <xdr:rowOff>123824</xdr:rowOff>
    </xdr:from>
    <xdr:to>
      <xdr:col>14</xdr:col>
      <xdr:colOff>180975</xdr:colOff>
      <xdr:row>25</xdr:row>
      <xdr:rowOff>161925</xdr:rowOff>
    </xdr:to>
    <xdr:graphicFrame macro="">
      <xdr:nvGraphicFramePr>
        <xdr:cNvPr id="66" name="Gráfico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314325</xdr:colOff>
      <xdr:row>20</xdr:row>
      <xdr:rowOff>44332</xdr:rowOff>
    </xdr:from>
    <xdr:to>
      <xdr:col>14</xdr:col>
      <xdr:colOff>435456</xdr:colOff>
      <xdr:row>25</xdr:row>
      <xdr:rowOff>0</xdr:rowOff>
    </xdr:to>
    <xdr:pic>
      <xdr:nvPicPr>
        <xdr:cNvPr id="67" name="Imagem 66"/>
        <xdr:cNvPicPr>
          <a:picLocks noChangeAspect="1"/>
        </xdr:cNvPicPr>
      </xdr:nvPicPr>
      <xdr:blipFill rotWithShape="1"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70000" contrast="-70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96000"/>
                  </a14:imgEffect>
                </a14:imgLayer>
              </a14:imgProps>
            </a:ext>
          </a:extLst>
        </a:blip>
        <a:srcRect l="4306" t="3177" r="3556" b="4697"/>
        <a:stretch/>
      </xdr:blipFill>
      <xdr:spPr>
        <a:xfrm>
          <a:off x="7629525" y="3854332"/>
          <a:ext cx="1340331" cy="908168"/>
        </a:xfrm>
        <a:prstGeom prst="rect">
          <a:avLst/>
        </a:prstGeom>
      </xdr:spPr>
    </xdr:pic>
    <xdr:clientData/>
  </xdr:twoCellAnchor>
  <xdr:twoCellAnchor>
    <xdr:from>
      <xdr:col>9</xdr:col>
      <xdr:colOff>523875</xdr:colOff>
      <xdr:row>19</xdr:row>
      <xdr:rowOff>133350</xdr:rowOff>
    </xdr:from>
    <xdr:to>
      <xdr:col>17</xdr:col>
      <xdr:colOff>219075</xdr:colOff>
      <xdr:row>25</xdr:row>
      <xdr:rowOff>171451</xdr:rowOff>
    </xdr:to>
    <xdr:graphicFrame macro="">
      <xdr:nvGraphicFramePr>
        <xdr:cNvPr id="68" name="Gráfico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439806</xdr:colOff>
      <xdr:row>7</xdr:row>
      <xdr:rowOff>136662</xdr:rowOff>
    </xdr:from>
    <xdr:to>
      <xdr:col>15</xdr:col>
      <xdr:colOff>287406</xdr:colOff>
      <xdr:row>15</xdr:row>
      <xdr:rowOff>0</xdr:rowOff>
    </xdr:to>
    <xdr:sp macro="" textlink="">
      <xdr:nvSpPr>
        <xdr:cNvPr id="69" name="Retângulo de cantos arredondados 68"/>
        <xdr:cNvSpPr/>
      </xdr:nvSpPr>
      <xdr:spPr>
        <a:xfrm>
          <a:off x="5316606" y="1470162"/>
          <a:ext cx="4114800" cy="1387338"/>
        </a:xfrm>
        <a:prstGeom prst="roundRect">
          <a:avLst>
            <a:gd name="adj" fmla="val 3892"/>
          </a:avLst>
        </a:prstGeom>
        <a:solidFill>
          <a:srgbClr val="FFFFFF">
            <a:alpha val="74902"/>
          </a:srgbClr>
        </a:solidFill>
        <a:ln w="285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430281</xdr:colOff>
      <xdr:row>8</xdr:row>
      <xdr:rowOff>12835</xdr:rowOff>
    </xdr:from>
    <xdr:to>
      <xdr:col>15</xdr:col>
      <xdr:colOff>228503</xdr:colOff>
      <xdr:row>9</xdr:row>
      <xdr:rowOff>74335</xdr:rowOff>
    </xdr:to>
    <xdr:sp macro="" textlink="">
      <xdr:nvSpPr>
        <xdr:cNvPr id="70" name="CaixaDeTexto 69"/>
        <xdr:cNvSpPr txBox="1"/>
      </xdr:nvSpPr>
      <xdr:spPr>
        <a:xfrm>
          <a:off x="5307081" y="1536835"/>
          <a:ext cx="4065422" cy="252000"/>
        </a:xfrm>
        <a:prstGeom prst="roundRect">
          <a:avLst/>
        </a:prstGeom>
        <a:solidFill>
          <a:schemeClr val="accent2"/>
        </a:solidFill>
        <a:ln>
          <a:solidFill>
            <a:srgbClr val="CA7237"/>
          </a:solidFill>
        </a:ln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1" i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| FATURAMENTO</a:t>
          </a:r>
          <a:r>
            <a:rPr lang="pt-BR" sz="1100" b="1" i="0" baseline="0">
              <a:solidFill>
                <a:schemeClr val="bg1"/>
              </a:solidFill>
              <a:latin typeface="Bell Gothic Std Light" panose="020B0606020203020204" pitchFamily="34" charset="0"/>
              <a:ea typeface="+mn-ea"/>
              <a:cs typeface="+mn-cs"/>
            </a:rPr>
            <a:t> PERÍODO |</a:t>
          </a:r>
          <a:endParaRPr lang="pt-BR" sz="1100" b="1" i="0">
            <a:solidFill>
              <a:schemeClr val="bg1"/>
            </a:solidFill>
            <a:latin typeface="Bell Gothic Std Light" panose="020B0606020203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314325</xdr:colOff>
      <xdr:row>18</xdr:row>
      <xdr:rowOff>95250</xdr:rowOff>
    </xdr:from>
    <xdr:to>
      <xdr:col>11</xdr:col>
      <xdr:colOff>447675</xdr:colOff>
      <xdr:row>20</xdr:row>
      <xdr:rowOff>76200</xdr:rowOff>
    </xdr:to>
    <xdr:sp macro="" textlink="Analises!G22">
      <xdr:nvSpPr>
        <xdr:cNvPr id="72" name="Retângulo de cantos arredondados 71"/>
        <xdr:cNvSpPr/>
      </xdr:nvSpPr>
      <xdr:spPr>
        <a:xfrm>
          <a:off x="5800725" y="3524250"/>
          <a:ext cx="1352550" cy="361950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8E5681A-48F9-402A-A68A-485399A24739}" type="TxLink">
            <a:rPr lang="en-US" sz="1400" b="1" i="0" u="none" strike="noStrike">
              <a:solidFill>
                <a:srgbClr val="CA7237"/>
              </a:solidFill>
              <a:latin typeface="Calibri"/>
              <a:ea typeface="+mn-ea"/>
              <a:cs typeface="+mn-cs"/>
            </a:rPr>
            <a:t>R$ 2.804 mi</a:t>
          </a:fld>
          <a:endParaRPr lang="pt-BR" sz="1600" b="1" i="0" u="none" strike="noStrike">
            <a:solidFill>
              <a:srgbClr val="CA7237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285750</xdr:colOff>
      <xdr:row>18</xdr:row>
      <xdr:rowOff>85725</xdr:rowOff>
    </xdr:from>
    <xdr:to>
      <xdr:col>14</xdr:col>
      <xdr:colOff>419100</xdr:colOff>
      <xdr:row>20</xdr:row>
      <xdr:rowOff>66675</xdr:rowOff>
    </xdr:to>
    <xdr:sp macro="" textlink="Analises!G21">
      <xdr:nvSpPr>
        <xdr:cNvPr id="73" name="Retângulo de cantos arredondados 72"/>
        <xdr:cNvSpPr/>
      </xdr:nvSpPr>
      <xdr:spPr>
        <a:xfrm>
          <a:off x="7600950" y="3514725"/>
          <a:ext cx="1352550" cy="361950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F3B0EA7-AFA4-4342-A6A7-C274FB98C520}" type="TxLink">
            <a:rPr lang="en-US" sz="1400" b="1" i="0" u="none" strike="noStrike">
              <a:solidFill>
                <a:srgbClr val="767171"/>
              </a:solidFill>
              <a:latin typeface="Calibri"/>
              <a:ea typeface="+mn-ea"/>
              <a:cs typeface="+mn-cs"/>
            </a:rPr>
            <a:pPr marL="0" indent="0" algn="ctr"/>
            <a:t>R$ 2.934 mi</a:t>
          </a:fld>
          <a:endParaRPr lang="pt-BR" sz="1400" b="1" i="0" u="none" strike="noStrike">
            <a:solidFill>
              <a:srgbClr val="767171"/>
            </a:solidFill>
            <a:latin typeface="Calibri"/>
            <a:ea typeface="+mn-ea"/>
            <a:cs typeface="+mn-cs"/>
          </a:endParaRPr>
        </a:p>
      </xdr:txBody>
    </xdr:sp>
    <xdr:clientData/>
  </xdr:twoCellAnchor>
  <xdr:oneCellAnchor>
    <xdr:from>
      <xdr:col>9</xdr:col>
      <xdr:colOff>200025</xdr:colOff>
      <xdr:row>17</xdr:row>
      <xdr:rowOff>66675</xdr:rowOff>
    </xdr:from>
    <xdr:ext cx="1521570" cy="342786"/>
    <xdr:sp macro="" textlink="">
      <xdr:nvSpPr>
        <xdr:cNvPr id="8" name="CaixaDeTexto 7"/>
        <xdr:cNvSpPr txBox="1"/>
      </xdr:nvSpPr>
      <xdr:spPr>
        <a:xfrm>
          <a:off x="5686425" y="3305175"/>
          <a:ext cx="152157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Renê</a:t>
          </a:r>
          <a:r>
            <a:rPr lang="pt-BR" sz="1600" b="1" baseline="0"/>
            <a:t> Amaranto</a:t>
          </a:r>
          <a:endParaRPr lang="pt-BR" sz="1600" b="1"/>
        </a:p>
      </xdr:txBody>
    </xdr:sp>
    <xdr:clientData/>
  </xdr:oneCellAnchor>
  <xdr:oneCellAnchor>
    <xdr:from>
      <xdr:col>12</xdr:col>
      <xdr:colOff>447675</xdr:colOff>
      <xdr:row>17</xdr:row>
      <xdr:rowOff>57150</xdr:rowOff>
    </xdr:from>
    <xdr:ext cx="1021433" cy="342786"/>
    <xdr:sp macro="" textlink="">
      <xdr:nvSpPr>
        <xdr:cNvPr id="64" name="CaixaDeTexto 63"/>
        <xdr:cNvSpPr txBox="1"/>
      </xdr:nvSpPr>
      <xdr:spPr>
        <a:xfrm>
          <a:off x="7762875" y="3295650"/>
          <a:ext cx="102143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Caio</a:t>
          </a:r>
          <a:r>
            <a:rPr lang="pt-BR" sz="1600" b="1" baseline="0"/>
            <a:t> Brito</a:t>
          </a:r>
          <a:endParaRPr lang="pt-BR" sz="1600" b="1"/>
        </a:p>
      </xdr:txBody>
    </xdr:sp>
    <xdr:clientData/>
  </xdr:oneCellAnchor>
  <xdr:twoCellAnchor>
    <xdr:from>
      <xdr:col>0</xdr:col>
      <xdr:colOff>335032</xdr:colOff>
      <xdr:row>0</xdr:row>
      <xdr:rowOff>98563</xdr:rowOff>
    </xdr:from>
    <xdr:to>
      <xdr:col>15</xdr:col>
      <xdr:colOff>276226</xdr:colOff>
      <xdr:row>4</xdr:row>
      <xdr:rowOff>1</xdr:rowOff>
    </xdr:to>
    <xdr:sp macro="" textlink="">
      <xdr:nvSpPr>
        <xdr:cNvPr id="75" name="Retângulo de cantos arredondados 74"/>
        <xdr:cNvSpPr/>
      </xdr:nvSpPr>
      <xdr:spPr>
        <a:xfrm>
          <a:off x="335032" y="98563"/>
          <a:ext cx="9085194" cy="663438"/>
        </a:xfrm>
        <a:prstGeom prst="roundRect">
          <a:avLst>
            <a:gd name="adj" fmla="val 1608"/>
          </a:avLst>
        </a:prstGeom>
        <a:solidFill>
          <a:srgbClr val="EDEDED">
            <a:alpha val="70000"/>
          </a:srgbClr>
        </a:solidFill>
        <a:ln>
          <a:noFill/>
        </a:ln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382242</xdr:colOff>
      <xdr:row>0</xdr:row>
      <xdr:rowOff>110079</xdr:rowOff>
    </xdr:from>
    <xdr:ext cx="7702621" cy="655885"/>
    <xdr:sp macro="" textlink="">
      <xdr:nvSpPr>
        <xdr:cNvPr id="5" name="CaixaDeTexto 4"/>
        <xdr:cNvSpPr txBox="1"/>
      </xdr:nvSpPr>
      <xdr:spPr>
        <a:xfrm>
          <a:off x="382242" y="110079"/>
          <a:ext cx="770262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pt-BR" sz="3600" b="1"/>
            <a:t>DASHBOARD</a:t>
          </a:r>
          <a:r>
            <a:rPr lang="pt-BR" sz="3600" b="1" baseline="0"/>
            <a:t> - PROCESSOS ADVOCACIA</a:t>
          </a:r>
          <a:endParaRPr lang="pt-BR" sz="3600" b="1"/>
        </a:p>
      </xdr:txBody>
    </xdr:sp>
    <xdr:clientData/>
  </xdr:oneCellAnchor>
  <xdr:twoCellAnchor>
    <xdr:from>
      <xdr:col>15</xdr:col>
      <xdr:colOff>542925</xdr:colOff>
      <xdr:row>1</xdr:row>
      <xdr:rowOff>171451</xdr:rowOff>
    </xdr:from>
    <xdr:to>
      <xdr:col>18</xdr:col>
      <xdr:colOff>171450</xdr:colOff>
      <xdr:row>5</xdr:row>
      <xdr:rowOff>28575</xdr:rowOff>
    </xdr:to>
    <xdr:sp macro="" textlink="Analises!T12">
      <xdr:nvSpPr>
        <xdr:cNvPr id="40" name="Retângulo de cantos arredondados 39"/>
        <xdr:cNvSpPr/>
      </xdr:nvSpPr>
      <xdr:spPr>
        <a:xfrm>
          <a:off x="9686925" y="361951"/>
          <a:ext cx="1457325" cy="619124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DD471A3C-F654-4985-951E-0D1B79E15929}" type="TxLink">
            <a:rPr lang="en-US" sz="3200" b="1" i="0" u="none" strike="noStrike">
              <a:solidFill>
                <a:schemeClr val="bg1"/>
              </a:solidFill>
              <a:latin typeface="Calibri"/>
            </a:rPr>
            <a:pPr algn="r"/>
            <a:t>190</a:t>
          </a:fld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390524</xdr:colOff>
      <xdr:row>10</xdr:row>
      <xdr:rowOff>95249</xdr:rowOff>
    </xdr:from>
    <xdr:to>
      <xdr:col>14</xdr:col>
      <xdr:colOff>419099</xdr:colOff>
      <xdr:row>13</xdr:row>
      <xdr:rowOff>66675</xdr:rowOff>
    </xdr:to>
    <xdr:sp macro="" textlink="Analises!$P$27">
      <xdr:nvSpPr>
        <xdr:cNvPr id="80" name="Retângulo de cantos arredondados 79"/>
        <xdr:cNvSpPr/>
      </xdr:nvSpPr>
      <xdr:spPr>
        <a:xfrm>
          <a:off x="6486524" y="2000249"/>
          <a:ext cx="2466975" cy="542926"/>
        </a:xfrm>
        <a:prstGeom prst="roundRect">
          <a:avLst/>
        </a:prstGeom>
        <a:solidFill>
          <a:srgbClr val="FFF2CC">
            <a:alpha val="7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87F97BE-CAD7-45C4-8AB3-364C05B84F47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 R$ 5.738.058,00 </a:t>
          </a:fld>
          <a:endParaRPr lang="pt-BR" sz="2000" b="1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76200</xdr:colOff>
      <xdr:row>9</xdr:row>
      <xdr:rowOff>32121</xdr:rowOff>
    </xdr:from>
    <xdr:to>
      <xdr:col>10</xdr:col>
      <xdr:colOff>342900</xdr:colOff>
      <xdr:row>14</xdr:row>
      <xdr:rowOff>170336</xdr:rowOff>
    </xdr:to>
    <xdr:pic>
      <xdr:nvPicPr>
        <xdr:cNvPr id="71" name="Imagem 7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562600" y="1746621"/>
          <a:ext cx="876300" cy="10907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16</xdr:col>
      <xdr:colOff>200025</xdr:colOff>
      <xdr:row>0</xdr:row>
      <xdr:rowOff>133350</xdr:rowOff>
    </xdr:from>
    <xdr:to>
      <xdr:col>18</xdr:col>
      <xdr:colOff>142875</xdr:colOff>
      <xdr:row>2</xdr:row>
      <xdr:rowOff>63846</xdr:rowOff>
    </xdr:to>
    <xdr:sp macro="" textlink="">
      <xdr:nvSpPr>
        <xdr:cNvPr id="52" name="CaixaDeTexto 51"/>
        <xdr:cNvSpPr txBox="1"/>
      </xdr:nvSpPr>
      <xdr:spPr>
        <a:xfrm>
          <a:off x="9953625" y="133350"/>
          <a:ext cx="1162050" cy="311496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rgbClr val="CA723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r>
            <a:rPr lang="pt-BR" sz="1200" b="1" i="0">
              <a:solidFill>
                <a:srgbClr val="CA7237"/>
              </a:solidFill>
              <a:latin typeface="Century Gothic" panose="020B0502020202020204" pitchFamily="34" charset="0"/>
              <a:ea typeface="+mn-ea"/>
              <a:cs typeface="+mn-cs"/>
            </a:rPr>
            <a:t>|Processos |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352426</xdr:colOff>
      <xdr:row>16</xdr:row>
      <xdr:rowOff>152400</xdr:rowOff>
    </xdr:from>
    <xdr:to>
      <xdr:col>17</xdr:col>
      <xdr:colOff>307042</xdr:colOff>
      <xdr:row>24</xdr:row>
      <xdr:rowOff>9526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3">
              <a:shade val="45000"/>
              <a:satMod val="135000"/>
            </a:schemeClr>
            <a:prstClr val="white"/>
          </a:duotone>
        </a:blip>
        <a:srcRect l="4306" t="3177" r="3556" b="4697"/>
        <a:stretch/>
      </xdr:blipFill>
      <xdr:spPr>
        <a:xfrm>
          <a:off x="13430251" y="3390900"/>
          <a:ext cx="2038350" cy="1381126"/>
        </a:xfrm>
        <a:prstGeom prst="rect">
          <a:avLst/>
        </a:prstGeom>
      </xdr:spPr>
    </xdr:pic>
    <xdr:clientData/>
  </xdr:twoCellAnchor>
  <xdr:twoCellAnchor editAs="oneCell">
    <xdr:from>
      <xdr:col>18</xdr:col>
      <xdr:colOff>857250</xdr:colOff>
      <xdr:row>16</xdr:row>
      <xdr:rowOff>152400</xdr:rowOff>
    </xdr:from>
    <xdr:to>
      <xdr:col>20</xdr:col>
      <xdr:colOff>909917</xdr:colOff>
      <xdr:row>24</xdr:row>
      <xdr:rowOff>9526</xdr:rowOff>
    </xdr:to>
    <xdr:pic>
      <xdr:nvPicPr>
        <xdr:cNvPr id="4" name="Imagem 3"/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2">
              <a:shade val="45000"/>
              <a:satMod val="135000"/>
            </a:schemeClr>
            <a:prstClr val="white"/>
          </a:duotone>
        </a:blip>
        <a:srcRect l="4306" t="3177" r="3556" b="4697"/>
        <a:stretch/>
      </xdr:blipFill>
      <xdr:spPr>
        <a:xfrm>
          <a:off x="16287750" y="3390900"/>
          <a:ext cx="2038350" cy="1381126"/>
        </a:xfrm>
        <a:prstGeom prst="rect">
          <a:avLst/>
        </a:prstGeom>
      </xdr:spPr>
    </xdr:pic>
    <xdr:clientData/>
  </xdr:twoCellAnchor>
  <xdr:twoCellAnchor>
    <xdr:from>
      <xdr:col>10</xdr:col>
      <xdr:colOff>296955</xdr:colOff>
      <xdr:row>5</xdr:row>
      <xdr:rowOff>158002</xdr:rowOff>
    </xdr:from>
    <xdr:to>
      <xdr:col>15</xdr:col>
      <xdr:colOff>509867</xdr:colOff>
      <xdr:row>19</xdr:row>
      <xdr:rowOff>77319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iscila_Oliveira" refreshedDate="43544.594814930555" createdVersion="5" refreshedVersion="5" minRefreshableVersion="3" recordCount="2478">
  <cacheSource type="worksheet">
    <worksheetSource name="Tabela1"/>
  </cacheSource>
  <cacheFields count="11">
    <cacheField name="Processo" numFmtId="0">
      <sharedItems containsSemiMixedTypes="0" containsString="0" containsNumber="1" containsInteger="1" minValue="111" maxValue="2588"/>
    </cacheField>
    <cacheField name="Departamento" numFmtId="0">
      <sharedItems count="4">
        <s v="Trabalhista"/>
        <s v="Cível"/>
        <s v="Societário"/>
        <s v="Societario" u="1"/>
      </sharedItems>
    </cacheField>
    <cacheField name="Advogado" numFmtId="0">
      <sharedItems count="9">
        <s v="Pedro Alcântara"/>
        <s v="Lucia Mattos"/>
        <s v="Cláudia Souza"/>
        <s v="Helio Gaspar"/>
        <s v="Juliana Bacelar"/>
        <s v="Fernando Lemos"/>
        <s v="Osmar Otaviano"/>
        <s v="Paula Francisco"/>
        <s v="Lucia Matos" u="1"/>
      </sharedItems>
    </cacheField>
    <cacheField name="Data de entrada" numFmtId="14">
      <sharedItems containsSemiMixedTypes="0" containsNonDate="0" containsDate="1" containsString="0" minDate="2016-01-01T00:00:00" maxDate="2018-01-01T00:00:00" count="709">
        <d v="2016-07-16T00:00:00"/>
        <d v="2017-05-26T00:00:00"/>
        <d v="2017-07-21T00:00:00"/>
        <d v="2016-03-12T00:00:00"/>
        <d v="2017-05-15T00:00:00"/>
        <d v="2016-12-06T00:00:00"/>
        <d v="2016-10-28T00:00:00"/>
        <d v="2016-12-07T00:00:00"/>
        <d v="2016-12-30T00:00:00"/>
        <d v="2016-01-29T00:00:00"/>
        <d v="2017-07-05T00:00:00"/>
        <d v="2016-06-09T00:00:00"/>
        <d v="2016-03-25T00:00:00"/>
        <d v="2017-08-19T00:00:00"/>
        <d v="2017-03-21T00:00:00"/>
        <d v="2016-06-21T00:00:00"/>
        <d v="2017-02-08T00:00:00"/>
        <d v="2016-04-27T00:00:00"/>
        <d v="2017-12-12T00:00:00"/>
        <d v="2017-02-13T00:00:00"/>
        <d v="2016-12-18T00:00:00"/>
        <d v="2016-04-22T00:00:00"/>
        <d v="2017-04-06T00:00:00"/>
        <d v="2017-06-25T00:00:00"/>
        <d v="2016-11-28T00:00:00"/>
        <d v="2016-10-07T00:00:00"/>
        <d v="2017-08-06T00:00:00"/>
        <d v="2016-01-05T00:00:00"/>
        <d v="2017-11-23T00:00:00"/>
        <d v="2017-05-01T00:00:00"/>
        <d v="2016-06-18T00:00:00"/>
        <d v="2016-02-21T00:00:00"/>
        <d v="2017-02-04T00:00:00"/>
        <d v="2016-04-02T00:00:00"/>
        <d v="2017-05-02T00:00:00"/>
        <d v="2016-06-10T00:00:00"/>
        <d v="2016-10-11T00:00:00"/>
        <d v="2017-09-29T00:00:00"/>
        <d v="2016-11-13T00:00:00"/>
        <d v="2016-03-10T00:00:00"/>
        <d v="2016-09-15T00:00:00"/>
        <d v="2016-11-18T00:00:00"/>
        <d v="2016-07-25T00:00:00"/>
        <d v="2017-11-02T00:00:00"/>
        <d v="2016-11-30T00:00:00"/>
        <d v="2016-05-10T00:00:00"/>
        <d v="2016-02-19T00:00:00"/>
        <d v="2017-12-10T00:00:00"/>
        <d v="2016-11-11T00:00:00"/>
        <d v="2017-01-27T00:00:00"/>
        <d v="2016-12-28T00:00:00"/>
        <d v="2017-08-05T00:00:00"/>
        <d v="2016-06-14T00:00:00"/>
        <d v="2016-07-12T00:00:00"/>
        <d v="2016-01-07T00:00:00"/>
        <d v="2017-04-07T00:00:00"/>
        <d v="2016-12-16T00:00:00"/>
        <d v="2017-03-17T00:00:00"/>
        <d v="2016-11-23T00:00:00"/>
        <d v="2016-01-02T00:00:00"/>
        <d v="2017-07-17T00:00:00"/>
        <d v="2017-09-30T00:00:00"/>
        <d v="2017-10-01T00:00:00"/>
        <d v="2016-06-24T00:00:00"/>
        <d v="2017-10-16T00:00:00"/>
        <d v="2016-06-05T00:00:00"/>
        <d v="2016-01-15T00:00:00"/>
        <d v="2016-10-31T00:00:00"/>
        <d v="2016-12-01T00:00:00"/>
        <d v="2016-04-09T00:00:00"/>
        <d v="2016-08-14T00:00:00"/>
        <d v="2017-09-07T00:00:00"/>
        <d v="2017-01-07T00:00:00"/>
        <d v="2016-08-01T00:00:00"/>
        <d v="2016-01-31T00:00:00"/>
        <d v="2016-11-25T00:00:00"/>
        <d v="2016-07-27T00:00:00"/>
        <d v="2017-01-26T00:00:00"/>
        <d v="2017-03-16T00:00:00"/>
        <d v="2016-08-23T00:00:00"/>
        <d v="2017-06-23T00:00:00"/>
        <d v="2017-05-13T00:00:00"/>
        <d v="2017-08-20T00:00:00"/>
        <d v="2016-02-15T00:00:00"/>
        <d v="2017-11-05T00:00:00"/>
        <d v="2016-07-13T00:00:00"/>
        <d v="2017-04-15T00:00:00"/>
        <d v="2016-10-26T00:00:00"/>
        <d v="2017-02-18T00:00:00"/>
        <d v="2017-12-22T00:00:00"/>
        <d v="2016-07-14T00:00:00"/>
        <d v="2017-03-18T00:00:00"/>
        <d v="2016-03-06T00:00:00"/>
        <d v="2016-11-02T00:00:00"/>
        <d v="2016-11-08T00:00:00"/>
        <d v="2017-10-24T00:00:00"/>
        <d v="2016-02-08T00:00:00"/>
        <d v="2017-03-24T00:00:00"/>
        <d v="2017-04-24T00:00:00"/>
        <d v="2016-03-24T00:00:00"/>
        <d v="2017-05-14T00:00:00"/>
        <d v="2017-03-27T00:00:00"/>
        <d v="2016-05-25T00:00:00"/>
        <d v="2016-03-26T00:00:00"/>
        <d v="2017-01-29T00:00:00"/>
        <d v="2017-06-28T00:00:00"/>
        <d v="2017-08-01T00:00:00"/>
        <d v="2017-08-14T00:00:00"/>
        <d v="2017-10-20T00:00:00"/>
        <d v="2017-03-12T00:00:00"/>
        <d v="2016-11-21T00:00:00"/>
        <d v="2017-03-08T00:00:00"/>
        <d v="2017-12-29T00:00:00"/>
        <d v="2016-01-17T00:00:00"/>
        <d v="2016-05-01T00:00:00"/>
        <d v="2017-08-04T00:00:00"/>
        <d v="2017-07-22T00:00:00"/>
        <d v="2016-11-17T00:00:00"/>
        <d v="2017-01-24T00:00:00"/>
        <d v="2017-10-25T00:00:00"/>
        <d v="2016-05-06T00:00:00"/>
        <d v="2017-02-19T00:00:00"/>
        <d v="2017-01-14T00:00:00"/>
        <d v="2017-12-18T00:00:00"/>
        <d v="2017-01-09T00:00:00"/>
        <d v="2017-06-09T00:00:00"/>
        <d v="2016-03-18T00:00:00"/>
        <d v="2016-07-18T00:00:00"/>
        <d v="2016-12-26T00:00:00"/>
        <d v="2017-05-20T00:00:00"/>
        <d v="2016-06-12T00:00:00"/>
        <d v="2017-01-28T00:00:00"/>
        <d v="2017-09-24T00:00:00"/>
        <d v="2016-07-28T00:00:00"/>
        <d v="2016-11-16T00:00:00"/>
        <d v="2017-03-07T00:00:00"/>
        <d v="2017-02-09T00:00:00"/>
        <d v="2017-10-14T00:00:00"/>
        <d v="2017-10-27T00:00:00"/>
        <d v="2016-04-13T00:00:00"/>
        <d v="2016-02-12T00:00:00"/>
        <d v="2016-02-26T00:00:00"/>
        <d v="2017-06-17T00:00:00"/>
        <d v="2016-09-20T00:00:00"/>
        <d v="2016-07-15T00:00:00"/>
        <d v="2016-01-26T00:00:00"/>
        <d v="2017-10-06T00:00:00"/>
        <d v="2017-04-08T00:00:00"/>
        <d v="2017-07-26T00:00:00"/>
        <d v="2017-02-22T00:00:00"/>
        <d v="2016-04-06T00:00:00"/>
        <d v="2016-08-31T00:00:00"/>
        <d v="2016-04-15T00:00:00"/>
        <d v="2016-04-23T00:00:00"/>
        <d v="2016-01-09T00:00:00"/>
        <d v="2016-05-26T00:00:00"/>
        <d v="2017-03-22T00:00:00"/>
        <d v="2017-02-26T00:00:00"/>
        <d v="2016-08-15T00:00:00"/>
        <d v="2017-05-03T00:00:00"/>
        <d v="2017-10-03T00:00:00"/>
        <d v="2016-06-23T00:00:00"/>
        <d v="2017-07-06T00:00:00"/>
        <d v="2017-04-10T00:00:00"/>
        <d v="2017-08-23T00:00:00"/>
        <d v="2017-07-10T00:00:00"/>
        <d v="2017-10-02T00:00:00"/>
        <d v="2016-06-13T00:00:00"/>
        <d v="2017-01-08T00:00:00"/>
        <d v="2016-04-25T00:00:00"/>
        <d v="2016-03-19T00:00:00"/>
        <d v="2017-07-01T00:00:00"/>
        <d v="2016-04-01T00:00:00"/>
        <d v="2017-04-16T00:00:00"/>
        <d v="2017-09-03T00:00:00"/>
        <d v="2016-05-13T00:00:00"/>
        <d v="2016-06-15T00:00:00"/>
        <d v="2017-08-10T00:00:00"/>
        <d v="2017-07-09T00:00:00"/>
        <d v="2016-10-30T00:00:00"/>
        <d v="2017-05-19T00:00:00"/>
        <d v="2017-08-15T00:00:00"/>
        <d v="2017-06-13T00:00:00"/>
        <d v="2017-12-14T00:00:00"/>
        <d v="2016-10-15T00:00:00"/>
        <d v="2017-02-15T00:00:00"/>
        <d v="2017-05-21T00:00:00"/>
        <d v="2016-12-21T00:00:00"/>
        <d v="2017-04-25T00:00:00"/>
        <d v="2016-05-23T00:00:00"/>
        <d v="2016-09-25T00:00:00"/>
        <d v="2016-02-06T00:00:00"/>
        <d v="2017-09-23T00:00:00"/>
        <d v="2016-03-20T00:00:00"/>
        <d v="2016-06-16T00:00:00"/>
        <d v="2017-07-13T00:00:00"/>
        <d v="2017-03-09T00:00:00"/>
        <d v="2017-07-31T00:00:00"/>
        <d v="2016-04-07T00:00:00"/>
        <d v="2017-06-08T00:00:00"/>
        <d v="2016-04-30T00:00:00"/>
        <d v="2017-09-26T00:00:00"/>
        <d v="2016-10-14T00:00:00"/>
        <d v="2016-09-04T00:00:00"/>
        <d v="2017-01-02T00:00:00"/>
        <d v="2016-03-29T00:00:00"/>
        <d v="2016-08-17T00:00:00"/>
        <d v="2017-09-21T00:00:00"/>
        <d v="2016-04-29T00:00:00"/>
        <d v="2017-04-27T00:00:00"/>
        <d v="2016-08-26T00:00:00"/>
        <d v="2016-05-29T00:00:00"/>
        <d v="2017-10-15T00:00:00"/>
        <d v="2016-09-10T00:00:00"/>
        <d v="2016-06-01T00:00:00"/>
        <d v="2017-10-21T00:00:00"/>
        <d v="2016-12-12T00:00:00"/>
        <d v="2017-06-01T00:00:00"/>
        <d v="2016-01-16T00:00:00"/>
        <d v="2017-09-02T00:00:00"/>
        <d v="2017-06-20T00:00:00"/>
        <d v="2016-11-20T00:00:00"/>
        <d v="2016-08-19T00:00:00"/>
        <d v="2016-02-01T00:00:00"/>
        <d v="2017-05-28T00:00:00"/>
        <d v="2016-03-13T00:00:00"/>
        <d v="2016-01-08T00:00:00"/>
        <d v="2017-06-05T00:00:00"/>
        <d v="2016-01-04T00:00:00"/>
        <d v="2016-05-05T00:00:00"/>
        <d v="2017-03-04T00:00:00"/>
        <d v="2016-11-07T00:00:00"/>
        <d v="2016-08-27T00:00:00"/>
        <d v="2017-02-12T00:00:00"/>
        <d v="2017-12-30T00:00:00"/>
        <d v="2017-05-24T00:00:00"/>
        <d v="2016-12-22T00:00:00"/>
        <d v="2017-03-28T00:00:00"/>
        <d v="2016-09-22T00:00:00"/>
        <d v="2016-09-06T00:00:00"/>
        <d v="2017-12-02T00:00:00"/>
        <d v="2017-09-09T00:00:00"/>
        <d v="2017-04-02T00:00:00"/>
        <d v="2016-07-05T00:00:00"/>
        <d v="2017-11-11T00:00:00"/>
        <d v="2016-12-20T00:00:00"/>
        <d v="2017-11-14T00:00:00"/>
        <d v="2016-08-30T00:00:00"/>
        <d v="2016-10-10T00:00:00"/>
        <d v="2016-03-07T00:00:00"/>
        <d v="2016-04-16T00:00:00"/>
        <d v="2016-12-29T00:00:00"/>
        <d v="2016-03-23T00:00:00"/>
        <d v="2017-08-12T00:00:00"/>
        <d v="2016-01-03T00:00:00"/>
        <d v="2016-12-10T00:00:00"/>
        <d v="2016-01-28T00:00:00"/>
        <d v="2017-06-11T00:00:00"/>
        <d v="2017-12-06T00:00:00"/>
        <d v="2017-04-29T00:00:00"/>
        <d v="2017-10-17T00:00:00"/>
        <d v="2016-12-27T00:00:00"/>
        <d v="2017-11-26T00:00:00"/>
        <d v="2016-03-16T00:00:00"/>
        <d v="2016-11-10T00:00:00"/>
        <d v="2017-12-24T00:00:00"/>
        <d v="2016-04-08T00:00:00"/>
        <d v="2017-06-30T00:00:00"/>
        <d v="2016-08-25T00:00:00"/>
        <d v="2017-07-28T00:00:00"/>
        <d v="2017-07-11T00:00:00"/>
        <d v="2016-01-30T00:00:00"/>
        <d v="2017-01-03T00:00:00"/>
        <d v="2017-06-03T00:00:00"/>
        <d v="2017-03-31T00:00:00"/>
        <d v="2017-10-29T00:00:00"/>
        <d v="2017-05-31T00:00:00"/>
        <d v="2016-05-15T00:00:00"/>
        <d v="2017-08-26T00:00:00"/>
        <d v="2017-12-23T00:00:00"/>
        <d v="2017-03-30T00:00:00"/>
        <d v="2016-12-23T00:00:00"/>
        <d v="2016-10-20T00:00:00"/>
        <d v="2017-11-22T00:00:00"/>
        <d v="2016-11-29T00:00:00"/>
        <d v="2017-06-07T00:00:00"/>
        <d v="2017-02-20T00:00:00"/>
        <d v="2016-11-19T00:00:00"/>
        <d v="2017-02-02T00:00:00"/>
        <d v="2017-06-18T00:00:00"/>
        <d v="2016-07-26T00:00:00"/>
        <d v="2017-12-09T00:00:00"/>
        <d v="2016-09-26T00:00:00"/>
        <d v="2016-05-24T00:00:00"/>
        <d v="2017-09-14T00:00:00"/>
        <d v="2016-02-10T00:00:00"/>
        <d v="2017-03-15T00:00:00"/>
        <d v="2016-09-17T00:00:00"/>
        <d v="2017-06-19T00:00:00"/>
        <d v="2016-03-30T00:00:00"/>
        <d v="2017-05-18T00:00:00"/>
        <d v="2016-07-01T00:00:00"/>
        <d v="2016-04-20T00:00:00"/>
        <d v="2017-02-27T00:00:00"/>
        <d v="2017-10-22T00:00:00"/>
        <d v="2016-10-27T00:00:00"/>
        <d v="2016-02-29T00:00:00"/>
        <d v="2016-03-22T00:00:00"/>
        <d v="2017-01-04T00:00:00"/>
        <d v="2016-02-27T00:00:00"/>
        <d v="2017-03-11T00:00:00"/>
        <d v="2016-11-22T00:00:00"/>
        <d v="2016-07-11T00:00:00"/>
        <d v="2016-02-05T00:00:00"/>
        <d v="2016-11-09T00:00:00"/>
        <d v="2017-09-27T00:00:00"/>
        <d v="2017-07-30T00:00:00"/>
        <d v="2016-08-29T00:00:00"/>
        <d v="2017-07-12T00:00:00"/>
        <d v="2017-07-18T00:00:00"/>
        <d v="2016-10-06T00:00:00"/>
        <d v="2017-06-16T00:00:00"/>
        <d v="2016-01-11T00:00:00"/>
        <d v="2017-09-20T00:00:00"/>
        <d v="2016-08-16T00:00:00"/>
        <d v="2016-07-22T00:00:00"/>
        <d v="2016-01-19T00:00:00"/>
        <d v="2016-04-04T00:00:00"/>
        <d v="2017-04-30T00:00:00"/>
        <d v="2017-04-04T00:00:00"/>
        <d v="2016-06-29T00:00:00"/>
        <d v="2016-05-11T00:00:00"/>
        <d v="2017-06-15T00:00:00"/>
        <d v="2016-07-06T00:00:00"/>
        <d v="2017-01-16T00:00:00"/>
        <d v="2017-09-01T00:00:00"/>
        <d v="2017-08-24T00:00:00"/>
        <d v="2017-12-07T00:00:00"/>
        <d v="2017-12-26T00:00:00"/>
        <d v="2017-05-12T00:00:00"/>
        <d v="2016-07-07T00:00:00"/>
        <d v="2016-03-02T00:00:00"/>
        <d v="2016-05-19T00:00:00"/>
        <d v="2016-05-17T00:00:00"/>
        <d v="2016-03-04T00:00:00"/>
        <d v="2017-12-05T00:00:00"/>
        <d v="2016-09-02T00:00:00"/>
        <d v="2016-07-20T00:00:00"/>
        <d v="2017-04-21T00:00:00"/>
        <d v="2017-04-18T00:00:00"/>
        <d v="2016-11-06T00:00:00"/>
        <d v="2017-04-28T00:00:00"/>
        <d v="2017-07-03T00:00:00"/>
        <d v="2016-05-02T00:00:00"/>
        <d v="2017-02-17T00:00:00"/>
        <d v="2017-03-01T00:00:00"/>
        <d v="2017-02-16T00:00:00"/>
        <d v="2017-11-09T00:00:00"/>
        <d v="2017-02-03T00:00:00"/>
        <d v="2016-09-28T00:00:00"/>
        <d v="2017-09-28T00:00:00"/>
        <d v="2017-10-12T00:00:00"/>
        <d v="2016-12-25T00:00:00"/>
        <d v="2017-11-04T00:00:00"/>
        <d v="2016-10-24T00:00:00"/>
        <d v="2017-05-10T00:00:00"/>
        <d v="2016-08-08T00:00:00"/>
        <d v="2016-04-14T00:00:00"/>
        <d v="2016-04-11T00:00:00"/>
        <d v="2016-06-02T00:00:00"/>
        <d v="2017-05-06T00:00:00"/>
        <d v="2016-01-22T00:00:00"/>
        <d v="2017-01-23T00:00:00"/>
        <d v="2017-08-16T00:00:00"/>
        <d v="2017-12-21T00:00:00"/>
        <d v="2016-01-21T00:00:00"/>
        <d v="2017-04-05T00:00:00"/>
        <d v="2017-08-02T00:00:00"/>
        <d v="2016-07-31T00:00:00"/>
        <d v="2017-08-03T00:00:00"/>
        <d v="2017-12-27T00:00:00"/>
        <d v="2017-10-10T00:00:00"/>
        <d v="2016-12-03T00:00:00"/>
        <d v="2017-09-15T00:00:00"/>
        <d v="2016-02-09T00:00:00"/>
        <d v="2017-01-30T00:00:00"/>
        <d v="2016-09-05T00:00:00"/>
        <d v="2017-02-21T00:00:00"/>
        <d v="2016-08-07T00:00:00"/>
        <d v="2016-09-14T00:00:00"/>
        <d v="2017-11-17T00:00:00"/>
        <d v="2016-05-28T00:00:00"/>
        <d v="2017-06-02T00:00:00"/>
        <d v="2017-12-11T00:00:00"/>
        <d v="2016-12-19T00:00:00"/>
        <d v="2016-03-11T00:00:00"/>
        <d v="2016-07-24T00:00:00"/>
        <d v="2016-12-08T00:00:00"/>
        <d v="2016-07-29T00:00:00"/>
        <d v="2016-01-24T00:00:00"/>
        <d v="2016-09-09T00:00:00"/>
        <d v="2016-11-12T00:00:00"/>
        <d v="2017-09-13T00:00:00"/>
        <d v="2016-09-29T00:00:00"/>
        <d v="2017-05-07T00:00:00"/>
        <d v="2017-11-20T00:00:00"/>
        <d v="2017-01-11T00:00:00"/>
        <d v="2017-07-14T00:00:00"/>
        <d v="2017-06-27T00:00:00"/>
        <d v="2016-03-01T00:00:00"/>
        <d v="2017-03-19T00:00:00"/>
        <d v="2016-10-12T00:00:00"/>
        <d v="2016-04-10T00:00:00"/>
        <d v="2016-08-10T00:00:00"/>
        <d v="2016-12-13T00:00:00"/>
        <d v="2017-06-14T00:00:00"/>
        <d v="2017-12-16T00:00:00"/>
        <d v="2017-12-20T00:00:00"/>
        <d v="2017-07-02T00:00:00"/>
        <d v="2016-06-04T00:00:00"/>
        <d v="2017-10-05T00:00:00"/>
        <d v="2016-07-02T00:00:00"/>
        <d v="2017-04-11T00:00:00"/>
        <d v="2016-01-20T00:00:00"/>
        <d v="2016-08-18T00:00:00"/>
        <d v="2016-06-30T00:00:00"/>
        <d v="2017-09-12T00:00:00"/>
        <d v="2016-02-03T00:00:00"/>
        <d v="2017-10-18T00:00:00"/>
        <d v="2017-08-09T00:00:00"/>
        <d v="2017-01-06T00:00:00"/>
        <d v="2017-09-10T00:00:00"/>
        <d v="2017-05-11T00:00:00"/>
        <d v="2017-09-18T00:00:00"/>
        <d v="2017-05-08T00:00:00"/>
        <d v="2016-08-21T00:00:00"/>
        <d v="2017-03-02T00:00:00"/>
        <d v="2017-10-31T00:00:00"/>
        <d v="2016-05-16T00:00:00"/>
        <d v="2017-05-27T00:00:00"/>
        <d v="2017-03-25T00:00:00"/>
        <d v="2017-04-14T00:00:00"/>
        <d v="2016-10-13T00:00:00"/>
        <d v="2017-04-09T00:00:00"/>
        <d v="2016-01-13T00:00:00"/>
        <d v="2017-02-07T00:00:00"/>
        <d v="2017-03-14T00:00:00"/>
        <d v="2017-02-01T00:00:00"/>
        <d v="2017-05-04T00:00:00"/>
        <d v="2017-09-04T00:00:00"/>
        <d v="2017-07-23T00:00:00"/>
        <d v="2017-09-08T00:00:00"/>
        <d v="2017-06-04T00:00:00"/>
        <d v="2016-09-12T00:00:00"/>
        <d v="2017-11-19T00:00:00"/>
        <d v="2016-12-24T00:00:00"/>
        <d v="2016-12-04T00:00:00"/>
        <d v="2016-04-21T00:00:00"/>
        <d v="2017-11-15T00:00:00"/>
        <d v="2016-06-11T00:00:00"/>
        <d v="2016-09-16T00:00:00"/>
        <d v="2016-01-06T00:00:00"/>
        <d v="2016-03-15T00:00:00"/>
        <d v="2016-05-27T00:00:00"/>
        <d v="2016-07-23T00:00:00"/>
        <d v="2016-03-09T00:00:00"/>
        <d v="2016-11-15T00:00:00"/>
        <d v="2017-07-19T00:00:00"/>
        <d v="2016-02-23T00:00:00"/>
        <d v="2017-02-28T00:00:00"/>
        <d v="2016-06-06T00:00:00"/>
        <d v="2017-10-28T00:00:00"/>
        <d v="2016-08-06T00:00:00"/>
        <d v="2017-05-16T00:00:00"/>
        <d v="2016-10-23T00:00:00"/>
        <d v="2017-01-31T00:00:00"/>
        <d v="2017-09-05T00:00:00"/>
        <d v="2016-04-24T00:00:00"/>
        <d v="2017-02-11T00:00:00"/>
        <d v="2016-09-19T00:00:00"/>
        <d v="2016-10-02T00:00:00"/>
        <d v="2017-12-08T00:00:00"/>
        <d v="2016-12-02T00:00:00"/>
        <d v="2017-06-21T00:00:00"/>
        <d v="2017-02-06T00:00:00"/>
        <d v="2017-01-01T00:00:00"/>
        <d v="2016-06-20T00:00:00"/>
        <d v="2017-01-15T00:00:00"/>
        <d v="2016-10-29T00:00:00"/>
        <d v="2017-11-13T00:00:00"/>
        <d v="2017-06-12T00:00:00"/>
        <d v="2017-10-23T00:00:00"/>
        <d v="2016-05-14T00:00:00"/>
        <d v="2016-07-09T00:00:00"/>
        <d v="2016-01-01T00:00:00"/>
        <d v="2016-11-27T00:00:00"/>
        <d v="2017-04-03T00:00:00"/>
        <d v="2016-06-17T00:00:00"/>
        <d v="2017-07-29T00:00:00"/>
        <d v="2016-09-01T00:00:00"/>
        <d v="2016-05-31T00:00:00"/>
        <d v="2017-01-22T00:00:00"/>
        <d v="2017-11-21T00:00:00"/>
        <d v="2017-10-08T00:00:00"/>
        <d v="2017-12-04T00:00:00"/>
        <d v="2017-08-28T00:00:00"/>
        <d v="2016-01-14T00:00:00"/>
        <d v="2016-09-24T00:00:00"/>
        <d v="2017-10-07T00:00:00"/>
        <d v="2016-07-30T00:00:00"/>
        <d v="2017-07-24T00:00:00"/>
        <d v="2016-06-25T00:00:00"/>
        <d v="2017-08-31T00:00:00"/>
        <d v="2017-05-25T00:00:00"/>
        <d v="2017-04-12T00:00:00"/>
        <d v="2017-04-01T00:00:00"/>
        <d v="2016-07-17T00:00:00"/>
        <d v="2017-03-29T00:00:00"/>
        <d v="2016-01-23T00:00:00"/>
        <d v="2016-05-04T00:00:00"/>
        <d v="2016-01-10T00:00:00"/>
        <d v="2016-05-03T00:00:00"/>
        <d v="2017-12-15T00:00:00"/>
        <d v="2017-05-29T00:00:00"/>
        <d v="2017-07-04T00:00:00"/>
        <d v="2016-08-02T00:00:00"/>
        <d v="2016-10-17T00:00:00"/>
        <d v="2016-09-27T00:00:00"/>
        <d v="2017-08-18T00:00:00"/>
        <d v="2016-05-22T00:00:00"/>
        <d v="2016-02-07T00:00:00"/>
        <d v="2016-05-09T00:00:00"/>
        <d v="2016-08-09T00:00:00"/>
        <d v="2016-12-17T00:00:00"/>
        <d v="2017-02-23T00:00:00"/>
        <d v="2017-04-20T00:00:00"/>
        <d v="2017-07-25T00:00:00"/>
        <d v="2016-07-10T00:00:00"/>
        <d v="2016-08-12T00:00:00"/>
        <d v="2017-11-29T00:00:00"/>
        <d v="2016-04-19T00:00:00"/>
        <d v="2017-01-12T00:00:00"/>
        <d v="2016-03-21T00:00:00"/>
        <d v="2017-04-17T00:00:00"/>
        <d v="2017-10-11T00:00:00"/>
        <d v="2016-05-07T00:00:00"/>
        <d v="2016-01-25T00:00:00"/>
        <d v="2016-11-03T00:00:00"/>
        <d v="2017-06-26T00:00:00"/>
        <d v="2016-06-19T00:00:00"/>
        <d v="2016-10-01T00:00:00"/>
        <d v="2016-01-18T00:00:00"/>
        <d v="2016-01-12T00:00:00"/>
        <d v="2016-06-07T00:00:00"/>
        <d v="2017-03-23T00:00:00"/>
        <d v="2016-03-05T00:00:00"/>
        <d v="2017-01-20T00:00:00"/>
        <d v="2016-08-13T00:00:00"/>
        <d v="2016-03-27T00:00:00"/>
        <d v="2016-12-14T00:00:00"/>
        <d v="2017-11-16T00:00:00"/>
        <d v="2016-02-20T00:00:00"/>
        <d v="2017-02-25T00:00:00"/>
        <d v="2017-07-15T00:00:00"/>
        <d v="2017-03-03T00:00:00"/>
        <d v="2017-07-27T00:00:00"/>
        <d v="2017-01-17T00:00:00"/>
        <d v="2017-01-21T00:00:00"/>
        <d v="2016-06-27T00:00:00"/>
        <d v="2016-07-21T00:00:00"/>
        <d v="2017-10-13T00:00:00"/>
        <d v="2017-11-24T00:00:00"/>
        <d v="2016-10-18T00:00:00"/>
        <d v="2016-09-11T00:00:00"/>
        <d v="2016-09-23T00:00:00"/>
        <d v="2016-02-11T00:00:00"/>
        <d v="2017-11-27T00:00:00"/>
        <d v="2017-02-10T00:00:00"/>
        <d v="2017-11-25T00:00:00"/>
        <d v="2017-03-13T00:00:00"/>
        <d v="2016-11-01T00:00:00"/>
        <d v="2016-08-24T00:00:00"/>
        <d v="2017-12-01T00:00:00"/>
        <d v="2016-03-31T00:00:00"/>
        <d v="2016-08-03T00:00:00"/>
        <d v="2016-11-26T00:00:00"/>
        <d v="2016-02-04T00:00:00"/>
        <d v="2016-04-03T00:00:00"/>
        <d v="2016-07-04T00:00:00"/>
        <d v="2017-10-04T00:00:00"/>
        <d v="2016-02-24T00:00:00"/>
        <d v="2016-03-14T00:00:00"/>
        <d v="2017-02-05T00:00:00"/>
        <d v="2017-01-19T00:00:00"/>
        <d v="2017-04-23T00:00:00"/>
        <d v="2017-11-18T00:00:00"/>
        <d v="2016-10-03T00:00:00"/>
        <d v="2016-09-03T00:00:00"/>
        <d v="2017-11-30T00:00:00"/>
        <d v="2017-09-22T00:00:00"/>
        <d v="2017-05-09T00:00:00"/>
        <d v="2016-06-22T00:00:00"/>
        <d v="2016-03-28T00:00:00"/>
        <d v="2016-05-18T00:00:00"/>
        <d v="2016-10-04T00:00:00"/>
        <d v="2017-01-05T00:00:00"/>
        <d v="2016-08-11T00:00:00"/>
        <d v="2017-06-22T00:00:00"/>
        <d v="2016-09-30T00:00:00"/>
        <d v="2016-12-05T00:00:00"/>
        <d v="2017-08-21T00:00:00"/>
        <d v="2016-10-25T00:00:00"/>
        <d v="2017-02-14T00:00:00"/>
        <d v="2016-02-18T00:00:00"/>
        <d v="2017-04-13T00:00:00"/>
        <d v="2017-08-22T00:00:00"/>
        <d v="2016-10-08T00:00:00"/>
        <d v="2016-08-28T00:00:00"/>
        <d v="2017-08-29T00:00:00"/>
        <d v="2016-02-14T00:00:00"/>
        <d v="2017-02-24T00:00:00"/>
        <d v="2017-07-07T00:00:00"/>
        <d v="2017-10-09T00:00:00"/>
        <d v="2017-11-06T00:00:00"/>
        <d v="2016-06-28T00:00:00"/>
        <d v="2017-09-16T00:00:00"/>
        <d v="2016-08-04T00:00:00"/>
        <d v="2016-02-17T00:00:00"/>
        <d v="2016-11-14T00:00:00"/>
        <d v="2017-08-08T00:00:00"/>
        <d v="2017-12-03T00:00:00"/>
        <d v="2017-05-30T00:00:00"/>
        <d v="2016-12-15T00:00:00"/>
        <d v="2017-04-22T00:00:00"/>
        <d v="2016-11-04T00:00:00"/>
        <d v="2017-01-25T00:00:00"/>
        <d v="2016-08-22T00:00:00"/>
        <d v="2017-12-19T00:00:00"/>
        <d v="2017-12-17T00:00:00"/>
        <d v="2017-03-05T00:00:00"/>
        <d v="2017-01-18T00:00:00"/>
        <d v="2017-11-07T00:00:00"/>
        <d v="2016-07-19T00:00:00"/>
        <d v="2017-11-12T00:00:00"/>
        <d v="2016-05-08T00:00:00"/>
        <d v="2016-04-05T00:00:00"/>
        <d v="2017-07-16T00:00:00"/>
        <d v="2017-08-13T00:00:00"/>
        <d v="2017-12-25T00:00:00"/>
        <d v="2017-04-26T00:00:00"/>
        <d v="2017-09-11T00:00:00"/>
        <d v="2016-05-20T00:00:00"/>
        <d v="2016-07-08T00:00:00"/>
        <d v="2017-03-10T00:00:00"/>
        <d v="2016-11-24T00:00:00"/>
        <d v="2016-02-28T00:00:00"/>
        <d v="2017-10-26T00:00:00"/>
        <d v="2017-06-29T00:00:00"/>
        <d v="2017-10-19T00:00:00"/>
        <d v="2016-10-05T00:00:00"/>
        <d v="2017-09-19T00:00:00"/>
        <d v="2017-09-25T00:00:00"/>
        <d v="2017-03-26T00:00:00"/>
        <d v="2017-06-10T00:00:00"/>
        <d v="2017-08-07T00:00:00"/>
        <d v="2016-02-02T00:00:00"/>
        <d v="2017-12-31T00:00:00"/>
        <d v="2016-12-31T00:00:00"/>
        <d v="2016-10-19T00:00:00"/>
        <d v="2016-05-21T00:00:00"/>
        <d v="2017-08-27T00:00:00"/>
        <d v="2017-11-01T00:00:00"/>
        <d v="2016-07-03T00:00:00"/>
        <d v="2017-07-08T00:00:00"/>
        <d v="2016-10-16T00:00:00"/>
        <d v="2016-11-05T00:00:00"/>
        <d v="2017-08-30T00:00:00"/>
        <d v="2017-07-20T00:00:00"/>
        <d v="2016-04-28T00:00:00"/>
        <d v="2017-08-11T00:00:00"/>
        <d v="2016-03-17T00:00:00"/>
        <d v="2016-04-18T00:00:00"/>
        <d v="2017-05-17T00:00:00"/>
        <d v="2017-05-05T00:00:00"/>
        <d v="2016-03-08T00:00:00"/>
        <d v="2017-01-10T00:00:00"/>
        <d v="2017-06-24T00:00:00"/>
        <d v="2017-11-08T00:00:00"/>
        <d v="2017-11-10T00:00:00"/>
        <d v="2017-05-22T00:00:00"/>
        <d v="2016-12-09T00:00:00"/>
        <d v="2017-12-28T00:00:00"/>
        <d v="2016-04-17T00:00:00"/>
        <d v="2016-08-05T00:00:00"/>
        <d v="2016-10-21T00:00:00"/>
        <d v="2016-01-27T00:00:00"/>
        <d v="2016-06-26T00:00:00"/>
        <d v="2017-08-25T00:00:00"/>
        <d v="2017-09-17T00:00:00"/>
        <d v="2016-02-16T00:00:00"/>
        <d v="2017-04-19T00:00:00"/>
        <d v="2016-12-11T00:00:00"/>
        <d v="2016-02-25T00:00:00"/>
        <d v="2016-02-13T00:00:00"/>
        <d v="2016-10-22T00:00:00"/>
        <d v="2017-11-03T00:00:00"/>
        <d v="2016-09-21T00:00:00"/>
        <d v="2017-03-20T00:00:00"/>
        <d v="2016-06-08T00:00:00"/>
      </sharedItems>
      <fieldGroup par="10" base="3">
        <rangePr groupBy="days" startDate="2016-01-01T00:00:00" endDate="2018-01-01T00:00:00"/>
        <groupItems count="368">
          <s v="&lt;01/01/2016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2018"/>
        </groupItems>
      </fieldGroup>
    </cacheField>
    <cacheField name="Data de conclusão" numFmtId="14">
      <sharedItems containsNonDate="0" containsDate="1" containsString="0" containsBlank="1" minDate="2016-02-10T00:00:00" maxDate="2018-05-09T00:00:00"/>
    </cacheField>
    <cacheField name="Status" numFmtId="0">
      <sharedItems count="6">
        <s v="Em Andamento"/>
        <s v="Concluído"/>
        <s v="Aguard. Doc"/>
        <s v="andamento" u="1"/>
        <s v="aguardando documentação" u="1"/>
        <s v="andamento " u="1"/>
      </sharedItems>
    </cacheField>
    <cacheField name="Valor" numFmtId="44">
      <sharedItems containsSemiMixedTypes="0" containsString="0" containsNumber="1" containsInteger="1" minValue="612" maxValue="59952"/>
    </cacheField>
    <cacheField name="Gestor" numFmtId="0">
      <sharedItems count="2">
        <s v="Caio Brito"/>
        <s v="Renê Amaranto"/>
      </sharedItems>
    </cacheField>
    <cacheField name="Tempo" numFmtId="0">
      <sharedItems containsSemiMixedTypes="0" containsString="0" containsNumber="1" containsInteger="1" minValue="19" maxValue="618"/>
    </cacheField>
    <cacheField name="Meses" numFmtId="0" databaseField="0">
      <fieldGroup base="3">
        <rangePr groupBy="months" startDate="2016-01-01T00:00:00" endDate="2018-01-01T00:00:00"/>
        <groupItems count="14">
          <s v="&lt;01/01/201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18"/>
        </groupItems>
      </fieldGroup>
    </cacheField>
    <cacheField name="Anos" numFmtId="0" databaseField="0">
      <fieldGroup base="3">
        <rangePr groupBy="years" startDate="2016-01-01T00:00:00" endDate="2018-01-01T00:00:00"/>
        <groupItems count="5">
          <s v="&lt;01/01/2016"/>
          <s v="2016"/>
          <s v="2017"/>
          <s v="2018"/>
          <s v="&gt;01/01/2018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78">
  <r>
    <n v="111"/>
    <x v="0"/>
    <x v="0"/>
    <x v="0"/>
    <m/>
    <x v="0"/>
    <n v="40702"/>
    <x v="0"/>
    <n v="477"/>
  </r>
  <r>
    <n v="112"/>
    <x v="1"/>
    <x v="1"/>
    <x v="1"/>
    <m/>
    <x v="0"/>
    <n v="34282"/>
    <x v="0"/>
    <n v="253"/>
  </r>
  <r>
    <n v="113"/>
    <x v="2"/>
    <x v="2"/>
    <x v="2"/>
    <m/>
    <x v="0"/>
    <n v="19524"/>
    <x v="0"/>
    <n v="213"/>
  </r>
  <r>
    <n v="114"/>
    <x v="0"/>
    <x v="3"/>
    <x v="3"/>
    <m/>
    <x v="0"/>
    <n v="31798"/>
    <x v="0"/>
    <n v="567"/>
  </r>
  <r>
    <n v="115"/>
    <x v="1"/>
    <x v="4"/>
    <x v="4"/>
    <m/>
    <x v="0"/>
    <n v="59616"/>
    <x v="1"/>
    <n v="262"/>
  </r>
  <r>
    <n v="116"/>
    <x v="2"/>
    <x v="5"/>
    <x v="5"/>
    <m/>
    <x v="0"/>
    <n v="30090"/>
    <x v="1"/>
    <n v="376"/>
  </r>
  <r>
    <n v="117"/>
    <x v="0"/>
    <x v="6"/>
    <x v="6"/>
    <m/>
    <x v="0"/>
    <n v="11444"/>
    <x v="1"/>
    <n v="403"/>
  </r>
  <r>
    <n v="118"/>
    <x v="1"/>
    <x v="7"/>
    <x v="7"/>
    <m/>
    <x v="0"/>
    <n v="11235"/>
    <x v="1"/>
    <n v="375"/>
  </r>
  <r>
    <n v="119"/>
    <x v="2"/>
    <x v="0"/>
    <x v="8"/>
    <m/>
    <x v="0"/>
    <n v="31666"/>
    <x v="0"/>
    <n v="358"/>
  </r>
  <r>
    <n v="120"/>
    <x v="0"/>
    <x v="1"/>
    <x v="9"/>
    <m/>
    <x v="0"/>
    <n v="50302"/>
    <x v="0"/>
    <n v="598"/>
  </r>
  <r>
    <n v="121"/>
    <x v="1"/>
    <x v="2"/>
    <x v="10"/>
    <m/>
    <x v="0"/>
    <n v="3242"/>
    <x v="0"/>
    <n v="225"/>
  </r>
  <r>
    <n v="122"/>
    <x v="2"/>
    <x v="3"/>
    <x v="11"/>
    <d v="2016-07-27T00:00:00"/>
    <x v="1"/>
    <n v="35713"/>
    <x v="0"/>
    <n v="35"/>
  </r>
  <r>
    <n v="123"/>
    <x v="0"/>
    <x v="4"/>
    <x v="12"/>
    <m/>
    <x v="2"/>
    <n v="14261"/>
    <x v="1"/>
    <n v="558"/>
  </r>
  <r>
    <n v="124"/>
    <x v="1"/>
    <x v="5"/>
    <x v="13"/>
    <m/>
    <x v="0"/>
    <n v="1802"/>
    <x v="1"/>
    <n v="192"/>
  </r>
  <r>
    <n v="125"/>
    <x v="2"/>
    <x v="6"/>
    <x v="14"/>
    <m/>
    <x v="0"/>
    <n v="52047"/>
    <x v="1"/>
    <n v="301"/>
  </r>
  <r>
    <n v="126"/>
    <x v="0"/>
    <x v="7"/>
    <x v="15"/>
    <m/>
    <x v="0"/>
    <n v="46736"/>
    <x v="1"/>
    <n v="496"/>
  </r>
  <r>
    <n v="127"/>
    <x v="1"/>
    <x v="0"/>
    <x v="16"/>
    <m/>
    <x v="0"/>
    <n v="46906"/>
    <x v="0"/>
    <n v="330"/>
  </r>
  <r>
    <n v="128"/>
    <x v="2"/>
    <x v="1"/>
    <x v="17"/>
    <m/>
    <x v="0"/>
    <n v="20840"/>
    <x v="0"/>
    <n v="535"/>
  </r>
  <r>
    <n v="129"/>
    <x v="0"/>
    <x v="2"/>
    <x v="18"/>
    <m/>
    <x v="0"/>
    <n v="41345"/>
    <x v="0"/>
    <n v="111"/>
  </r>
  <r>
    <n v="130"/>
    <x v="1"/>
    <x v="3"/>
    <x v="19"/>
    <m/>
    <x v="0"/>
    <n v="49719"/>
    <x v="0"/>
    <n v="327"/>
  </r>
  <r>
    <n v="131"/>
    <x v="2"/>
    <x v="4"/>
    <x v="20"/>
    <m/>
    <x v="0"/>
    <n v="59360"/>
    <x v="1"/>
    <n v="367"/>
  </r>
  <r>
    <n v="132"/>
    <x v="0"/>
    <x v="5"/>
    <x v="21"/>
    <m/>
    <x v="0"/>
    <n v="51728"/>
    <x v="1"/>
    <n v="538"/>
  </r>
  <r>
    <n v="133"/>
    <x v="1"/>
    <x v="6"/>
    <x v="22"/>
    <m/>
    <x v="0"/>
    <n v="27278"/>
    <x v="1"/>
    <n v="289"/>
  </r>
  <r>
    <n v="134"/>
    <x v="2"/>
    <x v="7"/>
    <x v="23"/>
    <m/>
    <x v="0"/>
    <n v="9261"/>
    <x v="1"/>
    <n v="232"/>
  </r>
  <r>
    <n v="135"/>
    <x v="0"/>
    <x v="1"/>
    <x v="24"/>
    <d v="2017-04-22T00:00:00"/>
    <x v="1"/>
    <n v="28680"/>
    <x v="0"/>
    <n v="105"/>
  </r>
  <r>
    <n v="136"/>
    <x v="1"/>
    <x v="1"/>
    <x v="25"/>
    <m/>
    <x v="2"/>
    <n v="30653"/>
    <x v="0"/>
    <n v="418"/>
  </r>
  <r>
    <n v="137"/>
    <x v="2"/>
    <x v="2"/>
    <x v="26"/>
    <m/>
    <x v="0"/>
    <n v="56872"/>
    <x v="0"/>
    <n v="202"/>
  </r>
  <r>
    <n v="138"/>
    <x v="0"/>
    <x v="3"/>
    <x v="27"/>
    <m/>
    <x v="0"/>
    <n v="46888"/>
    <x v="0"/>
    <n v="616"/>
  </r>
  <r>
    <n v="139"/>
    <x v="1"/>
    <x v="4"/>
    <x v="28"/>
    <m/>
    <x v="0"/>
    <n v="53200"/>
    <x v="1"/>
    <n v="124"/>
  </r>
  <r>
    <n v="140"/>
    <x v="2"/>
    <x v="5"/>
    <x v="29"/>
    <m/>
    <x v="0"/>
    <n v="41185"/>
    <x v="1"/>
    <n v="272"/>
  </r>
  <r>
    <n v="141"/>
    <x v="0"/>
    <x v="6"/>
    <x v="30"/>
    <m/>
    <x v="0"/>
    <n v="2139"/>
    <x v="1"/>
    <n v="497"/>
  </r>
  <r>
    <n v="142"/>
    <x v="1"/>
    <x v="7"/>
    <x v="31"/>
    <m/>
    <x v="0"/>
    <n v="53685"/>
    <x v="1"/>
    <n v="582"/>
  </r>
  <r>
    <n v="143"/>
    <x v="2"/>
    <x v="0"/>
    <x v="32"/>
    <m/>
    <x v="0"/>
    <n v="57428"/>
    <x v="0"/>
    <n v="332"/>
  </r>
  <r>
    <n v="144"/>
    <x v="0"/>
    <x v="1"/>
    <x v="33"/>
    <m/>
    <x v="0"/>
    <n v="51024"/>
    <x v="0"/>
    <n v="552"/>
  </r>
  <r>
    <n v="145"/>
    <x v="1"/>
    <x v="2"/>
    <x v="29"/>
    <m/>
    <x v="0"/>
    <n v="44417"/>
    <x v="0"/>
    <n v="272"/>
  </r>
  <r>
    <n v="146"/>
    <x v="2"/>
    <x v="3"/>
    <x v="34"/>
    <m/>
    <x v="0"/>
    <n v="22503"/>
    <x v="0"/>
    <n v="271"/>
  </r>
  <r>
    <n v="147"/>
    <x v="0"/>
    <x v="4"/>
    <x v="35"/>
    <m/>
    <x v="0"/>
    <n v="57687"/>
    <x v="1"/>
    <n v="503"/>
  </r>
  <r>
    <n v="148"/>
    <x v="1"/>
    <x v="5"/>
    <x v="36"/>
    <d v="2016-11-17T00:00:00"/>
    <x v="1"/>
    <n v="58546"/>
    <x v="1"/>
    <n v="28"/>
  </r>
  <r>
    <n v="149"/>
    <x v="2"/>
    <x v="6"/>
    <x v="37"/>
    <m/>
    <x v="2"/>
    <n v="54672"/>
    <x v="1"/>
    <n v="163"/>
  </r>
  <r>
    <n v="150"/>
    <x v="0"/>
    <x v="7"/>
    <x v="38"/>
    <m/>
    <x v="0"/>
    <n v="4950"/>
    <x v="1"/>
    <n v="392"/>
  </r>
  <r>
    <n v="151"/>
    <x v="2"/>
    <x v="0"/>
    <x v="39"/>
    <m/>
    <x v="0"/>
    <n v="8872"/>
    <x v="0"/>
    <n v="569"/>
  </r>
  <r>
    <n v="152"/>
    <x v="2"/>
    <x v="1"/>
    <x v="40"/>
    <m/>
    <x v="0"/>
    <n v="27924"/>
    <x v="0"/>
    <n v="434"/>
  </r>
  <r>
    <n v="153"/>
    <x v="2"/>
    <x v="2"/>
    <x v="41"/>
    <m/>
    <x v="0"/>
    <n v="26129"/>
    <x v="0"/>
    <n v="388"/>
  </r>
  <r>
    <n v="154"/>
    <x v="1"/>
    <x v="3"/>
    <x v="42"/>
    <m/>
    <x v="0"/>
    <n v="39777"/>
    <x v="0"/>
    <n v="472"/>
  </r>
  <r>
    <n v="155"/>
    <x v="2"/>
    <x v="4"/>
    <x v="43"/>
    <m/>
    <x v="0"/>
    <n v="16933"/>
    <x v="1"/>
    <n v="139"/>
  </r>
  <r>
    <n v="156"/>
    <x v="0"/>
    <x v="5"/>
    <x v="44"/>
    <m/>
    <x v="0"/>
    <n v="54002"/>
    <x v="1"/>
    <n v="380"/>
  </r>
  <r>
    <n v="157"/>
    <x v="1"/>
    <x v="6"/>
    <x v="45"/>
    <m/>
    <x v="0"/>
    <n v="2146"/>
    <x v="1"/>
    <n v="526"/>
  </r>
  <r>
    <n v="158"/>
    <x v="2"/>
    <x v="7"/>
    <x v="46"/>
    <m/>
    <x v="0"/>
    <n v="51410"/>
    <x v="1"/>
    <n v="583"/>
  </r>
  <r>
    <n v="159"/>
    <x v="0"/>
    <x v="0"/>
    <x v="47"/>
    <m/>
    <x v="0"/>
    <n v="16022"/>
    <x v="0"/>
    <n v="112"/>
  </r>
  <r>
    <n v="160"/>
    <x v="1"/>
    <x v="1"/>
    <x v="48"/>
    <m/>
    <x v="0"/>
    <n v="43600"/>
    <x v="0"/>
    <n v="393"/>
  </r>
  <r>
    <n v="161"/>
    <x v="2"/>
    <x v="2"/>
    <x v="49"/>
    <d v="2017-04-04T00:00:00"/>
    <x v="1"/>
    <n v="41949"/>
    <x v="0"/>
    <n v="48"/>
  </r>
  <r>
    <n v="162"/>
    <x v="0"/>
    <x v="3"/>
    <x v="50"/>
    <m/>
    <x v="2"/>
    <n v="23146"/>
    <x v="0"/>
    <n v="360"/>
  </r>
  <r>
    <n v="163"/>
    <x v="1"/>
    <x v="4"/>
    <x v="51"/>
    <m/>
    <x v="0"/>
    <n v="10536"/>
    <x v="1"/>
    <n v="202"/>
  </r>
  <r>
    <n v="164"/>
    <x v="2"/>
    <x v="5"/>
    <x v="52"/>
    <m/>
    <x v="0"/>
    <n v="49033"/>
    <x v="1"/>
    <n v="501"/>
  </r>
  <r>
    <n v="165"/>
    <x v="0"/>
    <x v="6"/>
    <x v="53"/>
    <m/>
    <x v="0"/>
    <n v="30292"/>
    <x v="1"/>
    <n v="481"/>
  </r>
  <r>
    <n v="166"/>
    <x v="1"/>
    <x v="7"/>
    <x v="54"/>
    <m/>
    <x v="0"/>
    <n v="10184"/>
    <x v="1"/>
    <n v="614"/>
  </r>
  <r>
    <n v="167"/>
    <x v="2"/>
    <x v="0"/>
    <x v="55"/>
    <m/>
    <x v="0"/>
    <n v="43212"/>
    <x v="0"/>
    <n v="288"/>
  </r>
  <r>
    <n v="168"/>
    <x v="0"/>
    <x v="1"/>
    <x v="56"/>
    <m/>
    <x v="0"/>
    <n v="53161"/>
    <x v="0"/>
    <n v="368"/>
  </r>
  <r>
    <n v="169"/>
    <x v="1"/>
    <x v="2"/>
    <x v="57"/>
    <m/>
    <x v="0"/>
    <n v="50139"/>
    <x v="0"/>
    <n v="303"/>
  </r>
  <r>
    <n v="170"/>
    <x v="2"/>
    <x v="3"/>
    <x v="58"/>
    <m/>
    <x v="0"/>
    <n v="33281"/>
    <x v="0"/>
    <n v="385"/>
  </r>
  <r>
    <n v="171"/>
    <x v="0"/>
    <x v="4"/>
    <x v="59"/>
    <m/>
    <x v="0"/>
    <n v="47582"/>
    <x v="1"/>
    <n v="617"/>
  </r>
  <r>
    <n v="172"/>
    <x v="1"/>
    <x v="5"/>
    <x v="60"/>
    <m/>
    <x v="0"/>
    <n v="47698"/>
    <x v="1"/>
    <n v="217"/>
  </r>
  <r>
    <n v="173"/>
    <x v="2"/>
    <x v="6"/>
    <x v="61"/>
    <m/>
    <x v="0"/>
    <n v="44480"/>
    <x v="1"/>
    <n v="162"/>
  </r>
  <r>
    <n v="174"/>
    <x v="0"/>
    <x v="7"/>
    <x v="62"/>
    <d v="2017-11-05T00:00:00"/>
    <x v="1"/>
    <n v="54671"/>
    <x v="1"/>
    <n v="25"/>
  </r>
  <r>
    <n v="175"/>
    <x v="1"/>
    <x v="0"/>
    <x v="63"/>
    <m/>
    <x v="2"/>
    <n v="923"/>
    <x v="0"/>
    <n v="493"/>
  </r>
  <r>
    <n v="176"/>
    <x v="2"/>
    <x v="1"/>
    <x v="64"/>
    <m/>
    <x v="0"/>
    <n v="32255"/>
    <x v="0"/>
    <n v="152"/>
  </r>
  <r>
    <n v="177"/>
    <x v="0"/>
    <x v="2"/>
    <x v="65"/>
    <m/>
    <x v="0"/>
    <n v="57997"/>
    <x v="0"/>
    <n v="507"/>
  </r>
  <r>
    <n v="178"/>
    <x v="1"/>
    <x v="3"/>
    <x v="66"/>
    <m/>
    <x v="0"/>
    <n v="55392"/>
    <x v="0"/>
    <n v="608"/>
  </r>
  <r>
    <n v="179"/>
    <x v="2"/>
    <x v="4"/>
    <x v="67"/>
    <m/>
    <x v="0"/>
    <n v="13662"/>
    <x v="1"/>
    <n v="402"/>
  </r>
  <r>
    <n v="180"/>
    <x v="0"/>
    <x v="5"/>
    <x v="68"/>
    <m/>
    <x v="0"/>
    <n v="51547"/>
    <x v="1"/>
    <n v="379"/>
  </r>
  <r>
    <n v="181"/>
    <x v="1"/>
    <x v="1"/>
    <x v="69"/>
    <m/>
    <x v="0"/>
    <n v="3342"/>
    <x v="0"/>
    <n v="547"/>
  </r>
  <r>
    <n v="182"/>
    <x v="2"/>
    <x v="7"/>
    <x v="70"/>
    <m/>
    <x v="0"/>
    <n v="44845"/>
    <x v="1"/>
    <n v="457"/>
  </r>
  <r>
    <n v="183"/>
    <x v="0"/>
    <x v="0"/>
    <x v="71"/>
    <m/>
    <x v="0"/>
    <n v="43717"/>
    <x v="0"/>
    <n v="179"/>
  </r>
  <r>
    <n v="184"/>
    <x v="1"/>
    <x v="1"/>
    <x v="58"/>
    <m/>
    <x v="0"/>
    <n v="46039"/>
    <x v="0"/>
    <n v="385"/>
  </r>
  <r>
    <n v="185"/>
    <x v="2"/>
    <x v="2"/>
    <x v="72"/>
    <m/>
    <x v="0"/>
    <n v="48526"/>
    <x v="0"/>
    <n v="352"/>
  </r>
  <r>
    <n v="186"/>
    <x v="0"/>
    <x v="3"/>
    <x v="73"/>
    <m/>
    <x v="0"/>
    <n v="52809"/>
    <x v="0"/>
    <n v="467"/>
  </r>
  <r>
    <n v="187"/>
    <x v="1"/>
    <x v="4"/>
    <x v="74"/>
    <d v="2016-03-20T00:00:00"/>
    <x v="1"/>
    <n v="45563"/>
    <x v="1"/>
    <n v="35"/>
  </r>
  <r>
    <n v="188"/>
    <x v="2"/>
    <x v="5"/>
    <x v="75"/>
    <m/>
    <x v="2"/>
    <n v="30295"/>
    <x v="1"/>
    <n v="383"/>
  </r>
  <r>
    <n v="189"/>
    <x v="0"/>
    <x v="1"/>
    <x v="76"/>
    <m/>
    <x v="0"/>
    <n v="3390"/>
    <x v="0"/>
    <n v="470"/>
  </r>
  <r>
    <n v="190"/>
    <x v="1"/>
    <x v="1"/>
    <x v="77"/>
    <m/>
    <x v="0"/>
    <n v="9812"/>
    <x v="0"/>
    <n v="339"/>
  </r>
  <r>
    <n v="191"/>
    <x v="2"/>
    <x v="1"/>
    <x v="78"/>
    <m/>
    <x v="0"/>
    <n v="9466"/>
    <x v="0"/>
    <n v="304"/>
  </r>
  <r>
    <n v="192"/>
    <x v="0"/>
    <x v="1"/>
    <x v="79"/>
    <m/>
    <x v="0"/>
    <n v="7576"/>
    <x v="0"/>
    <n v="451"/>
  </r>
  <r>
    <n v="193"/>
    <x v="1"/>
    <x v="1"/>
    <x v="80"/>
    <m/>
    <x v="0"/>
    <n v="49551"/>
    <x v="0"/>
    <n v="233"/>
  </r>
  <r>
    <n v="194"/>
    <x v="2"/>
    <x v="1"/>
    <x v="81"/>
    <m/>
    <x v="0"/>
    <n v="9550"/>
    <x v="0"/>
    <n v="262"/>
  </r>
  <r>
    <n v="195"/>
    <x v="0"/>
    <x v="4"/>
    <x v="82"/>
    <m/>
    <x v="0"/>
    <n v="28370"/>
    <x v="1"/>
    <n v="192"/>
  </r>
  <r>
    <n v="196"/>
    <x v="1"/>
    <x v="5"/>
    <x v="83"/>
    <m/>
    <x v="0"/>
    <n v="47156"/>
    <x v="1"/>
    <n v="587"/>
  </r>
  <r>
    <n v="197"/>
    <x v="2"/>
    <x v="6"/>
    <x v="84"/>
    <m/>
    <x v="0"/>
    <n v="1429"/>
    <x v="1"/>
    <n v="137"/>
  </r>
  <r>
    <n v="198"/>
    <x v="0"/>
    <x v="7"/>
    <x v="85"/>
    <m/>
    <x v="0"/>
    <n v="30136"/>
    <x v="1"/>
    <n v="480"/>
  </r>
  <r>
    <n v="199"/>
    <x v="1"/>
    <x v="0"/>
    <x v="86"/>
    <m/>
    <x v="0"/>
    <n v="2686"/>
    <x v="0"/>
    <n v="282"/>
  </r>
  <r>
    <n v="200"/>
    <x v="2"/>
    <x v="1"/>
    <x v="87"/>
    <d v="2016-12-13T00:00:00"/>
    <x v="1"/>
    <n v="10298"/>
    <x v="0"/>
    <n v="35"/>
  </r>
  <r>
    <n v="201"/>
    <x v="2"/>
    <x v="2"/>
    <x v="35"/>
    <m/>
    <x v="2"/>
    <n v="26235"/>
    <x v="0"/>
    <n v="503"/>
  </r>
  <r>
    <n v="202"/>
    <x v="2"/>
    <x v="3"/>
    <x v="88"/>
    <m/>
    <x v="0"/>
    <n v="39618"/>
    <x v="0"/>
    <n v="322"/>
  </r>
  <r>
    <n v="203"/>
    <x v="2"/>
    <x v="4"/>
    <x v="89"/>
    <m/>
    <x v="0"/>
    <n v="2357"/>
    <x v="1"/>
    <n v="103"/>
  </r>
  <r>
    <n v="204"/>
    <x v="0"/>
    <x v="5"/>
    <x v="90"/>
    <m/>
    <x v="0"/>
    <n v="46118"/>
    <x v="1"/>
    <n v="479"/>
  </r>
  <r>
    <n v="205"/>
    <x v="1"/>
    <x v="6"/>
    <x v="91"/>
    <m/>
    <x v="0"/>
    <n v="11192"/>
    <x v="1"/>
    <n v="302"/>
  </r>
  <r>
    <n v="206"/>
    <x v="2"/>
    <x v="7"/>
    <x v="92"/>
    <m/>
    <x v="0"/>
    <n v="16508"/>
    <x v="1"/>
    <n v="572"/>
  </r>
  <r>
    <n v="207"/>
    <x v="0"/>
    <x v="0"/>
    <x v="93"/>
    <m/>
    <x v="0"/>
    <n v="2150"/>
    <x v="0"/>
    <n v="400"/>
  </r>
  <r>
    <n v="208"/>
    <x v="1"/>
    <x v="1"/>
    <x v="94"/>
    <m/>
    <x v="0"/>
    <n v="34984"/>
    <x v="0"/>
    <n v="396"/>
  </r>
  <r>
    <n v="209"/>
    <x v="2"/>
    <x v="2"/>
    <x v="95"/>
    <m/>
    <x v="0"/>
    <n v="56042"/>
    <x v="0"/>
    <n v="146"/>
  </r>
  <r>
    <n v="210"/>
    <x v="0"/>
    <x v="3"/>
    <x v="96"/>
    <m/>
    <x v="0"/>
    <n v="24525"/>
    <x v="0"/>
    <n v="592"/>
  </r>
  <r>
    <n v="211"/>
    <x v="1"/>
    <x v="4"/>
    <x v="97"/>
    <m/>
    <x v="0"/>
    <n v="10359"/>
    <x v="1"/>
    <n v="298"/>
  </r>
  <r>
    <n v="212"/>
    <x v="2"/>
    <x v="5"/>
    <x v="98"/>
    <m/>
    <x v="0"/>
    <n v="16534"/>
    <x v="1"/>
    <n v="277"/>
  </r>
  <r>
    <n v="213"/>
    <x v="0"/>
    <x v="6"/>
    <x v="99"/>
    <d v="2016-06-20T00:00:00"/>
    <x v="1"/>
    <n v="1954"/>
    <x v="1"/>
    <n v="63"/>
  </r>
  <r>
    <n v="214"/>
    <x v="1"/>
    <x v="7"/>
    <x v="100"/>
    <m/>
    <x v="2"/>
    <n v="7217"/>
    <x v="1"/>
    <n v="262"/>
  </r>
  <r>
    <n v="215"/>
    <x v="2"/>
    <x v="0"/>
    <x v="101"/>
    <m/>
    <x v="0"/>
    <n v="3627"/>
    <x v="0"/>
    <n v="297"/>
  </r>
  <r>
    <n v="216"/>
    <x v="0"/>
    <x v="1"/>
    <x v="102"/>
    <m/>
    <x v="0"/>
    <n v="7399"/>
    <x v="0"/>
    <n v="515"/>
  </r>
  <r>
    <n v="217"/>
    <x v="1"/>
    <x v="2"/>
    <x v="103"/>
    <m/>
    <x v="0"/>
    <n v="28309"/>
    <x v="0"/>
    <n v="557"/>
  </r>
  <r>
    <n v="218"/>
    <x v="2"/>
    <x v="3"/>
    <x v="104"/>
    <m/>
    <x v="0"/>
    <n v="22299"/>
    <x v="0"/>
    <n v="337"/>
  </r>
  <r>
    <n v="219"/>
    <x v="0"/>
    <x v="4"/>
    <x v="105"/>
    <m/>
    <x v="0"/>
    <n v="55114"/>
    <x v="1"/>
    <n v="230"/>
  </r>
  <r>
    <n v="220"/>
    <x v="1"/>
    <x v="5"/>
    <x v="106"/>
    <m/>
    <x v="0"/>
    <n v="17739"/>
    <x v="1"/>
    <n v="206"/>
  </r>
  <r>
    <n v="221"/>
    <x v="2"/>
    <x v="6"/>
    <x v="107"/>
    <m/>
    <x v="0"/>
    <n v="56903"/>
    <x v="1"/>
    <n v="197"/>
  </r>
  <r>
    <n v="222"/>
    <x v="0"/>
    <x v="7"/>
    <x v="108"/>
    <m/>
    <x v="0"/>
    <n v="15885"/>
    <x v="1"/>
    <n v="148"/>
  </r>
  <r>
    <n v="223"/>
    <x v="1"/>
    <x v="0"/>
    <x v="109"/>
    <m/>
    <x v="0"/>
    <n v="58471"/>
    <x v="0"/>
    <n v="307"/>
  </r>
  <r>
    <n v="224"/>
    <x v="2"/>
    <x v="1"/>
    <x v="110"/>
    <m/>
    <x v="0"/>
    <n v="17926"/>
    <x v="0"/>
    <n v="387"/>
  </r>
  <r>
    <n v="225"/>
    <x v="0"/>
    <x v="2"/>
    <x v="111"/>
    <m/>
    <x v="0"/>
    <n v="16917"/>
    <x v="0"/>
    <n v="310"/>
  </r>
  <r>
    <n v="226"/>
    <x v="1"/>
    <x v="3"/>
    <x v="112"/>
    <d v="2018-05-08T00:00:00"/>
    <x v="1"/>
    <n v="32770"/>
    <x v="0"/>
    <n v="93"/>
  </r>
  <r>
    <n v="227"/>
    <x v="2"/>
    <x v="4"/>
    <x v="113"/>
    <m/>
    <x v="2"/>
    <n v="4057"/>
    <x v="1"/>
    <n v="607"/>
  </r>
  <r>
    <n v="228"/>
    <x v="0"/>
    <x v="5"/>
    <x v="114"/>
    <m/>
    <x v="0"/>
    <n v="56242"/>
    <x v="1"/>
    <n v="532"/>
  </r>
  <r>
    <n v="229"/>
    <x v="1"/>
    <x v="6"/>
    <x v="115"/>
    <m/>
    <x v="0"/>
    <n v="8882"/>
    <x v="1"/>
    <n v="203"/>
  </r>
  <r>
    <n v="230"/>
    <x v="2"/>
    <x v="7"/>
    <x v="116"/>
    <m/>
    <x v="0"/>
    <n v="28722"/>
    <x v="1"/>
    <n v="212"/>
  </r>
  <r>
    <n v="231"/>
    <x v="0"/>
    <x v="0"/>
    <x v="19"/>
    <m/>
    <x v="0"/>
    <n v="43400"/>
    <x v="0"/>
    <n v="327"/>
  </r>
  <r>
    <n v="232"/>
    <x v="1"/>
    <x v="1"/>
    <x v="117"/>
    <m/>
    <x v="0"/>
    <n v="55634"/>
    <x v="0"/>
    <n v="389"/>
  </r>
  <r>
    <n v="233"/>
    <x v="2"/>
    <x v="2"/>
    <x v="118"/>
    <m/>
    <x v="0"/>
    <n v="11688"/>
    <x v="0"/>
    <n v="341"/>
  </r>
  <r>
    <n v="234"/>
    <x v="0"/>
    <x v="3"/>
    <x v="115"/>
    <m/>
    <x v="0"/>
    <n v="3954"/>
    <x v="0"/>
    <n v="203"/>
  </r>
  <r>
    <n v="235"/>
    <x v="1"/>
    <x v="4"/>
    <x v="119"/>
    <m/>
    <x v="0"/>
    <n v="25611"/>
    <x v="1"/>
    <n v="145"/>
  </r>
  <r>
    <n v="236"/>
    <x v="2"/>
    <x v="5"/>
    <x v="120"/>
    <m/>
    <x v="0"/>
    <n v="53514"/>
    <x v="1"/>
    <n v="528"/>
  </r>
  <r>
    <n v="237"/>
    <x v="0"/>
    <x v="6"/>
    <x v="121"/>
    <m/>
    <x v="0"/>
    <n v="37379"/>
    <x v="1"/>
    <n v="322"/>
  </r>
  <r>
    <n v="238"/>
    <x v="1"/>
    <x v="7"/>
    <x v="122"/>
    <m/>
    <x v="0"/>
    <n v="30996"/>
    <x v="1"/>
    <n v="347"/>
  </r>
  <r>
    <n v="239"/>
    <x v="2"/>
    <x v="0"/>
    <x v="123"/>
    <d v="2018-02-24T00:00:00"/>
    <x v="1"/>
    <n v="19054"/>
    <x v="0"/>
    <n v="50"/>
  </r>
  <r>
    <n v="240"/>
    <x v="0"/>
    <x v="1"/>
    <x v="66"/>
    <m/>
    <x v="2"/>
    <n v="8593"/>
    <x v="0"/>
    <n v="608"/>
  </r>
  <r>
    <n v="241"/>
    <x v="1"/>
    <x v="2"/>
    <x v="124"/>
    <m/>
    <x v="0"/>
    <n v="51591"/>
    <x v="0"/>
    <n v="352"/>
  </r>
  <r>
    <n v="242"/>
    <x v="2"/>
    <x v="3"/>
    <x v="125"/>
    <m/>
    <x v="0"/>
    <n v="12944"/>
    <x v="0"/>
    <n v="243"/>
  </r>
  <r>
    <n v="243"/>
    <x v="0"/>
    <x v="4"/>
    <x v="126"/>
    <m/>
    <x v="0"/>
    <n v="23511"/>
    <x v="1"/>
    <n v="563"/>
  </r>
  <r>
    <n v="244"/>
    <x v="1"/>
    <x v="5"/>
    <x v="118"/>
    <m/>
    <x v="0"/>
    <n v="4444"/>
    <x v="1"/>
    <n v="341"/>
  </r>
  <r>
    <n v="245"/>
    <x v="2"/>
    <x v="6"/>
    <x v="127"/>
    <m/>
    <x v="0"/>
    <n v="57402"/>
    <x v="1"/>
    <n v="477"/>
  </r>
  <r>
    <n v="246"/>
    <x v="0"/>
    <x v="7"/>
    <x v="128"/>
    <m/>
    <x v="0"/>
    <n v="41747"/>
    <x v="1"/>
    <n v="362"/>
  </r>
  <r>
    <n v="247"/>
    <x v="1"/>
    <x v="0"/>
    <x v="129"/>
    <m/>
    <x v="0"/>
    <n v="7237"/>
    <x v="0"/>
    <n v="257"/>
  </r>
  <r>
    <n v="248"/>
    <x v="2"/>
    <x v="1"/>
    <x v="130"/>
    <m/>
    <x v="0"/>
    <n v="53189"/>
    <x v="0"/>
    <n v="502"/>
  </r>
  <r>
    <n v="249"/>
    <x v="0"/>
    <x v="2"/>
    <x v="131"/>
    <m/>
    <x v="0"/>
    <n v="45526"/>
    <x v="0"/>
    <n v="337"/>
  </r>
  <r>
    <n v="250"/>
    <x v="1"/>
    <x v="3"/>
    <x v="132"/>
    <m/>
    <x v="0"/>
    <n v="38078"/>
    <x v="0"/>
    <n v="167"/>
  </r>
  <r>
    <n v="251"/>
    <x v="2"/>
    <x v="4"/>
    <x v="133"/>
    <m/>
    <x v="0"/>
    <n v="21768"/>
    <x v="1"/>
    <n v="469"/>
  </r>
  <r>
    <n v="252"/>
    <x v="0"/>
    <x v="5"/>
    <x v="134"/>
    <d v="2017-01-31T00:00:00"/>
    <x v="1"/>
    <n v="33489"/>
    <x v="1"/>
    <n v="55"/>
  </r>
  <r>
    <n v="253"/>
    <x v="1"/>
    <x v="6"/>
    <x v="135"/>
    <m/>
    <x v="2"/>
    <n v="59481"/>
    <x v="1"/>
    <n v="311"/>
  </r>
  <r>
    <n v="254"/>
    <x v="2"/>
    <x v="7"/>
    <x v="136"/>
    <m/>
    <x v="0"/>
    <n v="8524"/>
    <x v="1"/>
    <n v="329"/>
  </r>
  <r>
    <n v="255"/>
    <x v="0"/>
    <x v="0"/>
    <x v="137"/>
    <m/>
    <x v="0"/>
    <n v="53205"/>
    <x v="0"/>
    <n v="152"/>
  </r>
  <r>
    <n v="256"/>
    <x v="1"/>
    <x v="1"/>
    <x v="138"/>
    <m/>
    <x v="0"/>
    <n v="17627"/>
    <x v="0"/>
    <n v="143"/>
  </r>
  <r>
    <n v="257"/>
    <x v="2"/>
    <x v="2"/>
    <x v="139"/>
    <m/>
    <x v="0"/>
    <n v="919"/>
    <x v="0"/>
    <n v="545"/>
  </r>
  <r>
    <n v="258"/>
    <x v="0"/>
    <x v="3"/>
    <x v="140"/>
    <m/>
    <x v="0"/>
    <n v="14028"/>
    <x v="0"/>
    <n v="588"/>
  </r>
  <r>
    <n v="259"/>
    <x v="1"/>
    <x v="4"/>
    <x v="141"/>
    <m/>
    <x v="0"/>
    <n v="2773"/>
    <x v="1"/>
    <n v="578"/>
  </r>
  <r>
    <n v="260"/>
    <x v="2"/>
    <x v="5"/>
    <x v="40"/>
    <m/>
    <x v="0"/>
    <n v="52775"/>
    <x v="1"/>
    <n v="434"/>
  </r>
  <r>
    <n v="261"/>
    <x v="0"/>
    <x v="6"/>
    <x v="142"/>
    <m/>
    <x v="0"/>
    <n v="36592"/>
    <x v="1"/>
    <n v="237"/>
  </r>
  <r>
    <n v="262"/>
    <x v="1"/>
    <x v="7"/>
    <x v="143"/>
    <m/>
    <x v="0"/>
    <n v="16570"/>
    <x v="1"/>
    <n v="431"/>
  </r>
  <r>
    <n v="263"/>
    <x v="2"/>
    <x v="0"/>
    <x v="50"/>
    <m/>
    <x v="0"/>
    <n v="51730"/>
    <x v="0"/>
    <n v="360"/>
  </r>
  <r>
    <n v="264"/>
    <x v="0"/>
    <x v="1"/>
    <x v="45"/>
    <m/>
    <x v="0"/>
    <n v="25684"/>
    <x v="0"/>
    <n v="526"/>
  </r>
  <r>
    <n v="265"/>
    <x v="1"/>
    <x v="2"/>
    <x v="144"/>
    <d v="2016-08-30T00:00:00"/>
    <x v="1"/>
    <n v="10507"/>
    <x v="0"/>
    <n v="33"/>
  </r>
  <r>
    <n v="266"/>
    <x v="2"/>
    <x v="3"/>
    <x v="70"/>
    <m/>
    <x v="2"/>
    <n v="11479"/>
    <x v="0"/>
    <n v="457"/>
  </r>
  <r>
    <n v="267"/>
    <x v="0"/>
    <x v="4"/>
    <x v="145"/>
    <m/>
    <x v="0"/>
    <n v="1060"/>
    <x v="1"/>
    <n v="601"/>
  </r>
  <r>
    <n v="268"/>
    <x v="1"/>
    <x v="5"/>
    <x v="146"/>
    <m/>
    <x v="0"/>
    <n v="54671"/>
    <x v="1"/>
    <n v="158"/>
  </r>
  <r>
    <n v="269"/>
    <x v="2"/>
    <x v="6"/>
    <x v="147"/>
    <m/>
    <x v="0"/>
    <n v="50237"/>
    <x v="1"/>
    <n v="287"/>
  </r>
  <r>
    <n v="270"/>
    <x v="0"/>
    <x v="7"/>
    <x v="148"/>
    <m/>
    <x v="0"/>
    <n v="21911"/>
    <x v="1"/>
    <n v="210"/>
  </r>
  <r>
    <n v="271"/>
    <x v="1"/>
    <x v="0"/>
    <x v="149"/>
    <m/>
    <x v="0"/>
    <n v="26098"/>
    <x v="0"/>
    <n v="320"/>
  </r>
  <r>
    <n v="272"/>
    <x v="2"/>
    <x v="1"/>
    <x v="150"/>
    <m/>
    <x v="0"/>
    <n v="52951"/>
    <x v="0"/>
    <n v="550"/>
  </r>
  <r>
    <n v="273"/>
    <x v="0"/>
    <x v="2"/>
    <x v="151"/>
    <m/>
    <x v="0"/>
    <n v="35193"/>
    <x v="0"/>
    <n v="445"/>
  </r>
  <r>
    <n v="274"/>
    <x v="1"/>
    <x v="3"/>
    <x v="44"/>
    <m/>
    <x v="0"/>
    <n v="50710"/>
    <x v="0"/>
    <n v="380"/>
  </r>
  <r>
    <n v="275"/>
    <x v="2"/>
    <x v="4"/>
    <x v="152"/>
    <m/>
    <x v="0"/>
    <n v="5995"/>
    <x v="1"/>
    <n v="543"/>
  </r>
  <r>
    <n v="276"/>
    <x v="0"/>
    <x v="5"/>
    <x v="153"/>
    <m/>
    <x v="0"/>
    <n v="48903"/>
    <x v="1"/>
    <n v="537"/>
  </r>
  <r>
    <n v="277"/>
    <x v="1"/>
    <x v="6"/>
    <x v="70"/>
    <m/>
    <x v="0"/>
    <n v="31001"/>
    <x v="1"/>
    <n v="457"/>
  </r>
  <r>
    <n v="278"/>
    <x v="2"/>
    <x v="7"/>
    <x v="154"/>
    <d v="2016-04-24T00:00:00"/>
    <x v="1"/>
    <n v="3958"/>
    <x v="1"/>
    <n v="75"/>
  </r>
  <r>
    <n v="279"/>
    <x v="0"/>
    <x v="0"/>
    <x v="155"/>
    <m/>
    <x v="2"/>
    <n v="7247"/>
    <x v="0"/>
    <n v="514"/>
  </r>
  <r>
    <n v="280"/>
    <x v="1"/>
    <x v="1"/>
    <x v="131"/>
    <m/>
    <x v="0"/>
    <n v="44662"/>
    <x v="0"/>
    <n v="337"/>
  </r>
  <r>
    <n v="281"/>
    <x v="2"/>
    <x v="2"/>
    <x v="156"/>
    <m/>
    <x v="0"/>
    <n v="53084"/>
    <x v="0"/>
    <n v="300"/>
  </r>
  <r>
    <n v="282"/>
    <x v="0"/>
    <x v="3"/>
    <x v="157"/>
    <m/>
    <x v="0"/>
    <n v="32001"/>
    <x v="0"/>
    <n v="317"/>
  </r>
  <r>
    <n v="283"/>
    <x v="1"/>
    <x v="4"/>
    <x v="158"/>
    <m/>
    <x v="0"/>
    <n v="57725"/>
    <x v="1"/>
    <n v="457"/>
  </r>
  <r>
    <n v="284"/>
    <x v="2"/>
    <x v="5"/>
    <x v="159"/>
    <m/>
    <x v="0"/>
    <n v="49918"/>
    <x v="1"/>
    <n v="270"/>
  </r>
  <r>
    <n v="285"/>
    <x v="0"/>
    <x v="6"/>
    <x v="160"/>
    <m/>
    <x v="0"/>
    <n v="35796"/>
    <x v="1"/>
    <n v="161"/>
  </r>
  <r>
    <n v="286"/>
    <x v="1"/>
    <x v="7"/>
    <x v="161"/>
    <m/>
    <x v="0"/>
    <n v="48386"/>
    <x v="1"/>
    <n v="494"/>
  </r>
  <r>
    <n v="287"/>
    <x v="2"/>
    <x v="0"/>
    <x v="162"/>
    <m/>
    <x v="0"/>
    <n v="24927"/>
    <x v="0"/>
    <n v="224"/>
  </r>
  <r>
    <n v="288"/>
    <x v="0"/>
    <x v="1"/>
    <x v="163"/>
    <m/>
    <x v="0"/>
    <n v="48899"/>
    <x v="0"/>
    <n v="287"/>
  </r>
  <r>
    <n v="289"/>
    <x v="1"/>
    <x v="2"/>
    <x v="164"/>
    <m/>
    <x v="0"/>
    <n v="39021"/>
    <x v="0"/>
    <n v="190"/>
  </r>
  <r>
    <n v="290"/>
    <x v="2"/>
    <x v="3"/>
    <x v="165"/>
    <m/>
    <x v="0"/>
    <n v="46097"/>
    <x v="0"/>
    <n v="222"/>
  </r>
  <r>
    <n v="291"/>
    <x v="0"/>
    <x v="4"/>
    <x v="166"/>
    <d v="2017-12-08T00:00:00"/>
    <x v="1"/>
    <n v="47343"/>
    <x v="1"/>
    <n v="50"/>
  </r>
  <r>
    <n v="292"/>
    <x v="1"/>
    <x v="5"/>
    <x v="167"/>
    <m/>
    <x v="2"/>
    <n v="12407"/>
    <x v="1"/>
    <n v="502"/>
  </r>
  <r>
    <n v="293"/>
    <x v="2"/>
    <x v="6"/>
    <x v="168"/>
    <m/>
    <x v="0"/>
    <n v="23436"/>
    <x v="1"/>
    <n v="352"/>
  </r>
  <r>
    <n v="294"/>
    <x v="0"/>
    <x v="7"/>
    <x v="124"/>
    <m/>
    <x v="0"/>
    <n v="9329"/>
    <x v="1"/>
    <n v="352"/>
  </r>
  <r>
    <n v="295"/>
    <x v="1"/>
    <x v="0"/>
    <x v="169"/>
    <m/>
    <x v="0"/>
    <n v="50344"/>
    <x v="0"/>
    <n v="537"/>
  </r>
  <r>
    <n v="296"/>
    <x v="2"/>
    <x v="1"/>
    <x v="170"/>
    <m/>
    <x v="0"/>
    <n v="18594"/>
    <x v="0"/>
    <n v="562"/>
  </r>
  <r>
    <n v="297"/>
    <x v="0"/>
    <x v="2"/>
    <x v="171"/>
    <m/>
    <x v="0"/>
    <n v="54367"/>
    <x v="0"/>
    <n v="227"/>
  </r>
  <r>
    <n v="298"/>
    <x v="1"/>
    <x v="3"/>
    <x v="172"/>
    <m/>
    <x v="0"/>
    <n v="14054"/>
    <x v="0"/>
    <n v="553"/>
  </r>
  <r>
    <n v="299"/>
    <x v="2"/>
    <x v="4"/>
    <x v="173"/>
    <m/>
    <x v="0"/>
    <n v="25238"/>
    <x v="1"/>
    <n v="282"/>
  </r>
  <r>
    <n v="300"/>
    <x v="0"/>
    <x v="5"/>
    <x v="174"/>
    <m/>
    <x v="0"/>
    <n v="39343"/>
    <x v="1"/>
    <n v="182"/>
  </r>
  <r>
    <n v="301"/>
    <x v="1"/>
    <x v="6"/>
    <x v="175"/>
    <m/>
    <x v="0"/>
    <n v="33139"/>
    <x v="1"/>
    <n v="523"/>
  </r>
  <r>
    <n v="302"/>
    <x v="2"/>
    <x v="7"/>
    <x v="176"/>
    <m/>
    <x v="0"/>
    <n v="25802"/>
    <x v="1"/>
    <n v="500"/>
  </r>
  <r>
    <n v="303"/>
    <x v="0"/>
    <x v="0"/>
    <x v="93"/>
    <m/>
    <x v="0"/>
    <n v="4360"/>
    <x v="0"/>
    <n v="400"/>
  </r>
  <r>
    <n v="304"/>
    <x v="1"/>
    <x v="1"/>
    <x v="177"/>
    <d v="2017-10-05T00:00:00"/>
    <x v="1"/>
    <n v="10342"/>
    <x v="0"/>
    <n v="41"/>
  </r>
  <r>
    <n v="305"/>
    <x v="2"/>
    <x v="2"/>
    <x v="178"/>
    <m/>
    <x v="2"/>
    <n v="46897"/>
    <x v="0"/>
    <n v="222"/>
  </r>
  <r>
    <n v="306"/>
    <x v="0"/>
    <x v="3"/>
    <x v="132"/>
    <m/>
    <x v="0"/>
    <n v="8674"/>
    <x v="0"/>
    <n v="167"/>
  </r>
  <r>
    <n v="307"/>
    <x v="1"/>
    <x v="4"/>
    <x v="146"/>
    <m/>
    <x v="0"/>
    <n v="41127"/>
    <x v="1"/>
    <n v="158"/>
  </r>
  <r>
    <n v="308"/>
    <x v="2"/>
    <x v="5"/>
    <x v="179"/>
    <m/>
    <x v="0"/>
    <n v="57529"/>
    <x v="1"/>
    <n v="402"/>
  </r>
  <r>
    <n v="309"/>
    <x v="0"/>
    <x v="6"/>
    <x v="180"/>
    <m/>
    <x v="0"/>
    <n v="56523"/>
    <x v="1"/>
    <n v="258"/>
  </r>
  <r>
    <n v="310"/>
    <x v="1"/>
    <x v="7"/>
    <x v="181"/>
    <m/>
    <x v="0"/>
    <n v="10019"/>
    <x v="1"/>
    <n v="196"/>
  </r>
  <r>
    <n v="311"/>
    <x v="2"/>
    <x v="0"/>
    <x v="182"/>
    <m/>
    <x v="0"/>
    <n v="51345"/>
    <x v="0"/>
    <n v="241"/>
  </r>
  <r>
    <n v="312"/>
    <x v="0"/>
    <x v="1"/>
    <x v="183"/>
    <m/>
    <x v="0"/>
    <n v="14231"/>
    <x v="0"/>
    <n v="109"/>
  </r>
  <r>
    <n v="313"/>
    <x v="1"/>
    <x v="2"/>
    <x v="184"/>
    <m/>
    <x v="0"/>
    <n v="21927"/>
    <x v="0"/>
    <n v="412"/>
  </r>
  <r>
    <n v="314"/>
    <x v="2"/>
    <x v="3"/>
    <x v="185"/>
    <m/>
    <x v="0"/>
    <n v="37044"/>
    <x v="0"/>
    <n v="325"/>
  </r>
  <r>
    <n v="315"/>
    <x v="0"/>
    <x v="4"/>
    <x v="186"/>
    <m/>
    <x v="0"/>
    <n v="25469"/>
    <x v="1"/>
    <n v="257"/>
  </r>
  <r>
    <n v="316"/>
    <x v="1"/>
    <x v="5"/>
    <x v="187"/>
    <m/>
    <x v="0"/>
    <n v="39740"/>
    <x v="1"/>
    <n v="365"/>
  </r>
  <r>
    <n v="317"/>
    <x v="2"/>
    <x v="6"/>
    <x v="41"/>
    <d v="2017-01-09T00:00:00"/>
    <x v="1"/>
    <n v="20185"/>
    <x v="1"/>
    <n v="37"/>
  </r>
  <r>
    <n v="318"/>
    <x v="0"/>
    <x v="7"/>
    <x v="77"/>
    <m/>
    <x v="2"/>
    <n v="25289"/>
    <x v="1"/>
    <n v="339"/>
  </r>
  <r>
    <n v="319"/>
    <x v="1"/>
    <x v="0"/>
    <x v="188"/>
    <m/>
    <x v="0"/>
    <n v="31035"/>
    <x v="0"/>
    <n v="276"/>
  </r>
  <r>
    <n v="320"/>
    <x v="2"/>
    <x v="1"/>
    <x v="136"/>
    <m/>
    <x v="0"/>
    <n v="21325"/>
    <x v="0"/>
    <n v="329"/>
  </r>
  <r>
    <n v="321"/>
    <x v="0"/>
    <x v="2"/>
    <x v="65"/>
    <m/>
    <x v="0"/>
    <n v="30292"/>
    <x v="0"/>
    <n v="507"/>
  </r>
  <r>
    <n v="322"/>
    <x v="1"/>
    <x v="3"/>
    <x v="189"/>
    <m/>
    <x v="0"/>
    <n v="56608"/>
    <x v="0"/>
    <n v="517"/>
  </r>
  <r>
    <n v="323"/>
    <x v="2"/>
    <x v="4"/>
    <x v="190"/>
    <m/>
    <x v="0"/>
    <n v="38435"/>
    <x v="1"/>
    <n v="427"/>
  </r>
  <r>
    <n v="324"/>
    <x v="0"/>
    <x v="5"/>
    <x v="191"/>
    <m/>
    <x v="0"/>
    <n v="32969"/>
    <x v="1"/>
    <n v="592"/>
  </r>
  <r>
    <n v="325"/>
    <x v="1"/>
    <x v="6"/>
    <x v="192"/>
    <m/>
    <x v="0"/>
    <n v="57942"/>
    <x v="1"/>
    <n v="167"/>
  </r>
  <r>
    <n v="326"/>
    <x v="2"/>
    <x v="7"/>
    <x v="193"/>
    <m/>
    <x v="0"/>
    <n v="4425"/>
    <x v="1"/>
    <n v="562"/>
  </r>
  <r>
    <n v="327"/>
    <x v="0"/>
    <x v="0"/>
    <x v="180"/>
    <m/>
    <x v="0"/>
    <n v="19929"/>
    <x v="0"/>
    <n v="258"/>
  </r>
  <r>
    <n v="328"/>
    <x v="1"/>
    <x v="1"/>
    <x v="194"/>
    <m/>
    <x v="0"/>
    <n v="4624"/>
    <x v="0"/>
    <n v="499"/>
  </r>
  <r>
    <n v="329"/>
    <x v="2"/>
    <x v="2"/>
    <x v="195"/>
    <m/>
    <x v="0"/>
    <n v="48408"/>
    <x v="0"/>
    <n v="219"/>
  </r>
  <r>
    <n v="330"/>
    <x v="0"/>
    <x v="3"/>
    <x v="196"/>
    <d v="2017-05-20T00:00:00"/>
    <x v="1"/>
    <n v="24895"/>
    <x v="0"/>
    <n v="52"/>
  </r>
  <r>
    <n v="331"/>
    <x v="1"/>
    <x v="4"/>
    <x v="30"/>
    <m/>
    <x v="2"/>
    <n v="57623"/>
    <x v="1"/>
    <n v="497"/>
  </r>
  <r>
    <n v="332"/>
    <x v="2"/>
    <x v="5"/>
    <x v="197"/>
    <m/>
    <x v="0"/>
    <n v="30091"/>
    <x v="1"/>
    <n v="207"/>
  </r>
  <r>
    <n v="333"/>
    <x v="0"/>
    <x v="6"/>
    <x v="198"/>
    <m/>
    <x v="0"/>
    <n v="7284"/>
    <x v="1"/>
    <n v="549"/>
  </r>
  <r>
    <n v="334"/>
    <x v="1"/>
    <x v="7"/>
    <x v="199"/>
    <m/>
    <x v="0"/>
    <n v="38585"/>
    <x v="1"/>
    <n v="244"/>
  </r>
  <r>
    <n v="335"/>
    <x v="2"/>
    <x v="0"/>
    <x v="200"/>
    <m/>
    <x v="0"/>
    <n v="12058"/>
    <x v="0"/>
    <n v="532"/>
  </r>
  <r>
    <n v="336"/>
    <x v="0"/>
    <x v="1"/>
    <x v="201"/>
    <m/>
    <x v="0"/>
    <n v="12450"/>
    <x v="0"/>
    <n v="166"/>
  </r>
  <r>
    <n v="337"/>
    <x v="1"/>
    <x v="2"/>
    <x v="202"/>
    <m/>
    <x v="0"/>
    <n v="34653"/>
    <x v="0"/>
    <n v="413"/>
  </r>
  <r>
    <n v="338"/>
    <x v="2"/>
    <x v="3"/>
    <x v="203"/>
    <m/>
    <x v="0"/>
    <n v="21182"/>
    <x v="0"/>
    <n v="442"/>
  </r>
  <r>
    <n v="339"/>
    <x v="0"/>
    <x v="4"/>
    <x v="204"/>
    <m/>
    <x v="0"/>
    <n v="17014"/>
    <x v="1"/>
    <n v="357"/>
  </r>
  <r>
    <n v="340"/>
    <x v="1"/>
    <x v="5"/>
    <x v="205"/>
    <m/>
    <x v="0"/>
    <n v="23404"/>
    <x v="1"/>
    <n v="556"/>
  </r>
  <r>
    <n v="341"/>
    <x v="2"/>
    <x v="6"/>
    <x v="18"/>
    <m/>
    <x v="0"/>
    <n v="13451"/>
    <x v="1"/>
    <n v="111"/>
  </r>
  <r>
    <n v="342"/>
    <x v="0"/>
    <x v="7"/>
    <x v="206"/>
    <m/>
    <x v="0"/>
    <n v="43995"/>
    <x v="1"/>
    <n v="455"/>
  </r>
  <r>
    <n v="343"/>
    <x v="1"/>
    <x v="0"/>
    <x v="207"/>
    <d v="2017-11-07T00:00:00"/>
    <x v="1"/>
    <n v="49533"/>
    <x v="0"/>
    <n v="34"/>
  </r>
  <r>
    <n v="344"/>
    <x v="2"/>
    <x v="1"/>
    <x v="208"/>
    <m/>
    <x v="2"/>
    <n v="14813"/>
    <x v="0"/>
    <n v="533"/>
  </r>
  <r>
    <n v="345"/>
    <x v="0"/>
    <x v="2"/>
    <x v="209"/>
    <m/>
    <x v="0"/>
    <n v="35022"/>
    <x v="0"/>
    <n v="274"/>
  </r>
  <r>
    <n v="346"/>
    <x v="1"/>
    <x v="3"/>
    <x v="210"/>
    <m/>
    <x v="0"/>
    <n v="636"/>
    <x v="0"/>
    <n v="448"/>
  </r>
  <r>
    <n v="347"/>
    <x v="2"/>
    <x v="4"/>
    <x v="5"/>
    <m/>
    <x v="0"/>
    <n v="25413"/>
    <x v="1"/>
    <n v="376"/>
  </r>
  <r>
    <n v="348"/>
    <x v="0"/>
    <x v="5"/>
    <x v="211"/>
    <m/>
    <x v="0"/>
    <n v="36049"/>
    <x v="1"/>
    <n v="512"/>
  </r>
  <r>
    <n v="349"/>
    <x v="1"/>
    <x v="6"/>
    <x v="212"/>
    <m/>
    <x v="0"/>
    <n v="23344"/>
    <x v="1"/>
    <n v="152"/>
  </r>
  <r>
    <n v="350"/>
    <x v="2"/>
    <x v="7"/>
    <x v="6"/>
    <m/>
    <x v="0"/>
    <n v="28781"/>
    <x v="1"/>
    <n v="403"/>
  </r>
  <r>
    <n v="351"/>
    <x v="0"/>
    <x v="0"/>
    <x v="121"/>
    <m/>
    <x v="0"/>
    <n v="29959"/>
    <x v="0"/>
    <n v="322"/>
  </r>
  <r>
    <n v="352"/>
    <x v="1"/>
    <x v="1"/>
    <x v="213"/>
    <m/>
    <x v="0"/>
    <n v="34739"/>
    <x v="0"/>
    <n v="437"/>
  </r>
  <r>
    <n v="353"/>
    <x v="2"/>
    <x v="2"/>
    <x v="214"/>
    <m/>
    <x v="0"/>
    <n v="55839"/>
    <x v="0"/>
    <n v="510"/>
  </r>
  <r>
    <n v="354"/>
    <x v="0"/>
    <x v="3"/>
    <x v="215"/>
    <m/>
    <x v="0"/>
    <n v="54635"/>
    <x v="0"/>
    <n v="147"/>
  </r>
  <r>
    <n v="355"/>
    <x v="1"/>
    <x v="4"/>
    <x v="216"/>
    <m/>
    <x v="0"/>
    <n v="40086"/>
    <x v="1"/>
    <n v="372"/>
  </r>
  <r>
    <n v="356"/>
    <x v="2"/>
    <x v="5"/>
    <x v="114"/>
    <d v="2016-06-22T00:00:00"/>
    <x v="1"/>
    <n v="5591"/>
    <x v="1"/>
    <n v="38"/>
  </r>
  <r>
    <n v="357"/>
    <x v="0"/>
    <x v="6"/>
    <x v="217"/>
    <m/>
    <x v="2"/>
    <n v="38975"/>
    <x v="1"/>
    <n v="249"/>
  </r>
  <r>
    <n v="358"/>
    <x v="1"/>
    <x v="7"/>
    <x v="218"/>
    <m/>
    <x v="0"/>
    <n v="44708"/>
    <x v="1"/>
    <n v="607"/>
  </r>
  <r>
    <n v="359"/>
    <x v="2"/>
    <x v="0"/>
    <x v="219"/>
    <m/>
    <x v="0"/>
    <n v="40316"/>
    <x v="0"/>
    <n v="182"/>
  </r>
  <r>
    <n v="360"/>
    <x v="0"/>
    <x v="1"/>
    <x v="220"/>
    <m/>
    <x v="0"/>
    <n v="49168"/>
    <x v="0"/>
    <n v="236"/>
  </r>
  <r>
    <n v="361"/>
    <x v="1"/>
    <x v="2"/>
    <x v="221"/>
    <m/>
    <x v="0"/>
    <n v="30570"/>
    <x v="0"/>
    <n v="387"/>
  </r>
  <r>
    <n v="362"/>
    <x v="2"/>
    <x v="3"/>
    <x v="11"/>
    <m/>
    <x v="0"/>
    <n v="17508"/>
    <x v="0"/>
    <n v="504"/>
  </r>
  <r>
    <n v="363"/>
    <x v="0"/>
    <x v="4"/>
    <x v="222"/>
    <m/>
    <x v="0"/>
    <n v="1251"/>
    <x v="1"/>
    <n v="453"/>
  </r>
  <r>
    <n v="364"/>
    <x v="1"/>
    <x v="5"/>
    <x v="223"/>
    <m/>
    <x v="0"/>
    <n v="21843"/>
    <x v="1"/>
    <n v="597"/>
  </r>
  <r>
    <n v="365"/>
    <x v="2"/>
    <x v="6"/>
    <x v="127"/>
    <m/>
    <x v="0"/>
    <n v="23366"/>
    <x v="1"/>
    <n v="477"/>
  </r>
  <r>
    <n v="366"/>
    <x v="0"/>
    <x v="7"/>
    <x v="183"/>
    <m/>
    <x v="0"/>
    <n v="48062"/>
    <x v="1"/>
    <n v="109"/>
  </r>
  <r>
    <n v="367"/>
    <x v="1"/>
    <x v="0"/>
    <x v="224"/>
    <m/>
    <x v="0"/>
    <n v="34100"/>
    <x v="0"/>
    <n v="252"/>
  </r>
  <r>
    <n v="368"/>
    <x v="2"/>
    <x v="1"/>
    <x v="225"/>
    <m/>
    <x v="0"/>
    <n v="43824"/>
    <x v="0"/>
    <n v="567"/>
  </r>
  <r>
    <n v="369"/>
    <x v="0"/>
    <x v="2"/>
    <x v="226"/>
    <d v="2016-02-10T00:00:00"/>
    <x v="1"/>
    <n v="51971"/>
    <x v="0"/>
    <n v="24"/>
  </r>
  <r>
    <n v="370"/>
    <x v="1"/>
    <x v="3"/>
    <x v="191"/>
    <m/>
    <x v="2"/>
    <n v="50689"/>
    <x v="0"/>
    <n v="592"/>
  </r>
  <r>
    <n v="371"/>
    <x v="2"/>
    <x v="4"/>
    <x v="110"/>
    <m/>
    <x v="0"/>
    <n v="57946"/>
    <x v="1"/>
    <n v="387"/>
  </r>
  <r>
    <n v="372"/>
    <x v="0"/>
    <x v="5"/>
    <x v="0"/>
    <m/>
    <x v="0"/>
    <n v="55953"/>
    <x v="1"/>
    <n v="477"/>
  </r>
  <r>
    <n v="373"/>
    <x v="1"/>
    <x v="6"/>
    <x v="227"/>
    <m/>
    <x v="0"/>
    <n v="45549"/>
    <x v="1"/>
    <n v="247"/>
  </r>
  <r>
    <n v="374"/>
    <x v="2"/>
    <x v="7"/>
    <x v="228"/>
    <m/>
    <x v="0"/>
    <n v="32503"/>
    <x v="1"/>
    <n v="617"/>
  </r>
  <r>
    <n v="375"/>
    <x v="0"/>
    <x v="0"/>
    <x v="229"/>
    <m/>
    <x v="0"/>
    <n v="9240"/>
    <x v="0"/>
    <n v="529"/>
  </r>
  <r>
    <n v="376"/>
    <x v="1"/>
    <x v="1"/>
    <x v="81"/>
    <m/>
    <x v="0"/>
    <n v="15964"/>
    <x v="0"/>
    <n v="262"/>
  </r>
  <r>
    <n v="377"/>
    <x v="2"/>
    <x v="2"/>
    <x v="230"/>
    <m/>
    <x v="0"/>
    <n v="18064"/>
    <x v="0"/>
    <n v="312"/>
  </r>
  <r>
    <n v="378"/>
    <x v="0"/>
    <x v="3"/>
    <x v="231"/>
    <m/>
    <x v="0"/>
    <n v="18862"/>
    <x v="0"/>
    <n v="397"/>
  </r>
  <r>
    <n v="379"/>
    <x v="1"/>
    <x v="4"/>
    <x v="232"/>
    <m/>
    <x v="0"/>
    <n v="53358"/>
    <x v="1"/>
    <n v="447"/>
  </r>
  <r>
    <n v="380"/>
    <x v="2"/>
    <x v="5"/>
    <x v="91"/>
    <m/>
    <x v="0"/>
    <n v="25935"/>
    <x v="1"/>
    <n v="302"/>
  </r>
  <r>
    <n v="381"/>
    <x v="0"/>
    <x v="6"/>
    <x v="233"/>
    <m/>
    <x v="0"/>
    <n v="57596"/>
    <x v="1"/>
    <n v="327"/>
  </r>
  <r>
    <n v="382"/>
    <x v="1"/>
    <x v="7"/>
    <x v="234"/>
    <d v="2018-03-19T00:00:00"/>
    <x v="1"/>
    <n v="13247"/>
    <x v="1"/>
    <n v="56"/>
  </r>
  <r>
    <n v="383"/>
    <x v="2"/>
    <x v="0"/>
    <x v="16"/>
    <m/>
    <x v="2"/>
    <n v="10273"/>
    <x v="0"/>
    <n v="330"/>
  </r>
  <r>
    <n v="384"/>
    <x v="0"/>
    <x v="1"/>
    <x v="235"/>
    <m/>
    <x v="0"/>
    <n v="37749"/>
    <x v="0"/>
    <n v="255"/>
  </r>
  <r>
    <n v="385"/>
    <x v="1"/>
    <x v="2"/>
    <x v="236"/>
    <m/>
    <x v="0"/>
    <n v="40147"/>
    <x v="0"/>
    <n v="364"/>
  </r>
  <r>
    <n v="386"/>
    <x v="2"/>
    <x v="3"/>
    <x v="237"/>
    <m/>
    <x v="0"/>
    <n v="38393"/>
    <x v="0"/>
    <n v="296"/>
  </r>
  <r>
    <n v="387"/>
    <x v="0"/>
    <x v="4"/>
    <x v="238"/>
    <m/>
    <x v="0"/>
    <n v="41899"/>
    <x v="1"/>
    <n v="429"/>
  </r>
  <r>
    <n v="388"/>
    <x v="1"/>
    <x v="5"/>
    <x v="239"/>
    <m/>
    <x v="0"/>
    <n v="15830"/>
    <x v="1"/>
    <n v="441"/>
  </r>
  <r>
    <n v="389"/>
    <x v="2"/>
    <x v="6"/>
    <x v="16"/>
    <m/>
    <x v="0"/>
    <n v="57084"/>
    <x v="1"/>
    <n v="330"/>
  </r>
  <r>
    <n v="390"/>
    <x v="0"/>
    <x v="7"/>
    <x v="240"/>
    <m/>
    <x v="0"/>
    <n v="29204"/>
    <x v="1"/>
    <n v="117"/>
  </r>
  <r>
    <n v="391"/>
    <x v="1"/>
    <x v="0"/>
    <x v="11"/>
    <m/>
    <x v="0"/>
    <n v="14410"/>
    <x v="0"/>
    <n v="504"/>
  </r>
  <r>
    <n v="392"/>
    <x v="2"/>
    <x v="1"/>
    <x v="241"/>
    <m/>
    <x v="0"/>
    <n v="6628"/>
    <x v="0"/>
    <n v="177"/>
  </r>
  <r>
    <n v="393"/>
    <x v="0"/>
    <x v="2"/>
    <x v="6"/>
    <m/>
    <x v="0"/>
    <n v="17351"/>
    <x v="0"/>
    <n v="403"/>
  </r>
  <r>
    <n v="394"/>
    <x v="1"/>
    <x v="3"/>
    <x v="242"/>
    <m/>
    <x v="0"/>
    <n v="30358"/>
    <x v="0"/>
    <n v="292"/>
  </r>
  <r>
    <n v="395"/>
    <x v="2"/>
    <x v="4"/>
    <x v="6"/>
    <d v="2016-11-27T00:00:00"/>
    <x v="1"/>
    <n v="22270"/>
    <x v="1"/>
    <n v="21"/>
  </r>
  <r>
    <n v="396"/>
    <x v="0"/>
    <x v="5"/>
    <x v="243"/>
    <m/>
    <x v="2"/>
    <n v="53359"/>
    <x v="1"/>
    <n v="486"/>
  </r>
  <r>
    <n v="397"/>
    <x v="1"/>
    <x v="6"/>
    <x v="244"/>
    <m/>
    <x v="0"/>
    <n v="29594"/>
    <x v="1"/>
    <n v="132"/>
  </r>
  <r>
    <n v="398"/>
    <x v="2"/>
    <x v="7"/>
    <x v="238"/>
    <m/>
    <x v="0"/>
    <n v="23890"/>
    <x v="1"/>
    <n v="429"/>
  </r>
  <r>
    <n v="399"/>
    <x v="0"/>
    <x v="0"/>
    <x v="29"/>
    <m/>
    <x v="0"/>
    <n v="43733"/>
    <x v="0"/>
    <n v="272"/>
  </r>
  <r>
    <n v="400"/>
    <x v="1"/>
    <x v="1"/>
    <x v="245"/>
    <m/>
    <x v="0"/>
    <n v="35139"/>
    <x v="0"/>
    <n v="366"/>
  </r>
  <r>
    <n v="401"/>
    <x v="2"/>
    <x v="2"/>
    <x v="246"/>
    <m/>
    <x v="0"/>
    <n v="56644"/>
    <x v="0"/>
    <n v="131"/>
  </r>
  <r>
    <n v="402"/>
    <x v="0"/>
    <x v="3"/>
    <x v="8"/>
    <m/>
    <x v="0"/>
    <n v="53862"/>
    <x v="0"/>
    <n v="358"/>
  </r>
  <r>
    <n v="403"/>
    <x v="1"/>
    <x v="4"/>
    <x v="210"/>
    <m/>
    <x v="0"/>
    <n v="48796"/>
    <x v="1"/>
    <n v="448"/>
  </r>
  <r>
    <n v="404"/>
    <x v="2"/>
    <x v="5"/>
    <x v="247"/>
    <m/>
    <x v="0"/>
    <n v="35931"/>
    <x v="1"/>
    <n v="446"/>
  </r>
  <r>
    <n v="405"/>
    <x v="0"/>
    <x v="6"/>
    <x v="248"/>
    <m/>
    <x v="0"/>
    <n v="3651"/>
    <x v="1"/>
    <n v="417"/>
  </r>
  <r>
    <n v="406"/>
    <x v="1"/>
    <x v="7"/>
    <x v="249"/>
    <m/>
    <x v="0"/>
    <n v="7802"/>
    <x v="1"/>
    <n v="572"/>
  </r>
  <r>
    <n v="407"/>
    <x v="2"/>
    <x v="0"/>
    <x v="250"/>
    <m/>
    <x v="0"/>
    <n v="21972"/>
    <x v="0"/>
    <n v="542"/>
  </r>
  <r>
    <n v="408"/>
    <x v="0"/>
    <x v="1"/>
    <x v="251"/>
    <d v="2017-02-19T00:00:00"/>
    <x v="1"/>
    <n v="32512"/>
    <x v="0"/>
    <n v="37"/>
  </r>
  <r>
    <n v="409"/>
    <x v="1"/>
    <x v="2"/>
    <x v="252"/>
    <m/>
    <x v="2"/>
    <n v="22132"/>
    <x v="0"/>
    <n v="560"/>
  </r>
  <r>
    <n v="410"/>
    <x v="2"/>
    <x v="3"/>
    <x v="253"/>
    <m/>
    <x v="0"/>
    <n v="10462"/>
    <x v="0"/>
    <n v="197"/>
  </r>
  <r>
    <n v="411"/>
    <x v="0"/>
    <x v="4"/>
    <x v="254"/>
    <m/>
    <x v="0"/>
    <n v="31962"/>
    <x v="1"/>
    <n v="617"/>
  </r>
  <r>
    <n v="412"/>
    <x v="1"/>
    <x v="5"/>
    <x v="255"/>
    <m/>
    <x v="0"/>
    <n v="31156"/>
    <x v="1"/>
    <n v="372"/>
  </r>
  <r>
    <n v="413"/>
    <x v="2"/>
    <x v="6"/>
    <x v="256"/>
    <m/>
    <x v="0"/>
    <n v="7405"/>
    <x v="1"/>
    <n v="599"/>
  </r>
  <r>
    <n v="414"/>
    <x v="0"/>
    <x v="7"/>
    <x v="37"/>
    <m/>
    <x v="0"/>
    <n v="39338"/>
    <x v="1"/>
    <n v="163"/>
  </r>
  <r>
    <n v="415"/>
    <x v="1"/>
    <x v="0"/>
    <x v="257"/>
    <m/>
    <x v="0"/>
    <n v="57656"/>
    <x v="0"/>
    <n v="242"/>
  </r>
  <r>
    <n v="416"/>
    <x v="2"/>
    <x v="1"/>
    <x v="201"/>
    <m/>
    <x v="0"/>
    <n v="32436"/>
    <x v="0"/>
    <n v="166"/>
  </r>
  <r>
    <n v="417"/>
    <x v="0"/>
    <x v="2"/>
    <x v="258"/>
    <m/>
    <x v="0"/>
    <n v="19720"/>
    <x v="0"/>
    <n v="115"/>
  </r>
  <r>
    <n v="418"/>
    <x v="1"/>
    <x v="3"/>
    <x v="259"/>
    <m/>
    <x v="0"/>
    <n v="11888"/>
    <x v="0"/>
    <n v="272"/>
  </r>
  <r>
    <n v="419"/>
    <x v="2"/>
    <x v="4"/>
    <x v="16"/>
    <m/>
    <x v="0"/>
    <n v="29785"/>
    <x v="1"/>
    <n v="330"/>
  </r>
  <r>
    <n v="420"/>
    <x v="0"/>
    <x v="5"/>
    <x v="223"/>
    <m/>
    <x v="0"/>
    <n v="9801"/>
    <x v="1"/>
    <n v="597"/>
  </r>
  <r>
    <n v="421"/>
    <x v="1"/>
    <x v="6"/>
    <x v="260"/>
    <d v="2017-12-11T00:00:00"/>
    <x v="1"/>
    <n v="33211"/>
    <x v="1"/>
    <n v="40"/>
  </r>
  <r>
    <n v="422"/>
    <x v="2"/>
    <x v="7"/>
    <x v="261"/>
    <m/>
    <x v="2"/>
    <n v="44939"/>
    <x v="1"/>
    <n v="361"/>
  </r>
  <r>
    <n v="423"/>
    <x v="0"/>
    <x v="0"/>
    <x v="262"/>
    <m/>
    <x v="0"/>
    <n v="4194"/>
    <x v="0"/>
    <n v="122"/>
  </r>
  <r>
    <n v="424"/>
    <x v="1"/>
    <x v="1"/>
    <x v="263"/>
    <m/>
    <x v="0"/>
    <n v="11407"/>
    <x v="0"/>
    <n v="565"/>
  </r>
  <r>
    <n v="425"/>
    <x v="2"/>
    <x v="2"/>
    <x v="264"/>
    <m/>
    <x v="0"/>
    <n v="24806"/>
    <x v="0"/>
    <n v="394"/>
  </r>
  <r>
    <n v="426"/>
    <x v="0"/>
    <x v="3"/>
    <x v="265"/>
    <m/>
    <x v="0"/>
    <n v="31845"/>
    <x v="0"/>
    <n v="102"/>
  </r>
  <r>
    <n v="427"/>
    <x v="1"/>
    <x v="4"/>
    <x v="138"/>
    <m/>
    <x v="0"/>
    <n v="50249"/>
    <x v="1"/>
    <n v="143"/>
  </r>
  <r>
    <n v="428"/>
    <x v="2"/>
    <x v="5"/>
    <x v="266"/>
    <m/>
    <x v="0"/>
    <n v="39894"/>
    <x v="1"/>
    <n v="548"/>
  </r>
  <r>
    <n v="429"/>
    <x v="0"/>
    <x v="6"/>
    <x v="49"/>
    <m/>
    <x v="0"/>
    <n v="31370"/>
    <x v="1"/>
    <n v="338"/>
  </r>
  <r>
    <n v="430"/>
    <x v="1"/>
    <x v="7"/>
    <x v="169"/>
    <m/>
    <x v="0"/>
    <n v="27689"/>
    <x v="1"/>
    <n v="537"/>
  </r>
  <r>
    <n v="431"/>
    <x v="2"/>
    <x v="0"/>
    <x v="267"/>
    <m/>
    <x v="0"/>
    <n v="47512"/>
    <x v="0"/>
    <n v="228"/>
  </r>
  <r>
    <n v="432"/>
    <x v="0"/>
    <x v="1"/>
    <x v="186"/>
    <m/>
    <x v="0"/>
    <n v="31331"/>
    <x v="0"/>
    <n v="257"/>
  </r>
  <r>
    <n v="433"/>
    <x v="1"/>
    <x v="2"/>
    <x v="268"/>
    <m/>
    <x v="0"/>
    <n v="40988"/>
    <x v="0"/>
    <n v="449"/>
  </r>
  <r>
    <n v="434"/>
    <x v="2"/>
    <x v="3"/>
    <x v="265"/>
    <d v="2018-04-21T00:00:00"/>
    <x v="1"/>
    <n v="22975"/>
    <x v="0"/>
    <n v="85"/>
  </r>
  <r>
    <n v="435"/>
    <x v="0"/>
    <x v="4"/>
    <x v="62"/>
    <m/>
    <x v="2"/>
    <n v="31356"/>
    <x v="1"/>
    <n v="162"/>
  </r>
  <r>
    <n v="436"/>
    <x v="1"/>
    <x v="5"/>
    <x v="161"/>
    <m/>
    <x v="0"/>
    <n v="54981"/>
    <x v="1"/>
    <n v="494"/>
  </r>
  <r>
    <n v="437"/>
    <x v="2"/>
    <x v="6"/>
    <x v="153"/>
    <m/>
    <x v="0"/>
    <n v="51188"/>
    <x v="1"/>
    <n v="537"/>
  </r>
  <r>
    <n v="438"/>
    <x v="0"/>
    <x v="7"/>
    <x v="269"/>
    <m/>
    <x v="0"/>
    <n v="52818"/>
    <x v="1"/>
    <n v="208"/>
  </r>
  <r>
    <n v="439"/>
    <x v="1"/>
    <x v="0"/>
    <x v="270"/>
    <m/>
    <x v="0"/>
    <n v="41621"/>
    <x v="0"/>
    <n v="221"/>
  </r>
  <r>
    <n v="440"/>
    <x v="2"/>
    <x v="1"/>
    <x v="271"/>
    <m/>
    <x v="0"/>
    <n v="51311"/>
    <x v="0"/>
    <n v="597"/>
  </r>
  <r>
    <n v="441"/>
    <x v="0"/>
    <x v="2"/>
    <x v="251"/>
    <m/>
    <x v="0"/>
    <n v="45444"/>
    <x v="0"/>
    <n v="359"/>
  </r>
  <r>
    <n v="442"/>
    <x v="1"/>
    <x v="3"/>
    <x v="272"/>
    <m/>
    <x v="0"/>
    <n v="18027"/>
    <x v="0"/>
    <n v="356"/>
  </r>
  <r>
    <n v="443"/>
    <x v="2"/>
    <x v="4"/>
    <x v="129"/>
    <m/>
    <x v="0"/>
    <n v="50255"/>
    <x v="1"/>
    <n v="257"/>
  </r>
  <r>
    <n v="444"/>
    <x v="0"/>
    <x v="5"/>
    <x v="72"/>
    <m/>
    <x v="0"/>
    <n v="27966"/>
    <x v="1"/>
    <n v="352"/>
  </r>
  <r>
    <n v="445"/>
    <x v="1"/>
    <x v="6"/>
    <x v="273"/>
    <m/>
    <x v="0"/>
    <n v="24123"/>
    <x v="1"/>
    <n v="247"/>
  </r>
  <r>
    <n v="446"/>
    <x v="2"/>
    <x v="7"/>
    <x v="84"/>
    <m/>
    <x v="0"/>
    <n v="40806"/>
    <x v="1"/>
    <n v="137"/>
  </r>
  <r>
    <n v="447"/>
    <x v="0"/>
    <x v="0"/>
    <x v="114"/>
    <d v="2016-08-13T00:00:00"/>
    <x v="1"/>
    <n v="30682"/>
    <x v="0"/>
    <n v="75"/>
  </r>
  <r>
    <n v="448"/>
    <x v="1"/>
    <x v="1"/>
    <x v="114"/>
    <m/>
    <x v="2"/>
    <n v="48977"/>
    <x v="0"/>
    <n v="532"/>
  </r>
  <r>
    <n v="449"/>
    <x v="2"/>
    <x v="2"/>
    <x v="274"/>
    <m/>
    <x v="0"/>
    <n v="13491"/>
    <x v="0"/>
    <n v="293"/>
  </r>
  <r>
    <n v="450"/>
    <x v="0"/>
    <x v="3"/>
    <x v="275"/>
    <m/>
    <x v="0"/>
    <n v="50458"/>
    <x v="0"/>
    <n v="142"/>
  </r>
  <r>
    <n v="451"/>
    <x v="1"/>
    <x v="4"/>
    <x v="276"/>
    <m/>
    <x v="0"/>
    <n v="54976"/>
    <x v="1"/>
    <n v="250"/>
  </r>
  <r>
    <n v="452"/>
    <x v="2"/>
    <x v="5"/>
    <x v="277"/>
    <m/>
    <x v="0"/>
    <n v="48597"/>
    <x v="1"/>
    <n v="522"/>
  </r>
  <r>
    <n v="453"/>
    <x v="0"/>
    <x v="6"/>
    <x v="278"/>
    <m/>
    <x v="0"/>
    <n v="21147"/>
    <x v="1"/>
    <n v="187"/>
  </r>
  <r>
    <n v="454"/>
    <x v="1"/>
    <x v="7"/>
    <x v="242"/>
    <m/>
    <x v="0"/>
    <n v="18558"/>
    <x v="1"/>
    <n v="292"/>
  </r>
  <r>
    <n v="455"/>
    <x v="2"/>
    <x v="0"/>
    <x v="279"/>
    <m/>
    <x v="0"/>
    <n v="38551"/>
    <x v="0"/>
    <n v="102"/>
  </r>
  <r>
    <n v="456"/>
    <x v="0"/>
    <x v="1"/>
    <x v="280"/>
    <m/>
    <x v="0"/>
    <n v="36435"/>
    <x v="0"/>
    <n v="294"/>
  </r>
  <r>
    <n v="457"/>
    <x v="1"/>
    <x v="2"/>
    <x v="78"/>
    <m/>
    <x v="0"/>
    <n v="57899"/>
    <x v="0"/>
    <n v="304"/>
  </r>
  <r>
    <n v="458"/>
    <x v="2"/>
    <x v="3"/>
    <x v="222"/>
    <m/>
    <x v="0"/>
    <n v="9855"/>
    <x v="0"/>
    <n v="453"/>
  </r>
  <r>
    <n v="459"/>
    <x v="0"/>
    <x v="4"/>
    <x v="281"/>
    <m/>
    <x v="0"/>
    <n v="55413"/>
    <x v="1"/>
    <n v="363"/>
  </r>
  <r>
    <n v="460"/>
    <x v="1"/>
    <x v="5"/>
    <x v="225"/>
    <d v="2016-06-10T00:00:00"/>
    <x v="1"/>
    <n v="42114"/>
    <x v="1"/>
    <n v="65"/>
  </r>
  <r>
    <n v="461"/>
    <x v="2"/>
    <x v="6"/>
    <x v="36"/>
    <m/>
    <x v="2"/>
    <n v="28972"/>
    <x v="1"/>
    <n v="416"/>
  </r>
  <r>
    <n v="462"/>
    <x v="0"/>
    <x v="7"/>
    <x v="282"/>
    <m/>
    <x v="0"/>
    <n v="20019"/>
    <x v="1"/>
    <n v="409"/>
  </r>
  <r>
    <n v="463"/>
    <x v="1"/>
    <x v="0"/>
    <x v="95"/>
    <m/>
    <x v="0"/>
    <n v="19046"/>
    <x v="0"/>
    <n v="146"/>
  </r>
  <r>
    <n v="464"/>
    <x v="2"/>
    <x v="1"/>
    <x v="283"/>
    <m/>
    <x v="0"/>
    <n v="54044"/>
    <x v="0"/>
    <n v="125"/>
  </r>
  <r>
    <n v="465"/>
    <x v="0"/>
    <x v="2"/>
    <x v="158"/>
    <m/>
    <x v="0"/>
    <n v="7509"/>
    <x v="0"/>
    <n v="457"/>
  </r>
  <r>
    <n v="466"/>
    <x v="1"/>
    <x v="3"/>
    <x v="284"/>
    <m/>
    <x v="0"/>
    <n v="34565"/>
    <x v="0"/>
    <n v="381"/>
  </r>
  <r>
    <n v="467"/>
    <x v="2"/>
    <x v="4"/>
    <x v="285"/>
    <m/>
    <x v="0"/>
    <n v="14435"/>
    <x v="1"/>
    <n v="245"/>
  </r>
  <r>
    <n v="468"/>
    <x v="0"/>
    <x v="5"/>
    <x v="286"/>
    <m/>
    <x v="0"/>
    <n v="7208"/>
    <x v="1"/>
    <n v="322"/>
  </r>
  <r>
    <n v="469"/>
    <x v="1"/>
    <x v="6"/>
    <x v="287"/>
    <m/>
    <x v="0"/>
    <n v="17888"/>
    <x v="1"/>
    <n v="387"/>
  </r>
  <r>
    <n v="470"/>
    <x v="2"/>
    <x v="7"/>
    <x v="288"/>
    <m/>
    <x v="0"/>
    <n v="12909"/>
    <x v="1"/>
    <n v="334"/>
  </r>
  <r>
    <n v="471"/>
    <x v="0"/>
    <x v="0"/>
    <x v="289"/>
    <m/>
    <x v="0"/>
    <n v="25842"/>
    <x v="0"/>
    <n v="237"/>
  </r>
  <r>
    <n v="472"/>
    <x v="1"/>
    <x v="1"/>
    <x v="290"/>
    <m/>
    <x v="0"/>
    <n v="45428"/>
    <x v="0"/>
    <n v="471"/>
  </r>
  <r>
    <n v="473"/>
    <x v="2"/>
    <x v="2"/>
    <x v="291"/>
    <d v="2018-04-11T00:00:00"/>
    <x v="1"/>
    <n v="15949"/>
    <x v="0"/>
    <n v="88"/>
  </r>
  <r>
    <n v="474"/>
    <x v="0"/>
    <x v="3"/>
    <x v="292"/>
    <m/>
    <x v="2"/>
    <n v="37295"/>
    <x v="0"/>
    <n v="427"/>
  </r>
  <r>
    <n v="475"/>
    <x v="1"/>
    <x v="4"/>
    <x v="293"/>
    <m/>
    <x v="0"/>
    <n v="26027"/>
    <x v="1"/>
    <n v="516"/>
  </r>
  <r>
    <n v="476"/>
    <x v="2"/>
    <x v="5"/>
    <x v="294"/>
    <m/>
    <x v="0"/>
    <n v="17686"/>
    <x v="1"/>
    <n v="174"/>
  </r>
  <r>
    <n v="477"/>
    <x v="0"/>
    <x v="6"/>
    <x v="18"/>
    <m/>
    <x v="0"/>
    <n v="16505"/>
    <x v="1"/>
    <n v="111"/>
  </r>
  <r>
    <n v="478"/>
    <x v="1"/>
    <x v="7"/>
    <x v="295"/>
    <m/>
    <x v="0"/>
    <n v="6185"/>
    <x v="1"/>
    <n v="590"/>
  </r>
  <r>
    <n v="479"/>
    <x v="2"/>
    <x v="0"/>
    <x v="64"/>
    <m/>
    <x v="0"/>
    <n v="31084"/>
    <x v="0"/>
    <n v="152"/>
  </r>
  <r>
    <n v="480"/>
    <x v="0"/>
    <x v="1"/>
    <x v="296"/>
    <m/>
    <x v="0"/>
    <n v="29417"/>
    <x v="0"/>
    <n v="305"/>
  </r>
  <r>
    <n v="481"/>
    <x v="1"/>
    <x v="2"/>
    <x v="297"/>
    <m/>
    <x v="0"/>
    <n v="10021"/>
    <x v="0"/>
    <n v="432"/>
  </r>
  <r>
    <n v="482"/>
    <x v="2"/>
    <x v="3"/>
    <x v="51"/>
    <m/>
    <x v="0"/>
    <n v="47535"/>
    <x v="0"/>
    <n v="202"/>
  </r>
  <r>
    <n v="483"/>
    <x v="0"/>
    <x v="4"/>
    <x v="85"/>
    <m/>
    <x v="0"/>
    <n v="49216"/>
    <x v="1"/>
    <n v="480"/>
  </r>
  <r>
    <n v="484"/>
    <x v="1"/>
    <x v="5"/>
    <x v="284"/>
    <m/>
    <x v="0"/>
    <n v="33578"/>
    <x v="1"/>
    <n v="381"/>
  </r>
  <r>
    <n v="485"/>
    <x v="2"/>
    <x v="6"/>
    <x v="31"/>
    <m/>
    <x v="0"/>
    <n v="43586"/>
    <x v="1"/>
    <n v="582"/>
  </r>
  <r>
    <n v="486"/>
    <x v="0"/>
    <x v="7"/>
    <x v="298"/>
    <d v="2017-10-30T00:00:00"/>
    <x v="1"/>
    <n v="4991"/>
    <x v="1"/>
    <n v="96"/>
  </r>
  <r>
    <n v="487"/>
    <x v="1"/>
    <x v="0"/>
    <x v="299"/>
    <m/>
    <x v="2"/>
    <n v="13207"/>
    <x v="0"/>
    <n v="555"/>
  </r>
  <r>
    <n v="488"/>
    <x v="2"/>
    <x v="1"/>
    <x v="300"/>
    <m/>
    <x v="0"/>
    <n v="56898"/>
    <x v="0"/>
    <n v="259"/>
  </r>
  <r>
    <n v="489"/>
    <x v="0"/>
    <x v="2"/>
    <x v="194"/>
    <m/>
    <x v="0"/>
    <n v="48740"/>
    <x v="0"/>
    <n v="499"/>
  </r>
  <r>
    <n v="490"/>
    <x v="1"/>
    <x v="3"/>
    <x v="301"/>
    <m/>
    <x v="0"/>
    <n v="37829"/>
    <x v="0"/>
    <n v="488"/>
  </r>
  <r>
    <n v="491"/>
    <x v="2"/>
    <x v="4"/>
    <x v="67"/>
    <m/>
    <x v="0"/>
    <n v="55260"/>
    <x v="1"/>
    <n v="402"/>
  </r>
  <r>
    <n v="492"/>
    <x v="0"/>
    <x v="5"/>
    <x v="302"/>
    <m/>
    <x v="0"/>
    <n v="37618"/>
    <x v="1"/>
    <n v="540"/>
  </r>
  <r>
    <n v="493"/>
    <x v="1"/>
    <x v="6"/>
    <x v="303"/>
    <m/>
    <x v="0"/>
    <n v="12195"/>
    <x v="1"/>
    <n v="317"/>
  </r>
  <r>
    <n v="494"/>
    <x v="2"/>
    <x v="7"/>
    <x v="147"/>
    <m/>
    <x v="0"/>
    <n v="42053"/>
    <x v="1"/>
    <n v="287"/>
  </r>
  <r>
    <n v="495"/>
    <x v="0"/>
    <x v="0"/>
    <x v="21"/>
    <m/>
    <x v="0"/>
    <n v="40781"/>
    <x v="0"/>
    <n v="538"/>
  </r>
  <r>
    <n v="496"/>
    <x v="1"/>
    <x v="1"/>
    <x v="304"/>
    <m/>
    <x v="0"/>
    <n v="43868"/>
    <x v="0"/>
    <n v="147"/>
  </r>
  <r>
    <n v="497"/>
    <x v="2"/>
    <x v="2"/>
    <x v="230"/>
    <m/>
    <x v="0"/>
    <n v="27128"/>
    <x v="0"/>
    <n v="312"/>
  </r>
  <r>
    <n v="498"/>
    <x v="0"/>
    <x v="3"/>
    <x v="305"/>
    <m/>
    <x v="0"/>
    <n v="44994"/>
    <x v="0"/>
    <n v="404"/>
  </r>
  <r>
    <n v="499"/>
    <x v="1"/>
    <x v="4"/>
    <x v="306"/>
    <d v="2016-04-17T00:00:00"/>
    <x v="1"/>
    <n v="13447"/>
    <x v="1"/>
    <n v="35"/>
  </r>
  <r>
    <n v="500"/>
    <x v="2"/>
    <x v="5"/>
    <x v="253"/>
    <m/>
    <x v="2"/>
    <n v="19333"/>
    <x v="1"/>
    <n v="197"/>
  </r>
  <r>
    <n v="501"/>
    <x v="0"/>
    <x v="6"/>
    <x v="307"/>
    <m/>
    <x v="0"/>
    <n v="36520"/>
    <x v="1"/>
    <n v="561"/>
  </r>
  <r>
    <n v="502"/>
    <x v="1"/>
    <x v="7"/>
    <x v="33"/>
    <m/>
    <x v="0"/>
    <n v="13882"/>
    <x v="1"/>
    <n v="552"/>
  </r>
  <r>
    <n v="503"/>
    <x v="2"/>
    <x v="0"/>
    <x v="117"/>
    <m/>
    <x v="0"/>
    <n v="13180"/>
    <x v="0"/>
    <n v="389"/>
  </r>
  <r>
    <n v="504"/>
    <x v="0"/>
    <x v="1"/>
    <x v="219"/>
    <m/>
    <x v="0"/>
    <n v="37950"/>
    <x v="0"/>
    <n v="182"/>
  </r>
  <r>
    <n v="505"/>
    <x v="1"/>
    <x v="2"/>
    <x v="298"/>
    <m/>
    <x v="0"/>
    <n v="18495"/>
    <x v="0"/>
    <n v="237"/>
  </r>
  <r>
    <n v="506"/>
    <x v="2"/>
    <x v="3"/>
    <x v="308"/>
    <m/>
    <x v="0"/>
    <n v="7133"/>
    <x v="0"/>
    <n v="355"/>
  </r>
  <r>
    <n v="507"/>
    <x v="0"/>
    <x v="4"/>
    <x v="187"/>
    <m/>
    <x v="0"/>
    <n v="38588"/>
    <x v="1"/>
    <n v="365"/>
  </r>
  <r>
    <n v="508"/>
    <x v="1"/>
    <x v="5"/>
    <x v="71"/>
    <m/>
    <x v="0"/>
    <n v="44480"/>
    <x v="1"/>
    <n v="179"/>
  </r>
  <r>
    <n v="509"/>
    <x v="2"/>
    <x v="6"/>
    <x v="105"/>
    <m/>
    <x v="0"/>
    <n v="29668"/>
    <x v="1"/>
    <n v="230"/>
  </r>
  <r>
    <n v="510"/>
    <x v="0"/>
    <x v="7"/>
    <x v="309"/>
    <m/>
    <x v="0"/>
    <n v="19901"/>
    <x v="1"/>
    <n v="577"/>
  </r>
  <r>
    <n v="511"/>
    <x v="1"/>
    <x v="0"/>
    <x v="297"/>
    <m/>
    <x v="0"/>
    <n v="27420"/>
    <x v="0"/>
    <n v="432"/>
  </r>
  <r>
    <n v="512"/>
    <x v="2"/>
    <x v="1"/>
    <x v="212"/>
    <d v="2017-12-16T00:00:00"/>
    <x v="1"/>
    <n v="12201"/>
    <x v="0"/>
    <n v="45"/>
  </r>
  <r>
    <n v="513"/>
    <x v="0"/>
    <x v="2"/>
    <x v="310"/>
    <m/>
    <x v="2"/>
    <n v="6050"/>
    <x v="0"/>
    <n v="307"/>
  </r>
  <r>
    <n v="514"/>
    <x v="1"/>
    <x v="3"/>
    <x v="311"/>
    <m/>
    <x v="0"/>
    <n v="3358"/>
    <x v="0"/>
    <n v="386"/>
  </r>
  <r>
    <n v="515"/>
    <x v="2"/>
    <x v="4"/>
    <x v="172"/>
    <m/>
    <x v="0"/>
    <n v="39239"/>
    <x v="1"/>
    <n v="553"/>
  </r>
  <r>
    <n v="516"/>
    <x v="0"/>
    <x v="5"/>
    <x v="312"/>
    <m/>
    <x v="0"/>
    <n v="12669"/>
    <x v="1"/>
    <n v="482"/>
  </r>
  <r>
    <n v="517"/>
    <x v="1"/>
    <x v="6"/>
    <x v="114"/>
    <m/>
    <x v="0"/>
    <n v="24855"/>
    <x v="1"/>
    <n v="532"/>
  </r>
  <r>
    <n v="518"/>
    <x v="2"/>
    <x v="7"/>
    <x v="282"/>
    <m/>
    <x v="0"/>
    <n v="21089"/>
    <x v="1"/>
    <n v="409"/>
  </r>
  <r>
    <n v="519"/>
    <x v="0"/>
    <x v="0"/>
    <x v="313"/>
    <m/>
    <x v="0"/>
    <n v="17316"/>
    <x v="0"/>
    <n v="593"/>
  </r>
  <r>
    <n v="520"/>
    <x v="1"/>
    <x v="1"/>
    <x v="314"/>
    <m/>
    <x v="0"/>
    <n v="9845"/>
    <x v="0"/>
    <n v="395"/>
  </r>
  <r>
    <n v="521"/>
    <x v="2"/>
    <x v="2"/>
    <x v="315"/>
    <m/>
    <x v="0"/>
    <n v="39321"/>
    <x v="0"/>
    <n v="165"/>
  </r>
  <r>
    <n v="522"/>
    <x v="0"/>
    <x v="3"/>
    <x v="57"/>
    <m/>
    <x v="0"/>
    <n v="8389"/>
    <x v="0"/>
    <n v="303"/>
  </r>
  <r>
    <n v="523"/>
    <x v="1"/>
    <x v="4"/>
    <x v="316"/>
    <m/>
    <x v="0"/>
    <n v="41379"/>
    <x v="1"/>
    <n v="207"/>
  </r>
  <r>
    <n v="524"/>
    <x v="2"/>
    <x v="5"/>
    <x v="317"/>
    <m/>
    <x v="0"/>
    <n v="23644"/>
    <x v="1"/>
    <n v="447"/>
  </r>
  <r>
    <n v="525"/>
    <x v="0"/>
    <x v="6"/>
    <x v="140"/>
    <d v="2016-04-09T00:00:00"/>
    <x v="1"/>
    <n v="16165"/>
    <x v="1"/>
    <n v="41"/>
  </r>
  <r>
    <n v="526"/>
    <x v="1"/>
    <x v="7"/>
    <x v="107"/>
    <m/>
    <x v="2"/>
    <n v="47042"/>
    <x v="1"/>
    <n v="197"/>
  </r>
  <r>
    <n v="527"/>
    <x v="2"/>
    <x v="0"/>
    <x v="318"/>
    <m/>
    <x v="0"/>
    <n v="16841"/>
    <x v="0"/>
    <n v="220"/>
  </r>
  <r>
    <n v="528"/>
    <x v="0"/>
    <x v="1"/>
    <x v="319"/>
    <m/>
    <x v="0"/>
    <n v="17104"/>
    <x v="0"/>
    <n v="216"/>
  </r>
  <r>
    <n v="529"/>
    <x v="1"/>
    <x v="2"/>
    <x v="227"/>
    <m/>
    <x v="0"/>
    <n v="20534"/>
    <x v="0"/>
    <n v="247"/>
  </r>
  <r>
    <n v="530"/>
    <x v="2"/>
    <x v="3"/>
    <x v="320"/>
    <m/>
    <x v="0"/>
    <n v="47984"/>
    <x v="0"/>
    <n v="419"/>
  </r>
  <r>
    <n v="531"/>
    <x v="0"/>
    <x v="4"/>
    <x v="321"/>
    <m/>
    <x v="0"/>
    <n v="10394"/>
    <x v="1"/>
    <n v="238"/>
  </r>
  <r>
    <n v="532"/>
    <x v="1"/>
    <x v="5"/>
    <x v="322"/>
    <m/>
    <x v="0"/>
    <n v="35989"/>
    <x v="1"/>
    <n v="612"/>
  </r>
  <r>
    <n v="533"/>
    <x v="2"/>
    <x v="6"/>
    <x v="29"/>
    <m/>
    <x v="0"/>
    <n v="31064"/>
    <x v="1"/>
    <n v="272"/>
  </r>
  <r>
    <n v="534"/>
    <x v="0"/>
    <x v="7"/>
    <x v="2"/>
    <m/>
    <x v="0"/>
    <n v="59426"/>
    <x v="1"/>
    <n v="213"/>
  </r>
  <r>
    <n v="535"/>
    <x v="1"/>
    <x v="0"/>
    <x v="323"/>
    <m/>
    <x v="0"/>
    <n v="57045"/>
    <x v="0"/>
    <n v="170"/>
  </r>
  <r>
    <n v="536"/>
    <x v="2"/>
    <x v="1"/>
    <x v="73"/>
    <m/>
    <x v="0"/>
    <n v="26625"/>
    <x v="0"/>
    <n v="467"/>
  </r>
  <r>
    <n v="537"/>
    <x v="0"/>
    <x v="2"/>
    <x v="5"/>
    <m/>
    <x v="0"/>
    <n v="52232"/>
    <x v="0"/>
    <n v="376"/>
  </r>
  <r>
    <n v="538"/>
    <x v="1"/>
    <x v="3"/>
    <x v="324"/>
    <d v="2016-10-08T00:00:00"/>
    <x v="1"/>
    <n v="52569"/>
    <x v="0"/>
    <n v="39"/>
  </r>
  <r>
    <n v="539"/>
    <x v="2"/>
    <x v="4"/>
    <x v="325"/>
    <m/>
    <x v="2"/>
    <n v="51774"/>
    <x v="1"/>
    <n v="473"/>
  </r>
  <r>
    <n v="540"/>
    <x v="0"/>
    <x v="5"/>
    <x v="326"/>
    <m/>
    <x v="0"/>
    <n v="45904"/>
    <x v="1"/>
    <n v="606"/>
  </r>
  <r>
    <n v="541"/>
    <x v="1"/>
    <x v="6"/>
    <x v="327"/>
    <m/>
    <x v="0"/>
    <n v="48904"/>
    <x v="1"/>
    <n v="552"/>
  </r>
  <r>
    <n v="542"/>
    <x v="2"/>
    <x v="7"/>
    <x v="114"/>
    <m/>
    <x v="0"/>
    <n v="19788"/>
    <x v="1"/>
    <n v="532"/>
  </r>
  <r>
    <n v="543"/>
    <x v="0"/>
    <x v="0"/>
    <x v="328"/>
    <m/>
    <x v="0"/>
    <n v="24707"/>
    <x v="0"/>
    <n v="272"/>
  </r>
  <r>
    <n v="544"/>
    <x v="1"/>
    <x v="1"/>
    <x v="329"/>
    <m/>
    <x v="0"/>
    <n v="21595"/>
    <x v="0"/>
    <n v="291"/>
  </r>
  <r>
    <n v="545"/>
    <x v="2"/>
    <x v="2"/>
    <x v="330"/>
    <m/>
    <x v="0"/>
    <n v="28430"/>
    <x v="0"/>
    <n v="490"/>
  </r>
  <r>
    <n v="546"/>
    <x v="0"/>
    <x v="3"/>
    <x v="331"/>
    <m/>
    <x v="0"/>
    <n v="55281"/>
    <x v="0"/>
    <n v="525"/>
  </r>
  <r>
    <n v="547"/>
    <x v="1"/>
    <x v="4"/>
    <x v="94"/>
    <m/>
    <x v="0"/>
    <n v="52812"/>
    <x v="1"/>
    <n v="396"/>
  </r>
  <r>
    <n v="548"/>
    <x v="2"/>
    <x v="5"/>
    <x v="332"/>
    <m/>
    <x v="0"/>
    <n v="4396"/>
    <x v="1"/>
    <n v="239"/>
  </r>
  <r>
    <n v="549"/>
    <x v="0"/>
    <x v="6"/>
    <x v="333"/>
    <m/>
    <x v="0"/>
    <n v="15798"/>
    <x v="1"/>
    <n v="485"/>
  </r>
  <r>
    <n v="550"/>
    <x v="1"/>
    <x v="7"/>
    <x v="334"/>
    <m/>
    <x v="0"/>
    <n v="24929"/>
    <x v="1"/>
    <n v="347"/>
  </r>
  <r>
    <n v="551"/>
    <x v="2"/>
    <x v="0"/>
    <x v="197"/>
    <d v="2017-12-03T00:00:00"/>
    <x v="1"/>
    <n v="22415"/>
    <x v="0"/>
    <n v="90"/>
  </r>
  <r>
    <n v="552"/>
    <x v="0"/>
    <x v="1"/>
    <x v="335"/>
    <m/>
    <x v="2"/>
    <n v="53608"/>
    <x v="0"/>
    <n v="183"/>
  </r>
  <r>
    <n v="553"/>
    <x v="1"/>
    <x v="2"/>
    <x v="267"/>
    <m/>
    <x v="0"/>
    <n v="23507"/>
    <x v="0"/>
    <n v="228"/>
  </r>
  <r>
    <n v="554"/>
    <x v="2"/>
    <x v="3"/>
    <x v="330"/>
    <m/>
    <x v="0"/>
    <n v="38446"/>
    <x v="0"/>
    <n v="490"/>
  </r>
  <r>
    <n v="555"/>
    <x v="0"/>
    <x v="4"/>
    <x v="336"/>
    <m/>
    <x v="0"/>
    <n v="42591"/>
    <x v="1"/>
    <n v="189"/>
  </r>
  <r>
    <n v="556"/>
    <x v="1"/>
    <x v="5"/>
    <x v="215"/>
    <m/>
    <x v="0"/>
    <n v="55199"/>
    <x v="1"/>
    <n v="147"/>
  </r>
  <r>
    <n v="557"/>
    <x v="2"/>
    <x v="6"/>
    <x v="252"/>
    <m/>
    <x v="0"/>
    <n v="56511"/>
    <x v="1"/>
    <n v="560"/>
  </r>
  <r>
    <n v="558"/>
    <x v="0"/>
    <x v="7"/>
    <x v="75"/>
    <m/>
    <x v="0"/>
    <n v="52620"/>
    <x v="1"/>
    <n v="383"/>
  </r>
  <r>
    <n v="559"/>
    <x v="1"/>
    <x v="0"/>
    <x v="151"/>
    <m/>
    <x v="0"/>
    <n v="22451"/>
    <x v="0"/>
    <n v="445"/>
  </r>
  <r>
    <n v="560"/>
    <x v="2"/>
    <x v="1"/>
    <x v="337"/>
    <m/>
    <x v="0"/>
    <n v="53984"/>
    <x v="0"/>
    <n v="114"/>
  </r>
  <r>
    <n v="561"/>
    <x v="0"/>
    <x v="2"/>
    <x v="11"/>
    <m/>
    <x v="0"/>
    <n v="1611"/>
    <x v="0"/>
    <n v="504"/>
  </r>
  <r>
    <n v="562"/>
    <x v="1"/>
    <x v="3"/>
    <x v="338"/>
    <m/>
    <x v="0"/>
    <n v="35451"/>
    <x v="0"/>
    <n v="101"/>
  </r>
  <r>
    <n v="563"/>
    <x v="2"/>
    <x v="4"/>
    <x v="317"/>
    <m/>
    <x v="0"/>
    <n v="27012"/>
    <x v="1"/>
    <n v="447"/>
  </r>
  <r>
    <n v="564"/>
    <x v="0"/>
    <x v="5"/>
    <x v="85"/>
    <d v="2016-11-03T00:00:00"/>
    <x v="1"/>
    <n v="42507"/>
    <x v="1"/>
    <n v="82"/>
  </r>
  <r>
    <n v="565"/>
    <x v="1"/>
    <x v="6"/>
    <x v="339"/>
    <m/>
    <x v="2"/>
    <n v="36207"/>
    <x v="1"/>
    <n v="263"/>
  </r>
  <r>
    <n v="566"/>
    <x v="2"/>
    <x v="7"/>
    <x v="158"/>
    <m/>
    <x v="0"/>
    <n v="26070"/>
    <x v="1"/>
    <n v="457"/>
  </r>
  <r>
    <n v="567"/>
    <x v="0"/>
    <x v="0"/>
    <x v="340"/>
    <m/>
    <x v="0"/>
    <n v="45634"/>
    <x v="0"/>
    <n v="484"/>
  </r>
  <r>
    <n v="568"/>
    <x v="1"/>
    <x v="1"/>
    <x v="159"/>
    <m/>
    <x v="0"/>
    <n v="53166"/>
    <x v="0"/>
    <n v="270"/>
  </r>
  <r>
    <n v="569"/>
    <x v="2"/>
    <x v="2"/>
    <x v="341"/>
    <m/>
    <x v="0"/>
    <n v="58210"/>
    <x v="0"/>
    <n v="575"/>
  </r>
  <r>
    <n v="570"/>
    <x v="0"/>
    <x v="3"/>
    <x v="342"/>
    <m/>
    <x v="0"/>
    <n v="38505"/>
    <x v="0"/>
    <n v="519"/>
  </r>
  <r>
    <n v="571"/>
    <x v="1"/>
    <x v="4"/>
    <x v="6"/>
    <m/>
    <x v="0"/>
    <n v="2628"/>
    <x v="1"/>
    <n v="403"/>
  </r>
  <r>
    <n v="572"/>
    <x v="2"/>
    <x v="5"/>
    <x v="343"/>
    <m/>
    <x v="0"/>
    <n v="30453"/>
    <x v="1"/>
    <n v="521"/>
  </r>
  <r>
    <n v="573"/>
    <x v="0"/>
    <x v="6"/>
    <x v="302"/>
    <m/>
    <x v="0"/>
    <n v="34593"/>
    <x v="1"/>
    <n v="540"/>
  </r>
  <r>
    <n v="574"/>
    <x v="1"/>
    <x v="7"/>
    <x v="72"/>
    <m/>
    <x v="0"/>
    <n v="42836"/>
    <x v="1"/>
    <n v="352"/>
  </r>
  <r>
    <n v="575"/>
    <x v="2"/>
    <x v="0"/>
    <x v="344"/>
    <m/>
    <x v="0"/>
    <n v="40017"/>
    <x v="0"/>
    <n v="573"/>
  </r>
  <r>
    <n v="576"/>
    <x v="0"/>
    <x v="1"/>
    <x v="345"/>
    <m/>
    <x v="0"/>
    <n v="30820"/>
    <x v="0"/>
    <n v="116"/>
  </r>
  <r>
    <n v="577"/>
    <x v="1"/>
    <x v="2"/>
    <x v="20"/>
    <d v="2017-03-05T00:00:00"/>
    <x v="1"/>
    <n v="32686"/>
    <x v="0"/>
    <n v="55"/>
  </r>
  <r>
    <n v="578"/>
    <x v="2"/>
    <x v="3"/>
    <x v="41"/>
    <m/>
    <x v="2"/>
    <n v="13187"/>
    <x v="0"/>
    <n v="388"/>
  </r>
  <r>
    <n v="579"/>
    <x v="0"/>
    <x v="4"/>
    <x v="346"/>
    <m/>
    <x v="0"/>
    <n v="7375"/>
    <x v="1"/>
    <n v="443"/>
  </r>
  <r>
    <n v="580"/>
    <x v="1"/>
    <x v="5"/>
    <x v="271"/>
    <m/>
    <x v="0"/>
    <n v="13989"/>
    <x v="1"/>
    <n v="597"/>
  </r>
  <r>
    <n v="581"/>
    <x v="2"/>
    <x v="6"/>
    <x v="243"/>
    <m/>
    <x v="0"/>
    <n v="22191"/>
    <x v="1"/>
    <n v="486"/>
  </r>
  <r>
    <n v="582"/>
    <x v="0"/>
    <x v="7"/>
    <x v="347"/>
    <m/>
    <x v="0"/>
    <n v="20679"/>
    <x v="1"/>
    <n v="475"/>
  </r>
  <r>
    <n v="583"/>
    <x v="1"/>
    <x v="0"/>
    <x v="348"/>
    <m/>
    <x v="0"/>
    <n v="3199"/>
    <x v="0"/>
    <n v="278"/>
  </r>
  <r>
    <n v="584"/>
    <x v="2"/>
    <x v="1"/>
    <x v="349"/>
    <m/>
    <x v="0"/>
    <n v="6325"/>
    <x v="0"/>
    <n v="281"/>
  </r>
  <r>
    <n v="585"/>
    <x v="0"/>
    <x v="2"/>
    <x v="350"/>
    <m/>
    <x v="0"/>
    <n v="2965"/>
    <x v="0"/>
    <n v="397"/>
  </r>
  <r>
    <n v="586"/>
    <x v="1"/>
    <x v="3"/>
    <x v="351"/>
    <m/>
    <x v="0"/>
    <n v="43851"/>
    <x v="0"/>
    <n v="273"/>
  </r>
  <r>
    <n v="587"/>
    <x v="2"/>
    <x v="4"/>
    <x v="335"/>
    <m/>
    <x v="0"/>
    <n v="26978"/>
    <x v="1"/>
    <n v="183"/>
  </r>
  <r>
    <n v="588"/>
    <x v="0"/>
    <x v="5"/>
    <x v="238"/>
    <m/>
    <x v="0"/>
    <n v="44499"/>
    <x v="1"/>
    <n v="429"/>
  </r>
  <r>
    <n v="589"/>
    <x v="1"/>
    <x v="6"/>
    <x v="352"/>
    <m/>
    <x v="0"/>
    <n v="43858"/>
    <x v="1"/>
    <n v="227"/>
  </r>
  <r>
    <n v="590"/>
    <x v="2"/>
    <x v="7"/>
    <x v="242"/>
    <d v="2017-07-04T00:00:00"/>
    <x v="1"/>
    <n v="50049"/>
    <x v="1"/>
    <n v="67"/>
  </r>
  <r>
    <n v="591"/>
    <x v="0"/>
    <x v="0"/>
    <x v="138"/>
    <m/>
    <x v="2"/>
    <n v="52688"/>
    <x v="0"/>
    <n v="143"/>
  </r>
  <r>
    <n v="592"/>
    <x v="1"/>
    <x v="1"/>
    <x v="353"/>
    <m/>
    <x v="0"/>
    <n v="29114"/>
    <x v="0"/>
    <n v="532"/>
  </r>
  <r>
    <n v="593"/>
    <x v="2"/>
    <x v="2"/>
    <x v="189"/>
    <m/>
    <x v="0"/>
    <n v="5677"/>
    <x v="0"/>
    <n v="517"/>
  </r>
  <r>
    <n v="594"/>
    <x v="0"/>
    <x v="3"/>
    <x v="309"/>
    <m/>
    <x v="0"/>
    <n v="55058"/>
    <x v="0"/>
    <n v="577"/>
  </r>
  <r>
    <n v="595"/>
    <x v="1"/>
    <x v="4"/>
    <x v="354"/>
    <m/>
    <x v="0"/>
    <n v="46825"/>
    <x v="1"/>
    <n v="323"/>
  </r>
  <r>
    <n v="596"/>
    <x v="2"/>
    <x v="5"/>
    <x v="355"/>
    <m/>
    <x v="0"/>
    <n v="5665"/>
    <x v="1"/>
    <n v="315"/>
  </r>
  <r>
    <n v="597"/>
    <x v="0"/>
    <x v="6"/>
    <x v="356"/>
    <m/>
    <x v="0"/>
    <n v="50170"/>
    <x v="1"/>
    <n v="324"/>
  </r>
  <r>
    <n v="598"/>
    <x v="1"/>
    <x v="7"/>
    <x v="357"/>
    <m/>
    <x v="0"/>
    <n v="51828"/>
    <x v="1"/>
    <n v="134"/>
  </r>
  <r>
    <n v="599"/>
    <x v="2"/>
    <x v="0"/>
    <x v="28"/>
    <m/>
    <x v="0"/>
    <n v="40548"/>
    <x v="0"/>
    <n v="124"/>
  </r>
  <r>
    <n v="600"/>
    <x v="0"/>
    <x v="1"/>
    <x v="122"/>
    <m/>
    <x v="0"/>
    <n v="23967"/>
    <x v="0"/>
    <n v="347"/>
  </r>
  <r>
    <n v="601"/>
    <x v="1"/>
    <x v="2"/>
    <x v="122"/>
    <m/>
    <x v="0"/>
    <n v="46993"/>
    <x v="0"/>
    <n v="347"/>
  </r>
  <r>
    <n v="602"/>
    <x v="2"/>
    <x v="3"/>
    <x v="252"/>
    <m/>
    <x v="0"/>
    <n v="9256"/>
    <x v="0"/>
    <n v="560"/>
  </r>
  <r>
    <n v="603"/>
    <x v="0"/>
    <x v="4"/>
    <x v="139"/>
    <d v="2016-08-07T00:00:00"/>
    <x v="1"/>
    <n v="37928"/>
    <x v="1"/>
    <n v="83"/>
  </r>
  <r>
    <n v="604"/>
    <x v="1"/>
    <x v="5"/>
    <x v="358"/>
    <m/>
    <x v="2"/>
    <n v="29087"/>
    <x v="1"/>
    <n v="333"/>
  </r>
  <r>
    <n v="605"/>
    <x v="2"/>
    <x v="6"/>
    <x v="359"/>
    <m/>
    <x v="0"/>
    <n v="10446"/>
    <x v="1"/>
    <n v="425"/>
  </r>
  <r>
    <n v="606"/>
    <x v="0"/>
    <x v="7"/>
    <x v="163"/>
    <m/>
    <x v="0"/>
    <n v="44318"/>
    <x v="1"/>
    <n v="287"/>
  </r>
  <r>
    <n v="607"/>
    <x v="1"/>
    <x v="0"/>
    <x v="117"/>
    <m/>
    <x v="0"/>
    <n v="25498"/>
    <x v="0"/>
    <n v="389"/>
  </r>
  <r>
    <n v="608"/>
    <x v="2"/>
    <x v="1"/>
    <x v="349"/>
    <m/>
    <x v="0"/>
    <n v="2686"/>
    <x v="0"/>
    <n v="281"/>
  </r>
  <r>
    <n v="609"/>
    <x v="0"/>
    <x v="2"/>
    <x v="62"/>
    <m/>
    <x v="0"/>
    <n v="36021"/>
    <x v="0"/>
    <n v="162"/>
  </r>
  <r>
    <n v="610"/>
    <x v="1"/>
    <x v="3"/>
    <x v="239"/>
    <m/>
    <x v="0"/>
    <n v="36409"/>
    <x v="0"/>
    <n v="441"/>
  </r>
  <r>
    <n v="611"/>
    <x v="2"/>
    <x v="4"/>
    <x v="360"/>
    <m/>
    <x v="0"/>
    <n v="34271"/>
    <x v="1"/>
    <n v="164"/>
  </r>
  <r>
    <n v="612"/>
    <x v="0"/>
    <x v="5"/>
    <x v="219"/>
    <m/>
    <x v="0"/>
    <n v="41512"/>
    <x v="1"/>
    <n v="182"/>
  </r>
  <r>
    <n v="613"/>
    <x v="1"/>
    <x v="6"/>
    <x v="180"/>
    <m/>
    <x v="0"/>
    <n v="23035"/>
    <x v="1"/>
    <n v="258"/>
  </r>
  <r>
    <n v="614"/>
    <x v="2"/>
    <x v="7"/>
    <x v="350"/>
    <m/>
    <x v="0"/>
    <n v="51219"/>
    <x v="1"/>
    <n v="397"/>
  </r>
  <r>
    <n v="615"/>
    <x v="0"/>
    <x v="0"/>
    <x v="11"/>
    <m/>
    <x v="0"/>
    <n v="19459"/>
    <x v="0"/>
    <n v="504"/>
  </r>
  <r>
    <n v="616"/>
    <x v="1"/>
    <x v="1"/>
    <x v="174"/>
    <d v="2017-12-18T00:00:00"/>
    <x v="1"/>
    <n v="36976"/>
    <x v="0"/>
    <n v="76"/>
  </r>
  <r>
    <n v="617"/>
    <x v="2"/>
    <x v="2"/>
    <x v="361"/>
    <m/>
    <x v="2"/>
    <n v="43238"/>
    <x v="0"/>
    <n v="154"/>
  </r>
  <r>
    <n v="618"/>
    <x v="0"/>
    <x v="3"/>
    <x v="53"/>
    <m/>
    <x v="0"/>
    <n v="40374"/>
    <x v="0"/>
    <n v="481"/>
  </r>
  <r>
    <n v="619"/>
    <x v="1"/>
    <x v="4"/>
    <x v="338"/>
    <m/>
    <x v="0"/>
    <n v="3425"/>
    <x v="1"/>
    <n v="101"/>
  </r>
  <r>
    <n v="620"/>
    <x v="2"/>
    <x v="5"/>
    <x v="362"/>
    <m/>
    <x v="0"/>
    <n v="11481"/>
    <x v="1"/>
    <n v="362"/>
  </r>
  <r>
    <n v="621"/>
    <x v="0"/>
    <x v="6"/>
    <x v="363"/>
    <m/>
    <x v="0"/>
    <n v="17979"/>
    <x v="1"/>
    <n v="137"/>
  </r>
  <r>
    <n v="622"/>
    <x v="1"/>
    <x v="7"/>
    <x v="165"/>
    <m/>
    <x v="0"/>
    <n v="1497"/>
    <x v="1"/>
    <n v="222"/>
  </r>
  <r>
    <n v="623"/>
    <x v="2"/>
    <x v="0"/>
    <x v="146"/>
    <m/>
    <x v="0"/>
    <n v="31950"/>
    <x v="0"/>
    <n v="158"/>
  </r>
  <r>
    <n v="624"/>
    <x v="0"/>
    <x v="1"/>
    <x v="364"/>
    <m/>
    <x v="0"/>
    <n v="43978"/>
    <x v="0"/>
    <n v="407"/>
  </r>
  <r>
    <n v="625"/>
    <x v="1"/>
    <x v="2"/>
    <x v="365"/>
    <m/>
    <x v="0"/>
    <n v="33671"/>
    <x v="0"/>
    <n v="265"/>
  </r>
  <r>
    <n v="626"/>
    <x v="2"/>
    <x v="3"/>
    <x v="366"/>
    <m/>
    <x v="0"/>
    <n v="55229"/>
    <x v="0"/>
    <n v="462"/>
  </r>
  <r>
    <n v="627"/>
    <x v="0"/>
    <x v="4"/>
    <x v="231"/>
    <m/>
    <x v="0"/>
    <n v="2645"/>
    <x v="1"/>
    <n v="397"/>
  </r>
  <r>
    <n v="628"/>
    <x v="1"/>
    <x v="5"/>
    <x v="367"/>
    <m/>
    <x v="0"/>
    <n v="33290"/>
    <x v="1"/>
    <n v="544"/>
  </r>
  <r>
    <n v="629"/>
    <x v="2"/>
    <x v="6"/>
    <x v="368"/>
    <d v="2016-05-10T00:00:00"/>
    <x v="1"/>
    <n v="13409"/>
    <x v="1"/>
    <n v="22"/>
  </r>
  <r>
    <n v="630"/>
    <x v="0"/>
    <x v="7"/>
    <x v="251"/>
    <m/>
    <x v="2"/>
    <n v="6734"/>
    <x v="1"/>
    <n v="359"/>
  </r>
  <r>
    <n v="631"/>
    <x v="1"/>
    <x v="0"/>
    <x v="369"/>
    <m/>
    <x v="0"/>
    <n v="13929"/>
    <x v="0"/>
    <n v="509"/>
  </r>
  <r>
    <n v="632"/>
    <x v="2"/>
    <x v="1"/>
    <x v="80"/>
    <m/>
    <x v="0"/>
    <n v="38624"/>
    <x v="0"/>
    <n v="233"/>
  </r>
  <r>
    <n v="633"/>
    <x v="0"/>
    <x v="2"/>
    <x v="370"/>
    <m/>
    <x v="0"/>
    <n v="22568"/>
    <x v="0"/>
    <n v="267"/>
  </r>
  <r>
    <n v="634"/>
    <x v="1"/>
    <x v="3"/>
    <x v="166"/>
    <m/>
    <x v="0"/>
    <n v="51877"/>
    <x v="0"/>
    <n v="162"/>
  </r>
  <r>
    <n v="635"/>
    <x v="2"/>
    <x v="4"/>
    <x v="371"/>
    <m/>
    <x v="0"/>
    <n v="36054"/>
    <x v="1"/>
    <n v="603"/>
  </r>
  <r>
    <n v="636"/>
    <x v="0"/>
    <x v="5"/>
    <x v="372"/>
    <m/>
    <x v="0"/>
    <n v="26976"/>
    <x v="1"/>
    <n v="342"/>
  </r>
  <r>
    <n v="637"/>
    <x v="1"/>
    <x v="6"/>
    <x v="373"/>
    <m/>
    <x v="0"/>
    <n v="13306"/>
    <x v="1"/>
    <n v="195"/>
  </r>
  <r>
    <n v="638"/>
    <x v="2"/>
    <x v="7"/>
    <x v="237"/>
    <m/>
    <x v="0"/>
    <n v="10022"/>
    <x v="1"/>
    <n v="296"/>
  </r>
  <r>
    <n v="639"/>
    <x v="0"/>
    <x v="0"/>
    <x v="374"/>
    <m/>
    <x v="0"/>
    <n v="44709"/>
    <x v="0"/>
    <n v="104"/>
  </r>
  <r>
    <n v="640"/>
    <x v="1"/>
    <x v="1"/>
    <x v="375"/>
    <m/>
    <x v="0"/>
    <n v="38705"/>
    <x v="0"/>
    <n v="604"/>
  </r>
  <r>
    <n v="641"/>
    <x v="2"/>
    <x v="2"/>
    <x v="376"/>
    <m/>
    <x v="0"/>
    <n v="47776"/>
    <x v="0"/>
    <n v="290"/>
  </r>
  <r>
    <n v="642"/>
    <x v="0"/>
    <x v="3"/>
    <x v="50"/>
    <d v="2017-04-20T00:00:00"/>
    <x v="1"/>
    <n v="2879"/>
    <x v="0"/>
    <n v="82"/>
  </r>
  <r>
    <n v="643"/>
    <x v="1"/>
    <x v="4"/>
    <x v="125"/>
    <m/>
    <x v="2"/>
    <n v="15364"/>
    <x v="1"/>
    <n v="243"/>
  </r>
  <r>
    <n v="644"/>
    <x v="2"/>
    <x v="5"/>
    <x v="377"/>
    <m/>
    <x v="0"/>
    <n v="8973"/>
    <x v="1"/>
    <n v="205"/>
  </r>
  <r>
    <n v="645"/>
    <x v="0"/>
    <x v="6"/>
    <x v="378"/>
    <m/>
    <x v="0"/>
    <n v="29053"/>
    <x v="1"/>
    <n v="467"/>
  </r>
  <r>
    <n v="646"/>
    <x v="1"/>
    <x v="7"/>
    <x v="379"/>
    <m/>
    <x v="0"/>
    <n v="48377"/>
    <x v="1"/>
    <n v="204"/>
  </r>
  <r>
    <n v="647"/>
    <x v="2"/>
    <x v="0"/>
    <x v="272"/>
    <m/>
    <x v="0"/>
    <n v="8570"/>
    <x v="0"/>
    <n v="356"/>
  </r>
  <r>
    <n v="648"/>
    <x v="0"/>
    <x v="1"/>
    <x v="380"/>
    <m/>
    <x v="0"/>
    <n v="45845"/>
    <x v="0"/>
    <n v="100"/>
  </r>
  <r>
    <n v="649"/>
    <x v="1"/>
    <x v="2"/>
    <x v="374"/>
    <m/>
    <x v="0"/>
    <n v="5693"/>
    <x v="0"/>
    <n v="104"/>
  </r>
  <r>
    <n v="650"/>
    <x v="2"/>
    <x v="3"/>
    <x v="166"/>
    <m/>
    <x v="0"/>
    <n v="10732"/>
    <x v="0"/>
    <n v="162"/>
  </r>
  <r>
    <n v="651"/>
    <x v="0"/>
    <x v="4"/>
    <x v="381"/>
    <m/>
    <x v="0"/>
    <n v="12208"/>
    <x v="1"/>
    <n v="156"/>
  </r>
  <r>
    <n v="652"/>
    <x v="1"/>
    <x v="5"/>
    <x v="382"/>
    <m/>
    <x v="0"/>
    <n v="2852"/>
    <x v="1"/>
    <n v="377"/>
  </r>
  <r>
    <n v="653"/>
    <x v="2"/>
    <x v="6"/>
    <x v="383"/>
    <m/>
    <x v="0"/>
    <n v="3662"/>
    <x v="1"/>
    <n v="173"/>
  </r>
  <r>
    <n v="654"/>
    <x v="0"/>
    <x v="7"/>
    <x v="384"/>
    <m/>
    <x v="0"/>
    <n v="30567"/>
    <x v="1"/>
    <n v="591"/>
  </r>
  <r>
    <n v="655"/>
    <x v="1"/>
    <x v="0"/>
    <x v="23"/>
    <d v="2017-08-20T00:00:00"/>
    <x v="1"/>
    <n v="25093"/>
    <x v="0"/>
    <n v="40"/>
  </r>
  <r>
    <n v="656"/>
    <x v="2"/>
    <x v="1"/>
    <x v="385"/>
    <m/>
    <x v="2"/>
    <n v="38924"/>
    <x v="0"/>
    <n v="337"/>
  </r>
  <r>
    <n v="657"/>
    <x v="0"/>
    <x v="2"/>
    <x v="386"/>
    <m/>
    <x v="0"/>
    <n v="1245"/>
    <x v="0"/>
    <n v="442"/>
  </r>
  <r>
    <n v="658"/>
    <x v="1"/>
    <x v="3"/>
    <x v="387"/>
    <m/>
    <x v="0"/>
    <n v="31437"/>
    <x v="0"/>
    <n v="321"/>
  </r>
  <r>
    <n v="659"/>
    <x v="2"/>
    <x v="4"/>
    <x v="388"/>
    <m/>
    <x v="0"/>
    <n v="3272"/>
    <x v="1"/>
    <n v="462"/>
  </r>
  <r>
    <n v="660"/>
    <x v="0"/>
    <x v="5"/>
    <x v="373"/>
    <m/>
    <x v="0"/>
    <n v="27622"/>
    <x v="1"/>
    <n v="195"/>
  </r>
  <r>
    <n v="661"/>
    <x v="1"/>
    <x v="6"/>
    <x v="389"/>
    <m/>
    <x v="0"/>
    <n v="12922"/>
    <x v="1"/>
    <n v="435"/>
  </r>
  <r>
    <n v="662"/>
    <x v="2"/>
    <x v="7"/>
    <x v="390"/>
    <m/>
    <x v="0"/>
    <n v="9881"/>
    <x v="1"/>
    <n v="128"/>
  </r>
  <r>
    <n v="663"/>
    <x v="0"/>
    <x v="0"/>
    <x v="298"/>
    <m/>
    <x v="0"/>
    <n v="9389"/>
    <x v="0"/>
    <n v="237"/>
  </r>
  <r>
    <n v="664"/>
    <x v="1"/>
    <x v="1"/>
    <x v="391"/>
    <m/>
    <x v="0"/>
    <n v="21348"/>
    <x v="0"/>
    <n v="512"/>
  </r>
  <r>
    <n v="665"/>
    <x v="2"/>
    <x v="2"/>
    <x v="392"/>
    <m/>
    <x v="0"/>
    <n v="2455"/>
    <x v="0"/>
    <n v="248"/>
  </r>
  <r>
    <n v="666"/>
    <x v="0"/>
    <x v="3"/>
    <x v="23"/>
    <m/>
    <x v="0"/>
    <n v="29812"/>
    <x v="0"/>
    <n v="232"/>
  </r>
  <r>
    <n v="667"/>
    <x v="1"/>
    <x v="4"/>
    <x v="393"/>
    <m/>
    <x v="0"/>
    <n v="54425"/>
    <x v="1"/>
    <n v="112"/>
  </r>
  <r>
    <n v="668"/>
    <x v="2"/>
    <x v="5"/>
    <x v="394"/>
    <d v="2017-02-22T00:00:00"/>
    <x v="1"/>
    <n v="46917"/>
    <x v="1"/>
    <n v="48"/>
  </r>
  <r>
    <n v="669"/>
    <x v="0"/>
    <x v="6"/>
    <x v="28"/>
    <m/>
    <x v="2"/>
    <n v="56950"/>
    <x v="1"/>
    <n v="124"/>
  </r>
  <r>
    <n v="670"/>
    <x v="1"/>
    <x v="7"/>
    <x v="1"/>
    <m/>
    <x v="0"/>
    <n v="2890"/>
    <x v="1"/>
    <n v="253"/>
  </r>
  <r>
    <n v="671"/>
    <x v="2"/>
    <x v="0"/>
    <x v="34"/>
    <m/>
    <x v="0"/>
    <n v="26721"/>
    <x v="0"/>
    <n v="271"/>
  </r>
  <r>
    <n v="672"/>
    <x v="0"/>
    <x v="1"/>
    <x v="395"/>
    <m/>
    <x v="0"/>
    <n v="11601"/>
    <x v="0"/>
    <n v="568"/>
  </r>
  <r>
    <n v="673"/>
    <x v="1"/>
    <x v="2"/>
    <x v="396"/>
    <m/>
    <x v="0"/>
    <n v="6322"/>
    <x v="0"/>
    <n v="472"/>
  </r>
  <r>
    <n v="674"/>
    <x v="2"/>
    <x v="3"/>
    <x v="380"/>
    <m/>
    <x v="0"/>
    <n v="57605"/>
    <x v="0"/>
    <n v="100"/>
  </r>
  <r>
    <n v="675"/>
    <x v="0"/>
    <x v="4"/>
    <x v="397"/>
    <m/>
    <x v="0"/>
    <n v="47032"/>
    <x v="1"/>
    <n v="374"/>
  </r>
  <r>
    <n v="676"/>
    <x v="1"/>
    <x v="5"/>
    <x v="398"/>
    <m/>
    <x v="0"/>
    <n v="32184"/>
    <x v="1"/>
    <n v="468"/>
  </r>
  <r>
    <n v="677"/>
    <x v="2"/>
    <x v="6"/>
    <x v="265"/>
    <m/>
    <x v="0"/>
    <n v="59721"/>
    <x v="1"/>
    <n v="102"/>
  </r>
  <r>
    <n v="678"/>
    <x v="0"/>
    <x v="7"/>
    <x v="368"/>
    <m/>
    <x v="0"/>
    <n v="43927"/>
    <x v="1"/>
    <n v="547"/>
  </r>
  <r>
    <n v="679"/>
    <x v="1"/>
    <x v="0"/>
    <x v="399"/>
    <m/>
    <x v="0"/>
    <n v="17796"/>
    <x v="0"/>
    <n v="602"/>
  </r>
  <r>
    <n v="680"/>
    <x v="2"/>
    <x v="1"/>
    <x v="176"/>
    <m/>
    <x v="0"/>
    <n v="48904"/>
    <x v="0"/>
    <n v="500"/>
  </r>
  <r>
    <n v="681"/>
    <x v="0"/>
    <x v="2"/>
    <x v="211"/>
    <d v="2016-10-19T00:00:00"/>
    <x v="1"/>
    <n v="57034"/>
    <x v="0"/>
    <n v="103"/>
  </r>
  <r>
    <n v="682"/>
    <x v="1"/>
    <x v="3"/>
    <x v="400"/>
    <m/>
    <x v="2"/>
    <n v="57691"/>
    <x v="0"/>
    <n v="438"/>
  </r>
  <r>
    <n v="683"/>
    <x v="2"/>
    <x v="4"/>
    <x v="332"/>
    <m/>
    <x v="0"/>
    <n v="1426"/>
    <x v="1"/>
    <n v="239"/>
  </r>
  <r>
    <n v="684"/>
    <x v="0"/>
    <x v="5"/>
    <x v="401"/>
    <m/>
    <x v="0"/>
    <n v="8464"/>
    <x v="1"/>
    <n v="392"/>
  </r>
  <r>
    <n v="685"/>
    <x v="1"/>
    <x v="6"/>
    <x v="105"/>
    <m/>
    <x v="0"/>
    <n v="44740"/>
    <x v="1"/>
    <n v="230"/>
  </r>
  <r>
    <n v="686"/>
    <x v="2"/>
    <x v="7"/>
    <x v="402"/>
    <m/>
    <x v="0"/>
    <n v="45780"/>
    <x v="1"/>
    <n v="175"/>
  </r>
  <r>
    <n v="687"/>
    <x v="0"/>
    <x v="0"/>
    <x v="43"/>
    <m/>
    <x v="0"/>
    <n v="15610"/>
    <x v="0"/>
    <n v="139"/>
  </r>
  <r>
    <n v="688"/>
    <x v="1"/>
    <x v="1"/>
    <x v="19"/>
    <m/>
    <x v="0"/>
    <n v="29004"/>
    <x v="0"/>
    <n v="327"/>
  </r>
  <r>
    <n v="689"/>
    <x v="2"/>
    <x v="2"/>
    <x v="403"/>
    <m/>
    <x v="0"/>
    <n v="14085"/>
    <x v="0"/>
    <n v="424"/>
  </r>
  <r>
    <n v="690"/>
    <x v="0"/>
    <x v="3"/>
    <x v="404"/>
    <m/>
    <x v="0"/>
    <n v="9324"/>
    <x v="0"/>
    <n v="267"/>
  </r>
  <r>
    <n v="691"/>
    <x v="1"/>
    <x v="4"/>
    <x v="405"/>
    <m/>
    <x v="0"/>
    <n v="43564"/>
    <x v="1"/>
    <n v="127"/>
  </r>
  <r>
    <n v="692"/>
    <x v="2"/>
    <x v="5"/>
    <x v="101"/>
    <m/>
    <x v="0"/>
    <n v="47708"/>
    <x v="1"/>
    <n v="297"/>
  </r>
  <r>
    <n v="693"/>
    <x v="0"/>
    <x v="6"/>
    <x v="406"/>
    <m/>
    <x v="0"/>
    <n v="59401"/>
    <x v="1"/>
    <n v="350"/>
  </r>
  <r>
    <n v="694"/>
    <x v="1"/>
    <x v="7"/>
    <x v="265"/>
    <d v="2018-03-04T00:00:00"/>
    <x v="1"/>
    <n v="2552"/>
    <x v="1"/>
    <n v="50"/>
  </r>
  <r>
    <n v="695"/>
    <x v="2"/>
    <x v="0"/>
    <x v="138"/>
    <m/>
    <x v="2"/>
    <n v="17973"/>
    <x v="0"/>
    <n v="143"/>
  </r>
  <r>
    <n v="696"/>
    <x v="0"/>
    <x v="1"/>
    <x v="407"/>
    <m/>
    <x v="0"/>
    <n v="42244"/>
    <x v="0"/>
    <n v="218"/>
  </r>
  <r>
    <n v="697"/>
    <x v="1"/>
    <x v="2"/>
    <x v="408"/>
    <m/>
    <x v="0"/>
    <n v="57813"/>
    <x v="0"/>
    <n v="231"/>
  </r>
  <r>
    <n v="698"/>
    <x v="2"/>
    <x v="3"/>
    <x v="409"/>
    <m/>
    <x v="0"/>
    <n v="46455"/>
    <x v="0"/>
    <n v="576"/>
  </r>
  <r>
    <n v="699"/>
    <x v="0"/>
    <x v="4"/>
    <x v="149"/>
    <m/>
    <x v="0"/>
    <n v="10017"/>
    <x v="1"/>
    <n v="320"/>
  </r>
  <r>
    <n v="700"/>
    <x v="1"/>
    <x v="5"/>
    <x v="410"/>
    <m/>
    <x v="0"/>
    <n v="59414"/>
    <x v="1"/>
    <n v="302"/>
  </r>
  <r>
    <n v="701"/>
    <x v="2"/>
    <x v="6"/>
    <x v="28"/>
    <m/>
    <x v="0"/>
    <n v="45154"/>
    <x v="1"/>
    <n v="124"/>
  </r>
  <r>
    <n v="702"/>
    <x v="0"/>
    <x v="7"/>
    <x v="131"/>
    <m/>
    <x v="0"/>
    <n v="22885"/>
    <x v="1"/>
    <n v="337"/>
  </r>
  <r>
    <n v="703"/>
    <x v="1"/>
    <x v="0"/>
    <x v="411"/>
    <m/>
    <x v="0"/>
    <n v="19455"/>
    <x v="0"/>
    <n v="415"/>
  </r>
  <r>
    <n v="704"/>
    <x v="2"/>
    <x v="1"/>
    <x v="248"/>
    <m/>
    <x v="0"/>
    <n v="59623"/>
    <x v="0"/>
    <n v="417"/>
  </r>
  <r>
    <n v="705"/>
    <x v="0"/>
    <x v="2"/>
    <x v="412"/>
    <m/>
    <x v="0"/>
    <n v="21352"/>
    <x v="0"/>
    <n v="547"/>
  </r>
  <r>
    <n v="706"/>
    <x v="1"/>
    <x v="3"/>
    <x v="30"/>
    <m/>
    <x v="0"/>
    <n v="2055"/>
    <x v="0"/>
    <n v="497"/>
  </r>
  <r>
    <n v="707"/>
    <x v="2"/>
    <x v="4"/>
    <x v="413"/>
    <d v="2016-10-17T00:00:00"/>
    <x v="1"/>
    <n v="16484"/>
    <x v="1"/>
    <n v="49"/>
  </r>
  <r>
    <n v="708"/>
    <x v="0"/>
    <x v="5"/>
    <x v="131"/>
    <m/>
    <x v="2"/>
    <n v="3837"/>
    <x v="1"/>
    <n v="337"/>
  </r>
  <r>
    <n v="709"/>
    <x v="1"/>
    <x v="6"/>
    <x v="66"/>
    <m/>
    <x v="0"/>
    <n v="23987"/>
    <x v="1"/>
    <n v="608"/>
  </r>
  <r>
    <n v="710"/>
    <x v="2"/>
    <x v="7"/>
    <x v="147"/>
    <m/>
    <x v="0"/>
    <n v="9176"/>
    <x v="1"/>
    <n v="287"/>
  </r>
  <r>
    <n v="711"/>
    <x v="0"/>
    <x v="0"/>
    <x v="76"/>
    <m/>
    <x v="0"/>
    <n v="59164"/>
    <x v="0"/>
    <n v="470"/>
  </r>
  <r>
    <n v="712"/>
    <x v="1"/>
    <x v="1"/>
    <x v="26"/>
    <m/>
    <x v="0"/>
    <n v="47081"/>
    <x v="0"/>
    <n v="202"/>
  </r>
  <r>
    <n v="713"/>
    <x v="2"/>
    <x v="2"/>
    <x v="414"/>
    <m/>
    <x v="0"/>
    <n v="40097"/>
    <x v="0"/>
    <n v="371"/>
  </r>
  <r>
    <n v="714"/>
    <x v="0"/>
    <x v="3"/>
    <x v="415"/>
    <m/>
    <x v="0"/>
    <n v="51453"/>
    <x v="0"/>
    <n v="240"/>
  </r>
  <r>
    <n v="715"/>
    <x v="1"/>
    <x v="4"/>
    <x v="416"/>
    <m/>
    <x v="0"/>
    <n v="21359"/>
    <x v="1"/>
    <n v="107"/>
  </r>
  <r>
    <n v="716"/>
    <x v="2"/>
    <x v="5"/>
    <x v="417"/>
    <m/>
    <x v="0"/>
    <n v="5452"/>
    <x v="1"/>
    <n v="105"/>
  </r>
  <r>
    <n v="717"/>
    <x v="0"/>
    <x v="6"/>
    <x v="100"/>
    <m/>
    <x v="0"/>
    <n v="52972"/>
    <x v="1"/>
    <n v="262"/>
  </r>
  <r>
    <n v="718"/>
    <x v="1"/>
    <x v="7"/>
    <x v="418"/>
    <m/>
    <x v="0"/>
    <n v="44206"/>
    <x v="1"/>
    <n v="227"/>
  </r>
  <r>
    <n v="719"/>
    <x v="2"/>
    <x v="0"/>
    <x v="135"/>
    <m/>
    <x v="0"/>
    <n v="3818"/>
    <x v="0"/>
    <n v="311"/>
  </r>
  <r>
    <n v="720"/>
    <x v="0"/>
    <x v="1"/>
    <x v="419"/>
    <d v="2016-07-30T00:00:00"/>
    <x v="1"/>
    <n v="32888"/>
    <x v="0"/>
    <n v="40"/>
  </r>
  <r>
    <n v="721"/>
    <x v="1"/>
    <x v="2"/>
    <x v="267"/>
    <m/>
    <x v="2"/>
    <n v="21460"/>
    <x v="0"/>
    <n v="228"/>
  </r>
  <r>
    <n v="722"/>
    <x v="2"/>
    <x v="3"/>
    <x v="20"/>
    <m/>
    <x v="0"/>
    <n v="27803"/>
    <x v="0"/>
    <n v="367"/>
  </r>
  <r>
    <n v="723"/>
    <x v="0"/>
    <x v="4"/>
    <x v="19"/>
    <m/>
    <x v="0"/>
    <n v="38606"/>
    <x v="1"/>
    <n v="327"/>
  </r>
  <r>
    <n v="724"/>
    <x v="1"/>
    <x v="5"/>
    <x v="420"/>
    <m/>
    <x v="0"/>
    <n v="57253"/>
    <x v="1"/>
    <n v="159"/>
  </r>
  <r>
    <n v="725"/>
    <x v="2"/>
    <x v="6"/>
    <x v="318"/>
    <m/>
    <x v="0"/>
    <n v="20389"/>
    <x v="1"/>
    <n v="220"/>
  </r>
  <r>
    <n v="726"/>
    <x v="0"/>
    <x v="7"/>
    <x v="260"/>
    <m/>
    <x v="0"/>
    <n v="50186"/>
    <x v="1"/>
    <n v="151"/>
  </r>
  <r>
    <n v="727"/>
    <x v="1"/>
    <x v="0"/>
    <x v="421"/>
    <m/>
    <x v="0"/>
    <n v="40291"/>
    <x v="0"/>
    <n v="487"/>
  </r>
  <r>
    <n v="728"/>
    <x v="2"/>
    <x v="1"/>
    <x v="422"/>
    <m/>
    <x v="0"/>
    <n v="55829"/>
    <x v="0"/>
    <n v="286"/>
  </r>
  <r>
    <n v="729"/>
    <x v="0"/>
    <x v="2"/>
    <x v="149"/>
    <m/>
    <x v="0"/>
    <n v="31465"/>
    <x v="0"/>
    <n v="320"/>
  </r>
  <r>
    <n v="730"/>
    <x v="1"/>
    <x v="3"/>
    <x v="402"/>
    <m/>
    <x v="0"/>
    <n v="15738"/>
    <x v="0"/>
    <n v="175"/>
  </r>
  <r>
    <n v="731"/>
    <x v="2"/>
    <x v="4"/>
    <x v="226"/>
    <m/>
    <x v="0"/>
    <n v="30808"/>
    <x v="1"/>
    <n v="613"/>
  </r>
  <r>
    <n v="732"/>
    <x v="0"/>
    <x v="5"/>
    <x v="423"/>
    <m/>
    <x v="0"/>
    <n v="30563"/>
    <x v="1"/>
    <n v="605"/>
  </r>
  <r>
    <n v="733"/>
    <x v="1"/>
    <x v="6"/>
    <x v="424"/>
    <d v="2016-11-19T00:00:00"/>
    <x v="1"/>
    <n v="56453"/>
    <x v="1"/>
    <n v="67"/>
  </r>
  <r>
    <n v="734"/>
    <x v="2"/>
    <x v="7"/>
    <x v="327"/>
    <m/>
    <x v="2"/>
    <n v="25068"/>
    <x v="1"/>
    <n v="552"/>
  </r>
  <r>
    <n v="735"/>
    <x v="0"/>
    <x v="0"/>
    <x v="258"/>
    <m/>
    <x v="0"/>
    <n v="36579"/>
    <x v="0"/>
    <n v="115"/>
  </r>
  <r>
    <n v="736"/>
    <x v="1"/>
    <x v="1"/>
    <x v="145"/>
    <m/>
    <x v="0"/>
    <n v="39222"/>
    <x v="0"/>
    <n v="601"/>
  </r>
  <r>
    <n v="737"/>
    <x v="2"/>
    <x v="2"/>
    <x v="425"/>
    <m/>
    <x v="0"/>
    <n v="20485"/>
    <x v="0"/>
    <n v="489"/>
  </r>
  <r>
    <n v="738"/>
    <x v="0"/>
    <x v="3"/>
    <x v="116"/>
    <m/>
    <x v="0"/>
    <n v="13146"/>
    <x v="0"/>
    <n v="212"/>
  </r>
  <r>
    <n v="739"/>
    <x v="1"/>
    <x v="4"/>
    <x v="256"/>
    <m/>
    <x v="0"/>
    <n v="21297"/>
    <x v="1"/>
    <n v="599"/>
  </r>
  <r>
    <n v="740"/>
    <x v="2"/>
    <x v="5"/>
    <x v="241"/>
    <m/>
    <x v="0"/>
    <n v="31628"/>
    <x v="1"/>
    <n v="177"/>
  </r>
  <r>
    <n v="741"/>
    <x v="0"/>
    <x v="6"/>
    <x v="426"/>
    <m/>
    <x v="0"/>
    <n v="32667"/>
    <x v="1"/>
    <n v="176"/>
  </r>
  <r>
    <n v="742"/>
    <x v="1"/>
    <x v="7"/>
    <x v="36"/>
    <m/>
    <x v="0"/>
    <n v="44581"/>
    <x v="1"/>
    <n v="416"/>
  </r>
  <r>
    <n v="743"/>
    <x v="2"/>
    <x v="0"/>
    <x v="8"/>
    <m/>
    <x v="0"/>
    <n v="42359"/>
    <x v="0"/>
    <n v="358"/>
  </r>
  <r>
    <n v="744"/>
    <x v="0"/>
    <x v="1"/>
    <x v="35"/>
    <m/>
    <x v="0"/>
    <n v="2175"/>
    <x v="0"/>
    <n v="503"/>
  </r>
  <r>
    <n v="745"/>
    <x v="1"/>
    <x v="2"/>
    <x v="2"/>
    <m/>
    <x v="0"/>
    <n v="58610"/>
    <x v="0"/>
    <n v="213"/>
  </r>
  <r>
    <n v="746"/>
    <x v="2"/>
    <x v="3"/>
    <x v="427"/>
    <d v="2016-03-19T00:00:00"/>
    <x v="1"/>
    <n v="46245"/>
    <x v="0"/>
    <n v="33"/>
  </r>
  <r>
    <n v="747"/>
    <x v="0"/>
    <x v="4"/>
    <x v="246"/>
    <m/>
    <x v="2"/>
    <n v="7412"/>
    <x v="1"/>
    <n v="131"/>
  </r>
  <r>
    <n v="748"/>
    <x v="1"/>
    <x v="5"/>
    <x v="428"/>
    <m/>
    <x v="0"/>
    <n v="2526"/>
    <x v="1"/>
    <n v="150"/>
  </r>
  <r>
    <n v="749"/>
    <x v="2"/>
    <x v="6"/>
    <x v="384"/>
    <m/>
    <x v="0"/>
    <n v="12727"/>
    <x v="1"/>
    <n v="591"/>
  </r>
  <r>
    <n v="750"/>
    <x v="0"/>
    <x v="7"/>
    <x v="170"/>
    <m/>
    <x v="0"/>
    <n v="25435"/>
    <x v="1"/>
    <n v="562"/>
  </r>
  <r>
    <n v="751"/>
    <x v="1"/>
    <x v="0"/>
    <x v="324"/>
    <m/>
    <x v="0"/>
    <n v="24825"/>
    <x v="0"/>
    <n v="456"/>
  </r>
  <r>
    <n v="752"/>
    <x v="2"/>
    <x v="1"/>
    <x v="429"/>
    <m/>
    <x v="0"/>
    <n v="39333"/>
    <x v="0"/>
    <n v="200"/>
  </r>
  <r>
    <n v="753"/>
    <x v="0"/>
    <x v="2"/>
    <x v="202"/>
    <m/>
    <x v="0"/>
    <n v="14047"/>
    <x v="0"/>
    <n v="413"/>
  </r>
  <r>
    <n v="754"/>
    <x v="1"/>
    <x v="3"/>
    <x v="430"/>
    <m/>
    <x v="0"/>
    <n v="15676"/>
    <x v="0"/>
    <n v="353"/>
  </r>
  <r>
    <n v="755"/>
    <x v="2"/>
    <x v="4"/>
    <x v="244"/>
    <m/>
    <x v="0"/>
    <n v="18476"/>
    <x v="1"/>
    <n v="132"/>
  </r>
  <r>
    <n v="756"/>
    <x v="0"/>
    <x v="5"/>
    <x v="15"/>
    <m/>
    <x v="0"/>
    <n v="55136"/>
    <x v="1"/>
    <n v="496"/>
  </r>
  <r>
    <n v="757"/>
    <x v="1"/>
    <x v="6"/>
    <x v="40"/>
    <m/>
    <x v="0"/>
    <n v="51506"/>
    <x v="1"/>
    <n v="434"/>
  </r>
  <r>
    <n v="758"/>
    <x v="2"/>
    <x v="7"/>
    <x v="32"/>
    <m/>
    <x v="0"/>
    <n v="701"/>
    <x v="1"/>
    <n v="332"/>
  </r>
  <r>
    <n v="759"/>
    <x v="0"/>
    <x v="0"/>
    <x v="431"/>
    <d v="2017-12-08T00:00:00"/>
    <x v="1"/>
    <n v="39132"/>
    <x v="0"/>
    <n v="65"/>
  </r>
  <r>
    <n v="760"/>
    <x v="1"/>
    <x v="1"/>
    <x v="40"/>
    <m/>
    <x v="2"/>
    <n v="53491"/>
    <x v="0"/>
    <n v="434"/>
  </r>
  <r>
    <n v="761"/>
    <x v="2"/>
    <x v="2"/>
    <x v="432"/>
    <m/>
    <x v="0"/>
    <n v="4868"/>
    <x v="0"/>
    <n v="264"/>
  </r>
  <r>
    <n v="762"/>
    <x v="0"/>
    <x v="3"/>
    <x v="433"/>
    <m/>
    <x v="0"/>
    <n v="7332"/>
    <x v="0"/>
    <n v="172"/>
  </r>
  <r>
    <n v="763"/>
    <x v="1"/>
    <x v="4"/>
    <x v="434"/>
    <m/>
    <x v="0"/>
    <n v="11028"/>
    <x v="1"/>
    <n v="267"/>
  </r>
  <r>
    <n v="764"/>
    <x v="2"/>
    <x v="5"/>
    <x v="414"/>
    <m/>
    <x v="0"/>
    <n v="21831"/>
    <x v="1"/>
    <n v="371"/>
  </r>
  <r>
    <n v="765"/>
    <x v="0"/>
    <x v="6"/>
    <x v="435"/>
    <m/>
    <x v="0"/>
    <n v="46708"/>
    <x v="1"/>
    <n v="452"/>
  </r>
  <r>
    <n v="766"/>
    <x v="1"/>
    <x v="7"/>
    <x v="436"/>
    <m/>
    <x v="0"/>
    <n v="3702"/>
    <x v="1"/>
    <n v="314"/>
  </r>
  <r>
    <n v="767"/>
    <x v="2"/>
    <x v="0"/>
    <x v="194"/>
    <m/>
    <x v="0"/>
    <n v="52760"/>
    <x v="0"/>
    <n v="499"/>
  </r>
  <r>
    <n v="768"/>
    <x v="0"/>
    <x v="1"/>
    <x v="300"/>
    <m/>
    <x v="0"/>
    <n v="51046"/>
    <x v="0"/>
    <n v="259"/>
  </r>
  <r>
    <n v="769"/>
    <x v="1"/>
    <x v="2"/>
    <x v="299"/>
    <m/>
    <x v="0"/>
    <n v="44130"/>
    <x v="0"/>
    <n v="555"/>
  </r>
  <r>
    <n v="770"/>
    <x v="2"/>
    <x v="3"/>
    <x v="437"/>
    <m/>
    <x v="0"/>
    <n v="36605"/>
    <x v="0"/>
    <n v="141"/>
  </r>
  <r>
    <n v="771"/>
    <x v="0"/>
    <x v="4"/>
    <x v="438"/>
    <m/>
    <x v="0"/>
    <n v="9392"/>
    <x v="1"/>
    <n v="522"/>
  </r>
  <r>
    <n v="772"/>
    <x v="1"/>
    <x v="5"/>
    <x v="439"/>
    <d v="2017-08-12T00:00:00"/>
    <x v="1"/>
    <n v="43143"/>
    <x v="1"/>
    <n v="55"/>
  </r>
  <r>
    <n v="773"/>
    <x v="2"/>
    <x v="6"/>
    <x v="257"/>
    <m/>
    <x v="2"/>
    <n v="45876"/>
    <x v="1"/>
    <n v="242"/>
  </r>
  <r>
    <n v="774"/>
    <x v="0"/>
    <x v="7"/>
    <x v="440"/>
    <m/>
    <x v="0"/>
    <n v="41716"/>
    <x v="1"/>
    <n v="297"/>
  </r>
  <r>
    <n v="775"/>
    <x v="1"/>
    <x v="0"/>
    <x v="336"/>
    <m/>
    <x v="0"/>
    <n v="44070"/>
    <x v="0"/>
    <n v="189"/>
  </r>
  <r>
    <n v="776"/>
    <x v="2"/>
    <x v="1"/>
    <x v="441"/>
    <m/>
    <x v="0"/>
    <n v="11226"/>
    <x v="0"/>
    <n v="283"/>
  </r>
  <r>
    <n v="777"/>
    <x v="0"/>
    <x v="2"/>
    <x v="442"/>
    <m/>
    <x v="0"/>
    <n v="3123"/>
    <x v="0"/>
    <n v="414"/>
  </r>
  <r>
    <n v="778"/>
    <x v="1"/>
    <x v="3"/>
    <x v="186"/>
    <m/>
    <x v="0"/>
    <n v="20850"/>
    <x v="0"/>
    <n v="257"/>
  </r>
  <r>
    <n v="779"/>
    <x v="2"/>
    <x v="4"/>
    <x v="443"/>
    <m/>
    <x v="0"/>
    <n v="18699"/>
    <x v="1"/>
    <n v="287"/>
  </r>
  <r>
    <n v="780"/>
    <x v="0"/>
    <x v="5"/>
    <x v="444"/>
    <m/>
    <x v="0"/>
    <n v="16718"/>
    <x v="1"/>
    <n v="610"/>
  </r>
  <r>
    <n v="781"/>
    <x v="1"/>
    <x v="6"/>
    <x v="445"/>
    <m/>
    <x v="0"/>
    <n v="21582"/>
    <x v="1"/>
    <n v="331"/>
  </r>
  <r>
    <n v="782"/>
    <x v="2"/>
    <x v="7"/>
    <x v="15"/>
    <m/>
    <x v="0"/>
    <n v="8126"/>
    <x v="1"/>
    <n v="496"/>
  </r>
  <r>
    <n v="783"/>
    <x v="0"/>
    <x v="0"/>
    <x v="357"/>
    <m/>
    <x v="0"/>
    <n v="6494"/>
    <x v="0"/>
    <n v="134"/>
  </r>
  <r>
    <n v="784"/>
    <x v="1"/>
    <x v="1"/>
    <x v="446"/>
    <m/>
    <x v="0"/>
    <n v="23706"/>
    <x v="0"/>
    <n v="306"/>
  </r>
  <r>
    <n v="785"/>
    <x v="2"/>
    <x v="2"/>
    <x v="447"/>
    <d v="2017-03-22T00:00:00"/>
    <x v="1"/>
    <n v="36967"/>
    <x v="0"/>
    <n v="36"/>
  </r>
  <r>
    <n v="786"/>
    <x v="0"/>
    <x v="3"/>
    <x v="100"/>
    <m/>
    <x v="2"/>
    <n v="59446"/>
    <x v="0"/>
    <n v="262"/>
  </r>
  <r>
    <n v="787"/>
    <x v="1"/>
    <x v="4"/>
    <x v="448"/>
    <m/>
    <x v="0"/>
    <n v="20726"/>
    <x v="1"/>
    <n v="269"/>
  </r>
  <r>
    <n v="788"/>
    <x v="2"/>
    <x v="5"/>
    <x v="150"/>
    <m/>
    <x v="0"/>
    <n v="52031"/>
    <x v="1"/>
    <n v="550"/>
  </r>
  <r>
    <n v="789"/>
    <x v="0"/>
    <x v="6"/>
    <x v="449"/>
    <m/>
    <x v="0"/>
    <n v="52264"/>
    <x v="1"/>
    <n v="182"/>
  </r>
  <r>
    <n v="790"/>
    <x v="1"/>
    <x v="7"/>
    <x v="279"/>
    <m/>
    <x v="0"/>
    <n v="22647"/>
    <x v="1"/>
    <n v="102"/>
  </r>
  <r>
    <n v="791"/>
    <x v="2"/>
    <x v="0"/>
    <x v="205"/>
    <m/>
    <x v="0"/>
    <n v="39617"/>
    <x v="0"/>
    <n v="556"/>
  </r>
  <r>
    <n v="792"/>
    <x v="0"/>
    <x v="1"/>
    <x v="450"/>
    <m/>
    <x v="0"/>
    <n v="4970"/>
    <x v="0"/>
    <n v="212"/>
  </r>
  <r>
    <n v="793"/>
    <x v="1"/>
    <x v="2"/>
    <x v="451"/>
    <m/>
    <x v="0"/>
    <n v="22870"/>
    <x v="0"/>
    <n v="178"/>
  </r>
  <r>
    <n v="794"/>
    <x v="2"/>
    <x v="3"/>
    <x v="170"/>
    <m/>
    <x v="0"/>
    <n v="18984"/>
    <x v="0"/>
    <n v="562"/>
  </r>
  <r>
    <n v="795"/>
    <x v="0"/>
    <x v="4"/>
    <x v="452"/>
    <m/>
    <x v="0"/>
    <n v="51190"/>
    <x v="1"/>
    <n v="247"/>
  </r>
  <r>
    <n v="796"/>
    <x v="1"/>
    <x v="5"/>
    <x v="453"/>
    <m/>
    <x v="0"/>
    <n v="40746"/>
    <x v="1"/>
    <n v="437"/>
  </r>
  <r>
    <n v="797"/>
    <x v="2"/>
    <x v="6"/>
    <x v="22"/>
    <m/>
    <x v="0"/>
    <n v="17959"/>
    <x v="1"/>
    <n v="289"/>
  </r>
  <r>
    <n v="798"/>
    <x v="0"/>
    <x v="7"/>
    <x v="454"/>
    <d v="2018-03-02T00:00:00"/>
    <x v="1"/>
    <n v="11786"/>
    <x v="1"/>
    <n v="75"/>
  </r>
  <r>
    <n v="799"/>
    <x v="1"/>
    <x v="0"/>
    <x v="455"/>
    <m/>
    <x v="2"/>
    <n v="21707"/>
    <x v="0"/>
    <n v="362"/>
  </r>
  <r>
    <n v="800"/>
    <x v="2"/>
    <x v="1"/>
    <x v="279"/>
    <m/>
    <x v="0"/>
    <n v="19473"/>
    <x v="0"/>
    <n v="102"/>
  </r>
  <r>
    <n v="801"/>
    <x v="0"/>
    <x v="2"/>
    <x v="456"/>
    <m/>
    <x v="0"/>
    <n v="14675"/>
    <x v="0"/>
    <n v="377"/>
  </r>
  <r>
    <n v="802"/>
    <x v="1"/>
    <x v="3"/>
    <x v="316"/>
    <m/>
    <x v="0"/>
    <n v="54084"/>
    <x v="0"/>
    <n v="207"/>
  </r>
  <r>
    <n v="803"/>
    <x v="2"/>
    <x v="4"/>
    <x v="457"/>
    <m/>
    <x v="0"/>
    <n v="20542"/>
    <x v="1"/>
    <n v="539"/>
  </r>
  <r>
    <n v="804"/>
    <x v="0"/>
    <x v="5"/>
    <x v="30"/>
    <m/>
    <x v="0"/>
    <n v="10031"/>
    <x v="1"/>
    <n v="497"/>
  </r>
  <r>
    <n v="805"/>
    <x v="1"/>
    <x v="6"/>
    <x v="193"/>
    <m/>
    <x v="0"/>
    <n v="22958"/>
    <x v="1"/>
    <n v="562"/>
  </r>
  <r>
    <n v="806"/>
    <x v="2"/>
    <x v="7"/>
    <x v="458"/>
    <m/>
    <x v="0"/>
    <n v="20281"/>
    <x v="1"/>
    <n v="130"/>
  </r>
  <r>
    <n v="807"/>
    <x v="0"/>
    <x v="0"/>
    <x v="211"/>
    <m/>
    <x v="0"/>
    <n v="37351"/>
    <x v="0"/>
    <n v="512"/>
  </r>
  <r>
    <n v="808"/>
    <x v="1"/>
    <x v="1"/>
    <x v="459"/>
    <m/>
    <x v="0"/>
    <n v="36743"/>
    <x v="0"/>
    <n v="502"/>
  </r>
  <r>
    <n v="809"/>
    <x v="2"/>
    <x v="2"/>
    <x v="163"/>
    <m/>
    <x v="0"/>
    <n v="46569"/>
    <x v="0"/>
    <n v="287"/>
  </r>
  <r>
    <n v="810"/>
    <x v="0"/>
    <x v="3"/>
    <x v="249"/>
    <m/>
    <x v="0"/>
    <n v="10832"/>
    <x v="0"/>
    <n v="572"/>
  </r>
  <r>
    <n v="811"/>
    <x v="1"/>
    <x v="4"/>
    <x v="341"/>
    <d v="2016-04-14T00:00:00"/>
    <x v="1"/>
    <n v="23968"/>
    <x v="1"/>
    <n v="32"/>
  </r>
  <r>
    <n v="812"/>
    <x v="2"/>
    <x v="5"/>
    <x v="460"/>
    <m/>
    <x v="2"/>
    <n v="52091"/>
    <x v="1"/>
    <n v="433"/>
  </r>
  <r>
    <n v="813"/>
    <x v="0"/>
    <x v="6"/>
    <x v="461"/>
    <m/>
    <x v="0"/>
    <n v="20878"/>
    <x v="1"/>
    <n v="615"/>
  </r>
  <r>
    <n v="814"/>
    <x v="1"/>
    <x v="7"/>
    <x v="444"/>
    <m/>
    <x v="0"/>
    <n v="16259"/>
    <x v="1"/>
    <n v="610"/>
  </r>
  <r>
    <n v="815"/>
    <x v="2"/>
    <x v="0"/>
    <x v="204"/>
    <m/>
    <x v="0"/>
    <n v="3953"/>
    <x v="0"/>
    <n v="357"/>
  </r>
  <r>
    <n v="816"/>
    <x v="0"/>
    <x v="1"/>
    <x v="462"/>
    <m/>
    <x v="0"/>
    <n v="15917"/>
    <x v="0"/>
    <n v="566"/>
  </r>
  <r>
    <n v="817"/>
    <x v="1"/>
    <x v="2"/>
    <x v="38"/>
    <m/>
    <x v="0"/>
    <n v="29862"/>
    <x v="0"/>
    <n v="392"/>
  </r>
  <r>
    <n v="818"/>
    <x v="2"/>
    <x v="3"/>
    <x v="456"/>
    <m/>
    <x v="0"/>
    <n v="8245"/>
    <x v="0"/>
    <n v="377"/>
  </r>
  <r>
    <n v="819"/>
    <x v="0"/>
    <x v="4"/>
    <x v="463"/>
    <m/>
    <x v="0"/>
    <n v="17462"/>
    <x v="1"/>
    <n v="513"/>
  </r>
  <r>
    <n v="820"/>
    <x v="1"/>
    <x v="5"/>
    <x v="240"/>
    <m/>
    <x v="0"/>
    <n v="17716"/>
    <x v="1"/>
    <n v="117"/>
  </r>
  <r>
    <n v="821"/>
    <x v="2"/>
    <x v="6"/>
    <x v="464"/>
    <m/>
    <x v="0"/>
    <n v="2097"/>
    <x v="1"/>
    <n v="472"/>
  </r>
  <r>
    <n v="822"/>
    <x v="0"/>
    <x v="7"/>
    <x v="268"/>
    <m/>
    <x v="0"/>
    <n v="49194"/>
    <x v="1"/>
    <n v="449"/>
  </r>
  <r>
    <n v="823"/>
    <x v="1"/>
    <x v="0"/>
    <x v="465"/>
    <m/>
    <x v="0"/>
    <n v="33240"/>
    <x v="0"/>
    <n v="570"/>
  </r>
  <r>
    <n v="824"/>
    <x v="2"/>
    <x v="1"/>
    <x v="466"/>
    <d v="2017-03-23T00:00:00"/>
    <x v="1"/>
    <n v="2767"/>
    <x v="0"/>
    <n v="93"/>
  </r>
  <r>
    <n v="825"/>
    <x v="0"/>
    <x v="2"/>
    <x v="82"/>
    <m/>
    <x v="2"/>
    <n v="30750"/>
    <x v="0"/>
    <n v="192"/>
  </r>
  <r>
    <n v="826"/>
    <x v="1"/>
    <x v="3"/>
    <x v="467"/>
    <m/>
    <x v="0"/>
    <n v="4060"/>
    <x v="0"/>
    <n v="215"/>
  </r>
  <r>
    <n v="827"/>
    <x v="2"/>
    <x v="4"/>
    <x v="468"/>
    <m/>
    <x v="0"/>
    <n v="25735"/>
    <x v="1"/>
    <n v="581"/>
  </r>
  <r>
    <n v="828"/>
    <x v="0"/>
    <x v="5"/>
    <x v="174"/>
    <m/>
    <x v="0"/>
    <n v="34220"/>
    <x v="1"/>
    <n v="182"/>
  </r>
  <r>
    <n v="829"/>
    <x v="1"/>
    <x v="6"/>
    <x v="469"/>
    <m/>
    <x v="0"/>
    <n v="32271"/>
    <x v="1"/>
    <n v="316"/>
  </r>
  <r>
    <n v="830"/>
    <x v="2"/>
    <x v="7"/>
    <x v="412"/>
    <m/>
    <x v="0"/>
    <n v="52429"/>
    <x v="1"/>
    <n v="547"/>
  </r>
  <r>
    <n v="831"/>
    <x v="0"/>
    <x v="0"/>
    <x v="311"/>
    <m/>
    <x v="0"/>
    <n v="59550"/>
    <x v="0"/>
    <n v="386"/>
  </r>
  <r>
    <n v="832"/>
    <x v="1"/>
    <x v="1"/>
    <x v="470"/>
    <m/>
    <x v="0"/>
    <n v="9572"/>
    <x v="0"/>
    <n v="507"/>
  </r>
  <r>
    <n v="833"/>
    <x v="2"/>
    <x v="2"/>
    <x v="371"/>
    <m/>
    <x v="0"/>
    <n v="24866"/>
    <x v="0"/>
    <n v="603"/>
  </r>
  <r>
    <n v="834"/>
    <x v="0"/>
    <x v="3"/>
    <x v="471"/>
    <m/>
    <x v="0"/>
    <n v="55422"/>
    <x v="0"/>
    <n v="142"/>
  </r>
  <r>
    <n v="835"/>
    <x v="1"/>
    <x v="4"/>
    <x v="472"/>
    <m/>
    <x v="0"/>
    <n v="637"/>
    <x v="1"/>
    <n v="462"/>
  </r>
  <r>
    <n v="836"/>
    <x v="2"/>
    <x v="5"/>
    <x v="473"/>
    <m/>
    <x v="0"/>
    <n v="1517"/>
    <x v="1"/>
    <n v="261"/>
  </r>
  <r>
    <n v="837"/>
    <x v="0"/>
    <x v="6"/>
    <x v="474"/>
    <d v="2016-12-05T00:00:00"/>
    <x v="1"/>
    <n v="23772"/>
    <x v="1"/>
    <n v="31"/>
  </r>
  <r>
    <n v="838"/>
    <x v="1"/>
    <x v="7"/>
    <x v="421"/>
    <m/>
    <x v="2"/>
    <n v="47455"/>
    <x v="1"/>
    <n v="487"/>
  </r>
  <r>
    <n v="839"/>
    <x v="2"/>
    <x v="0"/>
    <x v="88"/>
    <m/>
    <x v="0"/>
    <n v="33507"/>
    <x v="0"/>
    <n v="322"/>
  </r>
  <r>
    <n v="840"/>
    <x v="0"/>
    <x v="1"/>
    <x v="475"/>
    <m/>
    <x v="0"/>
    <n v="33391"/>
    <x v="0"/>
    <n v="336"/>
  </r>
  <r>
    <n v="841"/>
    <x v="1"/>
    <x v="2"/>
    <x v="322"/>
    <m/>
    <x v="0"/>
    <n v="25934"/>
    <x v="0"/>
    <n v="612"/>
  </r>
  <r>
    <n v="842"/>
    <x v="2"/>
    <x v="3"/>
    <x v="30"/>
    <m/>
    <x v="0"/>
    <n v="52669"/>
    <x v="0"/>
    <n v="497"/>
  </r>
  <r>
    <n v="843"/>
    <x v="0"/>
    <x v="4"/>
    <x v="476"/>
    <m/>
    <x v="0"/>
    <n v="56611"/>
    <x v="1"/>
    <n v="181"/>
  </r>
  <r>
    <n v="844"/>
    <x v="1"/>
    <x v="5"/>
    <x v="477"/>
    <m/>
    <x v="0"/>
    <n v="12581"/>
    <x v="1"/>
    <n v="537"/>
  </r>
  <r>
    <n v="845"/>
    <x v="2"/>
    <x v="6"/>
    <x v="478"/>
    <m/>
    <x v="0"/>
    <n v="13736"/>
    <x v="1"/>
    <n v="327"/>
  </r>
  <r>
    <n v="846"/>
    <x v="0"/>
    <x v="7"/>
    <x v="189"/>
    <m/>
    <x v="0"/>
    <n v="8348"/>
    <x v="1"/>
    <n v="517"/>
  </r>
  <r>
    <n v="847"/>
    <x v="1"/>
    <x v="0"/>
    <x v="244"/>
    <m/>
    <x v="0"/>
    <n v="37598"/>
    <x v="0"/>
    <n v="132"/>
  </r>
  <r>
    <n v="848"/>
    <x v="2"/>
    <x v="1"/>
    <x v="208"/>
    <m/>
    <x v="0"/>
    <n v="49249"/>
    <x v="0"/>
    <n v="533"/>
  </r>
  <r>
    <n v="849"/>
    <x v="0"/>
    <x v="2"/>
    <x v="404"/>
    <m/>
    <x v="0"/>
    <n v="13395"/>
    <x v="0"/>
    <n v="267"/>
  </r>
  <r>
    <n v="850"/>
    <x v="1"/>
    <x v="3"/>
    <x v="44"/>
    <d v="2017-02-25T00:00:00"/>
    <x v="1"/>
    <n v="15906"/>
    <x v="0"/>
    <n v="63"/>
  </r>
  <r>
    <n v="851"/>
    <x v="2"/>
    <x v="4"/>
    <x v="479"/>
    <m/>
    <x v="2"/>
    <n v="52287"/>
    <x v="1"/>
    <n v="432"/>
  </r>
  <r>
    <n v="852"/>
    <x v="0"/>
    <x v="5"/>
    <x v="480"/>
    <m/>
    <x v="0"/>
    <n v="34456"/>
    <x v="1"/>
    <n v="422"/>
  </r>
  <r>
    <n v="853"/>
    <x v="1"/>
    <x v="6"/>
    <x v="163"/>
    <m/>
    <x v="0"/>
    <n v="23576"/>
    <x v="1"/>
    <n v="287"/>
  </r>
  <r>
    <n v="854"/>
    <x v="2"/>
    <x v="7"/>
    <x v="481"/>
    <m/>
    <x v="0"/>
    <n v="27482"/>
    <x v="1"/>
    <n v="113"/>
  </r>
  <r>
    <n v="855"/>
    <x v="0"/>
    <x v="0"/>
    <x v="482"/>
    <m/>
    <x v="0"/>
    <n v="53349"/>
    <x v="0"/>
    <n v="378"/>
  </r>
  <r>
    <n v="856"/>
    <x v="1"/>
    <x v="1"/>
    <x v="101"/>
    <m/>
    <x v="0"/>
    <n v="44151"/>
    <x v="0"/>
    <n v="297"/>
  </r>
  <r>
    <n v="857"/>
    <x v="2"/>
    <x v="2"/>
    <x v="291"/>
    <m/>
    <x v="0"/>
    <n v="34092"/>
    <x v="0"/>
    <n v="112"/>
  </r>
  <r>
    <n v="858"/>
    <x v="0"/>
    <x v="3"/>
    <x v="311"/>
    <m/>
    <x v="0"/>
    <n v="56678"/>
    <x v="0"/>
    <n v="386"/>
  </r>
  <r>
    <n v="859"/>
    <x v="1"/>
    <x v="4"/>
    <x v="483"/>
    <m/>
    <x v="0"/>
    <n v="29939"/>
    <x v="1"/>
    <n v="235"/>
  </r>
  <r>
    <n v="860"/>
    <x v="2"/>
    <x v="5"/>
    <x v="484"/>
    <m/>
    <x v="0"/>
    <n v="30040"/>
    <x v="1"/>
    <n v="332"/>
  </r>
  <r>
    <n v="861"/>
    <x v="0"/>
    <x v="6"/>
    <x v="316"/>
    <m/>
    <x v="0"/>
    <n v="45274"/>
    <x v="1"/>
    <n v="207"/>
  </r>
  <r>
    <n v="862"/>
    <x v="1"/>
    <x v="7"/>
    <x v="485"/>
    <m/>
    <x v="0"/>
    <n v="13192"/>
    <x v="1"/>
    <n v="357"/>
  </r>
  <r>
    <n v="863"/>
    <x v="2"/>
    <x v="0"/>
    <x v="486"/>
    <d v="2016-08-22T00:00:00"/>
    <x v="1"/>
    <n v="39809"/>
    <x v="0"/>
    <n v="46"/>
  </r>
  <r>
    <n v="864"/>
    <x v="0"/>
    <x v="1"/>
    <x v="5"/>
    <m/>
    <x v="2"/>
    <n v="59384"/>
    <x v="0"/>
    <n v="376"/>
  </r>
  <r>
    <n v="865"/>
    <x v="1"/>
    <x v="2"/>
    <x v="197"/>
    <m/>
    <x v="0"/>
    <n v="13182"/>
    <x v="0"/>
    <n v="207"/>
  </r>
  <r>
    <n v="866"/>
    <x v="2"/>
    <x v="3"/>
    <x v="132"/>
    <m/>
    <x v="0"/>
    <n v="28398"/>
    <x v="0"/>
    <n v="167"/>
  </r>
  <r>
    <n v="867"/>
    <x v="0"/>
    <x v="4"/>
    <x v="487"/>
    <m/>
    <x v="0"/>
    <n v="11107"/>
    <x v="1"/>
    <n v="347"/>
  </r>
  <r>
    <n v="868"/>
    <x v="1"/>
    <x v="5"/>
    <x v="488"/>
    <m/>
    <x v="0"/>
    <n v="51413"/>
    <x v="1"/>
    <n v="402"/>
  </r>
  <r>
    <n v="869"/>
    <x v="2"/>
    <x v="6"/>
    <x v="489"/>
    <m/>
    <x v="0"/>
    <n v="23952"/>
    <x v="1"/>
    <n v="132"/>
  </r>
  <r>
    <n v="870"/>
    <x v="0"/>
    <x v="7"/>
    <x v="490"/>
    <m/>
    <x v="0"/>
    <n v="3615"/>
    <x v="1"/>
    <n v="242"/>
  </r>
  <r>
    <n v="871"/>
    <x v="1"/>
    <x v="0"/>
    <x v="491"/>
    <m/>
    <x v="0"/>
    <n v="43118"/>
    <x v="0"/>
    <n v="147"/>
  </r>
  <r>
    <n v="872"/>
    <x v="2"/>
    <x v="1"/>
    <x v="492"/>
    <m/>
    <x v="0"/>
    <n v="33024"/>
    <x v="0"/>
    <n v="522"/>
  </r>
  <r>
    <n v="873"/>
    <x v="0"/>
    <x v="2"/>
    <x v="493"/>
    <m/>
    <x v="0"/>
    <n v="39050"/>
    <x v="0"/>
    <n v="482"/>
  </r>
  <r>
    <n v="874"/>
    <x v="1"/>
    <x v="3"/>
    <x v="179"/>
    <m/>
    <x v="0"/>
    <n v="47644"/>
    <x v="0"/>
    <n v="402"/>
  </r>
  <r>
    <n v="875"/>
    <x v="2"/>
    <x v="4"/>
    <x v="11"/>
    <m/>
    <x v="0"/>
    <n v="31843"/>
    <x v="1"/>
    <n v="504"/>
  </r>
  <r>
    <n v="876"/>
    <x v="0"/>
    <x v="5"/>
    <x v="240"/>
    <d v="2018-03-25T00:00:00"/>
    <x v="1"/>
    <n v="23944"/>
    <x v="1"/>
    <n v="80"/>
  </r>
  <r>
    <n v="877"/>
    <x v="1"/>
    <x v="6"/>
    <x v="244"/>
    <m/>
    <x v="2"/>
    <n v="52660"/>
    <x v="1"/>
    <n v="132"/>
  </r>
  <r>
    <n v="878"/>
    <x v="2"/>
    <x v="7"/>
    <x v="494"/>
    <m/>
    <x v="0"/>
    <n v="40736"/>
    <x v="1"/>
    <n v="618"/>
  </r>
  <r>
    <n v="879"/>
    <x v="0"/>
    <x v="0"/>
    <x v="338"/>
    <m/>
    <x v="0"/>
    <n v="30144"/>
    <x v="0"/>
    <n v="101"/>
  </r>
  <r>
    <n v="880"/>
    <x v="1"/>
    <x v="1"/>
    <x v="495"/>
    <m/>
    <x v="0"/>
    <n v="14639"/>
    <x v="0"/>
    <n v="382"/>
  </r>
  <r>
    <n v="881"/>
    <x v="2"/>
    <x v="2"/>
    <x v="237"/>
    <m/>
    <x v="0"/>
    <n v="4720"/>
    <x v="0"/>
    <n v="296"/>
  </r>
  <r>
    <n v="882"/>
    <x v="0"/>
    <x v="3"/>
    <x v="315"/>
    <m/>
    <x v="0"/>
    <n v="29344"/>
    <x v="0"/>
    <n v="165"/>
  </r>
  <r>
    <n v="883"/>
    <x v="1"/>
    <x v="4"/>
    <x v="132"/>
    <m/>
    <x v="0"/>
    <n v="12532"/>
    <x v="1"/>
    <n v="167"/>
  </r>
  <r>
    <n v="884"/>
    <x v="2"/>
    <x v="5"/>
    <x v="396"/>
    <m/>
    <x v="0"/>
    <n v="15212"/>
    <x v="1"/>
    <n v="472"/>
  </r>
  <r>
    <n v="885"/>
    <x v="0"/>
    <x v="6"/>
    <x v="334"/>
    <m/>
    <x v="0"/>
    <n v="25190"/>
    <x v="1"/>
    <n v="347"/>
  </r>
  <r>
    <n v="886"/>
    <x v="1"/>
    <x v="7"/>
    <x v="178"/>
    <m/>
    <x v="0"/>
    <n v="53480"/>
    <x v="1"/>
    <n v="222"/>
  </r>
  <r>
    <n v="887"/>
    <x v="2"/>
    <x v="0"/>
    <x v="496"/>
    <m/>
    <x v="0"/>
    <n v="5145"/>
    <x v="0"/>
    <n v="292"/>
  </r>
  <r>
    <n v="888"/>
    <x v="0"/>
    <x v="1"/>
    <x v="497"/>
    <m/>
    <x v="0"/>
    <n v="59758"/>
    <x v="0"/>
    <n v="498"/>
  </r>
  <r>
    <n v="889"/>
    <x v="1"/>
    <x v="2"/>
    <x v="498"/>
    <d v="2017-10-16T00:00:00"/>
    <x v="1"/>
    <n v="26867"/>
    <x v="0"/>
    <n v="56"/>
  </r>
  <r>
    <n v="890"/>
    <x v="2"/>
    <x v="3"/>
    <x v="74"/>
    <m/>
    <x v="2"/>
    <n v="19739"/>
    <x v="0"/>
    <n v="597"/>
  </r>
  <r>
    <n v="891"/>
    <x v="0"/>
    <x v="4"/>
    <x v="222"/>
    <m/>
    <x v="0"/>
    <n v="46634"/>
    <x v="1"/>
    <n v="453"/>
  </r>
  <r>
    <n v="892"/>
    <x v="1"/>
    <x v="5"/>
    <x v="454"/>
    <m/>
    <x v="0"/>
    <n v="23518"/>
    <x v="1"/>
    <n v="127"/>
  </r>
  <r>
    <n v="893"/>
    <x v="2"/>
    <x v="6"/>
    <x v="136"/>
    <m/>
    <x v="0"/>
    <n v="43291"/>
    <x v="1"/>
    <n v="329"/>
  </r>
  <r>
    <n v="894"/>
    <x v="0"/>
    <x v="7"/>
    <x v="65"/>
    <m/>
    <x v="0"/>
    <n v="49594"/>
    <x v="1"/>
    <n v="507"/>
  </r>
  <r>
    <n v="895"/>
    <x v="1"/>
    <x v="0"/>
    <x v="216"/>
    <m/>
    <x v="0"/>
    <n v="44233"/>
    <x v="0"/>
    <n v="372"/>
  </r>
  <r>
    <n v="896"/>
    <x v="2"/>
    <x v="1"/>
    <x v="191"/>
    <m/>
    <x v="0"/>
    <n v="19755"/>
    <x v="0"/>
    <n v="592"/>
  </r>
  <r>
    <n v="897"/>
    <x v="0"/>
    <x v="2"/>
    <x v="24"/>
    <m/>
    <x v="0"/>
    <n v="51958"/>
    <x v="0"/>
    <n v="382"/>
  </r>
  <r>
    <n v="898"/>
    <x v="1"/>
    <x v="3"/>
    <x v="391"/>
    <m/>
    <x v="0"/>
    <n v="56452"/>
    <x v="0"/>
    <n v="512"/>
  </r>
  <r>
    <n v="899"/>
    <x v="2"/>
    <x v="4"/>
    <x v="376"/>
    <m/>
    <x v="0"/>
    <n v="27704"/>
    <x v="1"/>
    <n v="290"/>
  </r>
  <r>
    <n v="900"/>
    <x v="0"/>
    <x v="5"/>
    <x v="136"/>
    <m/>
    <x v="0"/>
    <n v="33610"/>
    <x v="1"/>
    <n v="329"/>
  </r>
  <r>
    <n v="901"/>
    <x v="1"/>
    <x v="6"/>
    <x v="76"/>
    <m/>
    <x v="0"/>
    <n v="45556"/>
    <x v="1"/>
    <n v="470"/>
  </r>
  <r>
    <n v="902"/>
    <x v="2"/>
    <x v="7"/>
    <x v="499"/>
    <d v="2016-11-22T00:00:00"/>
    <x v="1"/>
    <n v="16144"/>
    <x v="1"/>
    <n v="59"/>
  </r>
  <r>
    <n v="903"/>
    <x v="0"/>
    <x v="0"/>
    <x v="500"/>
    <m/>
    <x v="2"/>
    <n v="33948"/>
    <x v="0"/>
    <n v="511"/>
  </r>
  <r>
    <n v="904"/>
    <x v="1"/>
    <x v="1"/>
    <x v="263"/>
    <m/>
    <x v="0"/>
    <n v="16476"/>
    <x v="0"/>
    <n v="565"/>
  </r>
  <r>
    <n v="905"/>
    <x v="2"/>
    <x v="2"/>
    <x v="357"/>
    <m/>
    <x v="0"/>
    <n v="30357"/>
    <x v="0"/>
    <n v="134"/>
  </r>
  <r>
    <n v="906"/>
    <x v="0"/>
    <x v="3"/>
    <x v="246"/>
    <m/>
    <x v="0"/>
    <n v="8184"/>
    <x v="0"/>
    <n v="131"/>
  </r>
  <r>
    <n v="907"/>
    <x v="1"/>
    <x v="4"/>
    <x v="345"/>
    <m/>
    <x v="0"/>
    <n v="16533"/>
    <x v="1"/>
    <n v="116"/>
  </r>
  <r>
    <n v="908"/>
    <x v="2"/>
    <x v="5"/>
    <x v="321"/>
    <m/>
    <x v="0"/>
    <n v="8641"/>
    <x v="1"/>
    <n v="238"/>
  </r>
  <r>
    <n v="909"/>
    <x v="0"/>
    <x v="6"/>
    <x v="501"/>
    <m/>
    <x v="0"/>
    <n v="20789"/>
    <x v="1"/>
    <n v="342"/>
  </r>
  <r>
    <n v="910"/>
    <x v="1"/>
    <x v="7"/>
    <x v="397"/>
    <m/>
    <x v="0"/>
    <n v="18689"/>
    <x v="1"/>
    <n v="374"/>
  </r>
  <r>
    <n v="911"/>
    <x v="2"/>
    <x v="0"/>
    <x v="180"/>
    <m/>
    <x v="0"/>
    <n v="26138"/>
    <x v="0"/>
    <n v="258"/>
  </r>
  <r>
    <n v="912"/>
    <x v="0"/>
    <x v="1"/>
    <x v="155"/>
    <m/>
    <x v="0"/>
    <n v="46597"/>
    <x v="0"/>
    <n v="514"/>
  </r>
  <r>
    <n v="913"/>
    <x v="1"/>
    <x v="2"/>
    <x v="231"/>
    <m/>
    <x v="0"/>
    <n v="1548"/>
    <x v="0"/>
    <n v="397"/>
  </r>
  <r>
    <n v="914"/>
    <x v="2"/>
    <x v="3"/>
    <x v="502"/>
    <m/>
    <x v="0"/>
    <n v="46836"/>
    <x v="0"/>
    <n v="126"/>
  </r>
  <r>
    <n v="915"/>
    <x v="0"/>
    <x v="4"/>
    <x v="457"/>
    <d v="2016-07-28T00:00:00"/>
    <x v="1"/>
    <n v="22708"/>
    <x v="1"/>
    <n v="71"/>
  </r>
  <r>
    <n v="916"/>
    <x v="1"/>
    <x v="5"/>
    <x v="479"/>
    <m/>
    <x v="2"/>
    <n v="8681"/>
    <x v="1"/>
    <n v="432"/>
  </r>
  <r>
    <n v="917"/>
    <x v="2"/>
    <x v="6"/>
    <x v="503"/>
    <m/>
    <x v="0"/>
    <n v="37961"/>
    <x v="1"/>
    <n v="157"/>
  </r>
  <r>
    <n v="918"/>
    <x v="0"/>
    <x v="7"/>
    <x v="47"/>
    <m/>
    <x v="0"/>
    <n v="44129"/>
    <x v="1"/>
    <n v="112"/>
  </r>
  <r>
    <n v="919"/>
    <x v="1"/>
    <x v="0"/>
    <x v="494"/>
    <m/>
    <x v="0"/>
    <n v="17296"/>
    <x v="0"/>
    <n v="618"/>
  </r>
  <r>
    <n v="920"/>
    <x v="2"/>
    <x v="1"/>
    <x v="380"/>
    <m/>
    <x v="0"/>
    <n v="16193"/>
    <x v="0"/>
    <n v="100"/>
  </r>
  <r>
    <n v="921"/>
    <x v="0"/>
    <x v="2"/>
    <x v="112"/>
    <m/>
    <x v="0"/>
    <n v="43509"/>
    <x v="0"/>
    <n v="98"/>
  </r>
  <r>
    <n v="922"/>
    <x v="1"/>
    <x v="3"/>
    <x v="195"/>
    <m/>
    <x v="0"/>
    <n v="10180"/>
    <x v="0"/>
    <n v="219"/>
  </r>
  <r>
    <n v="923"/>
    <x v="2"/>
    <x v="4"/>
    <x v="4"/>
    <m/>
    <x v="0"/>
    <n v="36537"/>
    <x v="1"/>
    <n v="262"/>
  </r>
  <r>
    <n v="924"/>
    <x v="0"/>
    <x v="5"/>
    <x v="361"/>
    <m/>
    <x v="0"/>
    <n v="14435"/>
    <x v="1"/>
    <n v="154"/>
  </r>
  <r>
    <n v="925"/>
    <x v="1"/>
    <x v="6"/>
    <x v="144"/>
    <m/>
    <x v="0"/>
    <n v="16273"/>
    <x v="1"/>
    <n v="478"/>
  </r>
  <r>
    <n v="926"/>
    <x v="2"/>
    <x v="7"/>
    <x v="213"/>
    <m/>
    <x v="0"/>
    <n v="28917"/>
    <x v="1"/>
    <n v="437"/>
  </r>
  <r>
    <n v="927"/>
    <x v="0"/>
    <x v="0"/>
    <x v="235"/>
    <m/>
    <x v="0"/>
    <n v="43359"/>
    <x v="0"/>
    <n v="255"/>
  </r>
  <r>
    <n v="928"/>
    <x v="1"/>
    <x v="1"/>
    <x v="369"/>
    <d v="2016-07-21T00:00:00"/>
    <x v="1"/>
    <n v="15333"/>
    <x v="0"/>
    <n v="36"/>
  </r>
  <r>
    <n v="929"/>
    <x v="2"/>
    <x v="2"/>
    <x v="113"/>
    <m/>
    <x v="2"/>
    <n v="34752"/>
    <x v="0"/>
    <n v="607"/>
  </r>
  <r>
    <n v="930"/>
    <x v="0"/>
    <x v="3"/>
    <x v="504"/>
    <m/>
    <x v="0"/>
    <n v="14520"/>
    <x v="0"/>
    <n v="117"/>
  </r>
  <r>
    <n v="931"/>
    <x v="1"/>
    <x v="4"/>
    <x v="180"/>
    <m/>
    <x v="0"/>
    <n v="32337"/>
    <x v="1"/>
    <n v="258"/>
  </r>
  <r>
    <n v="932"/>
    <x v="2"/>
    <x v="5"/>
    <x v="440"/>
    <m/>
    <x v="0"/>
    <n v="8014"/>
    <x v="1"/>
    <n v="297"/>
  </r>
  <r>
    <n v="933"/>
    <x v="0"/>
    <x v="6"/>
    <x v="288"/>
    <m/>
    <x v="0"/>
    <n v="52345"/>
    <x v="1"/>
    <n v="334"/>
  </r>
  <r>
    <n v="934"/>
    <x v="1"/>
    <x v="7"/>
    <x v="278"/>
    <m/>
    <x v="0"/>
    <n v="29200"/>
    <x v="1"/>
    <n v="187"/>
  </r>
  <r>
    <n v="935"/>
    <x v="2"/>
    <x v="0"/>
    <x v="453"/>
    <m/>
    <x v="0"/>
    <n v="27744"/>
    <x v="0"/>
    <n v="437"/>
  </r>
  <r>
    <n v="936"/>
    <x v="0"/>
    <x v="1"/>
    <x v="505"/>
    <m/>
    <x v="0"/>
    <n v="52618"/>
    <x v="0"/>
    <n v="187"/>
  </r>
  <r>
    <n v="937"/>
    <x v="1"/>
    <x v="2"/>
    <x v="506"/>
    <m/>
    <x v="0"/>
    <n v="43886"/>
    <x v="0"/>
    <n v="609"/>
  </r>
  <r>
    <n v="938"/>
    <x v="2"/>
    <x v="3"/>
    <x v="411"/>
    <m/>
    <x v="0"/>
    <n v="21888"/>
    <x v="0"/>
    <n v="415"/>
  </r>
  <r>
    <n v="939"/>
    <x v="0"/>
    <x v="4"/>
    <x v="207"/>
    <m/>
    <x v="0"/>
    <n v="37162"/>
    <x v="1"/>
    <n v="169"/>
  </r>
  <r>
    <n v="940"/>
    <x v="1"/>
    <x v="5"/>
    <x v="465"/>
    <m/>
    <x v="0"/>
    <n v="37991"/>
    <x v="1"/>
    <n v="570"/>
  </r>
  <r>
    <n v="941"/>
    <x v="2"/>
    <x v="6"/>
    <x v="209"/>
    <d v="2017-07-06T00:00:00"/>
    <x v="1"/>
    <n v="9995"/>
    <x v="1"/>
    <n v="51"/>
  </r>
  <r>
    <n v="942"/>
    <x v="0"/>
    <x v="7"/>
    <x v="463"/>
    <m/>
    <x v="2"/>
    <n v="13370"/>
    <x v="1"/>
    <n v="513"/>
  </r>
  <r>
    <n v="943"/>
    <x v="1"/>
    <x v="0"/>
    <x v="421"/>
    <m/>
    <x v="0"/>
    <n v="26588"/>
    <x v="0"/>
    <n v="487"/>
  </r>
  <r>
    <n v="944"/>
    <x v="2"/>
    <x v="1"/>
    <x v="437"/>
    <m/>
    <x v="0"/>
    <n v="43303"/>
    <x v="0"/>
    <n v="141"/>
  </r>
  <r>
    <n v="945"/>
    <x v="0"/>
    <x v="2"/>
    <x v="243"/>
    <m/>
    <x v="0"/>
    <n v="8541"/>
    <x v="0"/>
    <n v="486"/>
  </r>
  <r>
    <n v="946"/>
    <x v="1"/>
    <x v="3"/>
    <x v="231"/>
    <m/>
    <x v="0"/>
    <n v="794"/>
    <x v="0"/>
    <n v="397"/>
  </r>
  <r>
    <n v="947"/>
    <x v="2"/>
    <x v="4"/>
    <x v="468"/>
    <m/>
    <x v="0"/>
    <n v="52918"/>
    <x v="1"/>
    <n v="581"/>
  </r>
  <r>
    <n v="948"/>
    <x v="0"/>
    <x v="5"/>
    <x v="507"/>
    <m/>
    <x v="0"/>
    <n v="47760"/>
    <x v="1"/>
    <n v="427"/>
  </r>
  <r>
    <n v="949"/>
    <x v="1"/>
    <x v="6"/>
    <x v="342"/>
    <m/>
    <x v="0"/>
    <n v="59864"/>
    <x v="1"/>
    <n v="519"/>
  </r>
  <r>
    <n v="950"/>
    <x v="2"/>
    <x v="7"/>
    <x v="73"/>
    <m/>
    <x v="0"/>
    <n v="6450"/>
    <x v="1"/>
    <n v="467"/>
  </r>
  <r>
    <n v="951"/>
    <x v="0"/>
    <x v="0"/>
    <x v="102"/>
    <m/>
    <x v="0"/>
    <n v="54474"/>
    <x v="0"/>
    <n v="515"/>
  </r>
  <r>
    <n v="952"/>
    <x v="1"/>
    <x v="1"/>
    <x v="508"/>
    <m/>
    <x v="0"/>
    <n v="29907"/>
    <x v="0"/>
    <n v="157"/>
  </r>
  <r>
    <n v="953"/>
    <x v="2"/>
    <x v="2"/>
    <x v="92"/>
    <m/>
    <x v="0"/>
    <n v="29804"/>
    <x v="0"/>
    <n v="572"/>
  </r>
  <r>
    <n v="954"/>
    <x v="0"/>
    <x v="3"/>
    <x v="182"/>
    <d v="2017-08-22T00:00:00"/>
    <x v="1"/>
    <n v="19351"/>
    <x v="0"/>
    <n v="51"/>
  </r>
  <r>
    <n v="955"/>
    <x v="1"/>
    <x v="4"/>
    <x v="319"/>
    <m/>
    <x v="2"/>
    <n v="4939"/>
    <x v="1"/>
    <n v="216"/>
  </r>
  <r>
    <n v="956"/>
    <x v="2"/>
    <x v="5"/>
    <x v="313"/>
    <m/>
    <x v="0"/>
    <n v="43378"/>
    <x v="1"/>
    <n v="593"/>
  </r>
  <r>
    <n v="957"/>
    <x v="0"/>
    <x v="6"/>
    <x v="425"/>
    <m/>
    <x v="0"/>
    <n v="44981"/>
    <x v="1"/>
    <n v="489"/>
  </r>
  <r>
    <n v="958"/>
    <x v="1"/>
    <x v="7"/>
    <x v="509"/>
    <m/>
    <x v="0"/>
    <n v="52464"/>
    <x v="1"/>
    <n v="467"/>
  </r>
  <r>
    <n v="959"/>
    <x v="2"/>
    <x v="0"/>
    <x v="510"/>
    <m/>
    <x v="0"/>
    <n v="44388"/>
    <x v="0"/>
    <n v="212"/>
  </r>
  <r>
    <n v="960"/>
    <x v="0"/>
    <x v="1"/>
    <x v="162"/>
    <m/>
    <x v="0"/>
    <n v="21199"/>
    <x v="0"/>
    <n v="224"/>
  </r>
  <r>
    <n v="961"/>
    <x v="1"/>
    <x v="2"/>
    <x v="384"/>
    <m/>
    <x v="0"/>
    <n v="43020"/>
    <x v="0"/>
    <n v="591"/>
  </r>
  <r>
    <n v="962"/>
    <x v="2"/>
    <x v="3"/>
    <x v="511"/>
    <m/>
    <x v="0"/>
    <n v="27577"/>
    <x v="0"/>
    <n v="492"/>
  </r>
  <r>
    <n v="963"/>
    <x v="0"/>
    <x v="4"/>
    <x v="396"/>
    <m/>
    <x v="0"/>
    <n v="49904"/>
    <x v="1"/>
    <n v="472"/>
  </r>
  <r>
    <n v="964"/>
    <x v="1"/>
    <x v="5"/>
    <x v="434"/>
    <m/>
    <x v="0"/>
    <n v="38898"/>
    <x v="1"/>
    <n v="267"/>
  </r>
  <r>
    <n v="965"/>
    <x v="2"/>
    <x v="6"/>
    <x v="278"/>
    <m/>
    <x v="0"/>
    <n v="44668"/>
    <x v="1"/>
    <n v="187"/>
  </r>
  <r>
    <n v="966"/>
    <x v="0"/>
    <x v="7"/>
    <x v="512"/>
    <m/>
    <x v="0"/>
    <n v="36001"/>
    <x v="1"/>
    <n v="184"/>
  </r>
  <r>
    <n v="967"/>
    <x v="1"/>
    <x v="0"/>
    <x v="513"/>
    <d v="2017-07-24T00:00:00"/>
    <x v="1"/>
    <n v="9275"/>
    <x v="0"/>
    <n v="43"/>
  </r>
  <r>
    <n v="968"/>
    <x v="2"/>
    <x v="1"/>
    <x v="514"/>
    <m/>
    <x v="2"/>
    <n v="28254"/>
    <x v="0"/>
    <n v="285"/>
  </r>
  <r>
    <n v="969"/>
    <x v="0"/>
    <x v="2"/>
    <x v="147"/>
    <m/>
    <x v="0"/>
    <n v="32081"/>
    <x v="0"/>
    <n v="287"/>
  </r>
  <r>
    <n v="970"/>
    <x v="1"/>
    <x v="3"/>
    <x v="515"/>
    <m/>
    <x v="0"/>
    <n v="53832"/>
    <x v="0"/>
    <n v="292"/>
  </r>
  <r>
    <n v="971"/>
    <x v="2"/>
    <x v="4"/>
    <x v="311"/>
    <m/>
    <x v="0"/>
    <n v="12867"/>
    <x v="1"/>
    <n v="386"/>
  </r>
  <r>
    <n v="972"/>
    <x v="0"/>
    <x v="5"/>
    <x v="360"/>
    <m/>
    <x v="0"/>
    <n v="58983"/>
    <x v="1"/>
    <n v="164"/>
  </r>
  <r>
    <n v="973"/>
    <x v="1"/>
    <x v="6"/>
    <x v="147"/>
    <m/>
    <x v="0"/>
    <n v="47861"/>
    <x v="1"/>
    <n v="287"/>
  </r>
  <r>
    <n v="974"/>
    <x v="2"/>
    <x v="7"/>
    <x v="13"/>
    <m/>
    <x v="0"/>
    <n v="45600"/>
    <x v="1"/>
    <n v="192"/>
  </r>
  <r>
    <n v="975"/>
    <x v="0"/>
    <x v="0"/>
    <x v="28"/>
    <m/>
    <x v="0"/>
    <n v="41264"/>
    <x v="0"/>
    <n v="124"/>
  </r>
  <r>
    <n v="976"/>
    <x v="1"/>
    <x v="1"/>
    <x v="516"/>
    <m/>
    <x v="0"/>
    <n v="36069"/>
    <x v="0"/>
    <n v="477"/>
  </r>
  <r>
    <n v="977"/>
    <x v="2"/>
    <x v="2"/>
    <x v="107"/>
    <m/>
    <x v="0"/>
    <n v="22456"/>
    <x v="0"/>
    <n v="197"/>
  </r>
  <r>
    <n v="978"/>
    <x v="0"/>
    <x v="3"/>
    <x v="203"/>
    <m/>
    <x v="0"/>
    <n v="59712"/>
    <x v="0"/>
    <n v="442"/>
  </r>
  <r>
    <n v="979"/>
    <x v="1"/>
    <x v="4"/>
    <x v="332"/>
    <m/>
    <x v="0"/>
    <n v="3874"/>
    <x v="1"/>
    <n v="239"/>
  </r>
  <r>
    <n v="980"/>
    <x v="2"/>
    <x v="5"/>
    <x v="517"/>
    <d v="2017-05-10T00:00:00"/>
    <x v="1"/>
    <n v="33885"/>
    <x v="1"/>
    <n v="31"/>
  </r>
  <r>
    <n v="981"/>
    <x v="0"/>
    <x v="6"/>
    <x v="127"/>
    <m/>
    <x v="2"/>
    <n v="58841"/>
    <x v="1"/>
    <n v="477"/>
  </r>
  <r>
    <n v="982"/>
    <x v="1"/>
    <x v="7"/>
    <x v="518"/>
    <m/>
    <x v="0"/>
    <n v="48042"/>
    <x v="1"/>
    <n v="602"/>
  </r>
  <r>
    <n v="983"/>
    <x v="2"/>
    <x v="0"/>
    <x v="123"/>
    <m/>
    <x v="0"/>
    <n v="28487"/>
    <x v="0"/>
    <n v="107"/>
  </r>
  <r>
    <n v="984"/>
    <x v="0"/>
    <x v="1"/>
    <x v="519"/>
    <m/>
    <x v="0"/>
    <n v="22031"/>
    <x v="0"/>
    <n v="530"/>
  </r>
  <r>
    <n v="985"/>
    <x v="1"/>
    <x v="2"/>
    <x v="520"/>
    <m/>
    <x v="0"/>
    <n v="22921"/>
    <x v="0"/>
    <n v="612"/>
  </r>
  <r>
    <n v="986"/>
    <x v="2"/>
    <x v="3"/>
    <x v="521"/>
    <m/>
    <x v="0"/>
    <n v="7885"/>
    <x v="0"/>
    <n v="531"/>
  </r>
  <r>
    <n v="987"/>
    <x v="0"/>
    <x v="4"/>
    <x v="388"/>
    <m/>
    <x v="0"/>
    <n v="49117"/>
    <x v="1"/>
    <n v="462"/>
  </r>
  <r>
    <n v="988"/>
    <x v="1"/>
    <x v="5"/>
    <x v="305"/>
    <m/>
    <x v="0"/>
    <n v="35318"/>
    <x v="1"/>
    <n v="404"/>
  </r>
  <r>
    <n v="989"/>
    <x v="2"/>
    <x v="6"/>
    <x v="349"/>
    <m/>
    <x v="0"/>
    <n v="9024"/>
    <x v="1"/>
    <n v="281"/>
  </r>
  <r>
    <n v="990"/>
    <x v="0"/>
    <x v="7"/>
    <x v="522"/>
    <m/>
    <x v="0"/>
    <n v="41736"/>
    <x v="1"/>
    <n v="108"/>
  </r>
  <r>
    <n v="991"/>
    <x v="1"/>
    <x v="0"/>
    <x v="112"/>
    <m/>
    <x v="0"/>
    <n v="3662"/>
    <x v="0"/>
    <n v="98"/>
  </r>
  <r>
    <n v="992"/>
    <x v="2"/>
    <x v="1"/>
    <x v="523"/>
    <m/>
    <x v="0"/>
    <n v="2082"/>
    <x v="0"/>
    <n v="252"/>
  </r>
  <r>
    <n v="993"/>
    <x v="0"/>
    <x v="2"/>
    <x v="524"/>
    <d v="2017-10-06T00:00:00"/>
    <x v="1"/>
    <n v="12327"/>
    <x v="0"/>
    <n v="69"/>
  </r>
  <r>
    <n v="994"/>
    <x v="1"/>
    <x v="3"/>
    <x v="478"/>
    <m/>
    <x v="2"/>
    <n v="45672"/>
    <x v="0"/>
    <n v="327"/>
  </r>
  <r>
    <n v="995"/>
    <x v="2"/>
    <x v="4"/>
    <x v="81"/>
    <m/>
    <x v="0"/>
    <n v="53006"/>
    <x v="1"/>
    <n v="262"/>
  </r>
  <r>
    <n v="996"/>
    <x v="0"/>
    <x v="5"/>
    <x v="133"/>
    <m/>
    <x v="0"/>
    <n v="33850"/>
    <x v="1"/>
    <n v="469"/>
  </r>
  <r>
    <n v="997"/>
    <x v="1"/>
    <x v="6"/>
    <x v="525"/>
    <m/>
    <x v="0"/>
    <n v="35502"/>
    <x v="1"/>
    <n v="466"/>
  </r>
  <r>
    <n v="998"/>
    <x v="2"/>
    <x v="7"/>
    <x v="294"/>
    <m/>
    <x v="0"/>
    <n v="24423"/>
    <x v="1"/>
    <n v="174"/>
  </r>
  <r>
    <n v="999"/>
    <x v="0"/>
    <x v="0"/>
    <x v="413"/>
    <m/>
    <x v="0"/>
    <n v="25166"/>
    <x v="0"/>
    <n v="460"/>
  </r>
  <r>
    <n v="1000"/>
    <x v="1"/>
    <x v="1"/>
    <x v="201"/>
    <m/>
    <x v="0"/>
    <n v="37448"/>
    <x v="0"/>
    <n v="166"/>
  </r>
  <r>
    <n v="1001"/>
    <x v="2"/>
    <x v="2"/>
    <x v="526"/>
    <m/>
    <x v="0"/>
    <n v="26725"/>
    <x v="0"/>
    <n v="412"/>
  </r>
  <r>
    <n v="1002"/>
    <x v="0"/>
    <x v="3"/>
    <x v="85"/>
    <m/>
    <x v="0"/>
    <n v="8968"/>
    <x v="0"/>
    <n v="480"/>
  </r>
  <r>
    <n v="1003"/>
    <x v="1"/>
    <x v="4"/>
    <x v="479"/>
    <m/>
    <x v="0"/>
    <n v="34325"/>
    <x v="1"/>
    <n v="432"/>
  </r>
  <r>
    <n v="1004"/>
    <x v="2"/>
    <x v="5"/>
    <x v="241"/>
    <m/>
    <x v="0"/>
    <n v="19615"/>
    <x v="1"/>
    <n v="177"/>
  </r>
  <r>
    <n v="1005"/>
    <x v="0"/>
    <x v="6"/>
    <x v="84"/>
    <m/>
    <x v="0"/>
    <n v="26140"/>
    <x v="1"/>
    <n v="137"/>
  </r>
  <r>
    <n v="1006"/>
    <x v="1"/>
    <x v="7"/>
    <x v="109"/>
    <d v="2017-05-06T00:00:00"/>
    <x v="1"/>
    <n v="48737"/>
    <x v="1"/>
    <n v="40"/>
  </r>
  <r>
    <n v="1007"/>
    <x v="2"/>
    <x v="0"/>
    <x v="1"/>
    <m/>
    <x v="2"/>
    <n v="1787"/>
    <x v="0"/>
    <n v="253"/>
  </r>
  <r>
    <n v="1008"/>
    <x v="0"/>
    <x v="1"/>
    <x v="169"/>
    <m/>
    <x v="0"/>
    <n v="7580"/>
    <x v="0"/>
    <n v="537"/>
  </r>
  <r>
    <n v="1009"/>
    <x v="1"/>
    <x v="2"/>
    <x v="236"/>
    <m/>
    <x v="0"/>
    <n v="56308"/>
    <x v="0"/>
    <n v="364"/>
  </r>
  <r>
    <n v="1010"/>
    <x v="2"/>
    <x v="3"/>
    <x v="1"/>
    <m/>
    <x v="0"/>
    <n v="21471"/>
    <x v="0"/>
    <n v="253"/>
  </r>
  <r>
    <n v="1011"/>
    <x v="0"/>
    <x v="4"/>
    <x v="404"/>
    <m/>
    <x v="0"/>
    <n v="14696"/>
    <x v="1"/>
    <n v="267"/>
  </r>
  <r>
    <n v="1012"/>
    <x v="1"/>
    <x v="5"/>
    <x v="166"/>
    <m/>
    <x v="0"/>
    <n v="47077"/>
    <x v="1"/>
    <n v="162"/>
  </r>
  <r>
    <n v="1013"/>
    <x v="2"/>
    <x v="6"/>
    <x v="490"/>
    <m/>
    <x v="0"/>
    <n v="34964"/>
    <x v="1"/>
    <n v="242"/>
  </r>
  <r>
    <n v="1014"/>
    <x v="0"/>
    <x v="7"/>
    <x v="527"/>
    <m/>
    <x v="0"/>
    <n v="20903"/>
    <x v="1"/>
    <n v="426"/>
  </r>
  <r>
    <n v="1015"/>
    <x v="1"/>
    <x v="0"/>
    <x v="528"/>
    <m/>
    <x v="0"/>
    <n v="44197"/>
    <x v="0"/>
    <n v="193"/>
  </r>
  <r>
    <n v="1016"/>
    <x v="2"/>
    <x v="1"/>
    <x v="529"/>
    <m/>
    <x v="0"/>
    <n v="8968"/>
    <x v="0"/>
    <n v="517"/>
  </r>
  <r>
    <n v="1017"/>
    <x v="0"/>
    <x v="2"/>
    <x v="524"/>
    <m/>
    <x v="0"/>
    <n v="32113"/>
    <x v="0"/>
    <n v="226"/>
  </r>
  <r>
    <n v="1018"/>
    <x v="1"/>
    <x v="3"/>
    <x v="530"/>
    <m/>
    <x v="0"/>
    <n v="41666"/>
    <x v="0"/>
    <n v="592"/>
  </r>
  <r>
    <n v="1019"/>
    <x v="2"/>
    <x v="4"/>
    <x v="282"/>
    <d v="2016-12-13T00:00:00"/>
    <x v="1"/>
    <n v="13450"/>
    <x v="1"/>
    <n v="39"/>
  </r>
  <r>
    <n v="1020"/>
    <x v="0"/>
    <x v="5"/>
    <x v="457"/>
    <m/>
    <x v="2"/>
    <n v="4715"/>
    <x v="1"/>
    <n v="539"/>
  </r>
  <r>
    <n v="1021"/>
    <x v="1"/>
    <x v="6"/>
    <x v="213"/>
    <m/>
    <x v="0"/>
    <n v="4771"/>
    <x v="1"/>
    <n v="437"/>
  </r>
  <r>
    <n v="1022"/>
    <x v="2"/>
    <x v="7"/>
    <x v="531"/>
    <m/>
    <x v="0"/>
    <n v="44688"/>
    <x v="1"/>
    <n v="527"/>
  </r>
  <r>
    <n v="1023"/>
    <x v="0"/>
    <x v="0"/>
    <x v="277"/>
    <m/>
    <x v="0"/>
    <n v="56481"/>
    <x v="0"/>
    <n v="522"/>
  </r>
  <r>
    <n v="1024"/>
    <x v="1"/>
    <x v="1"/>
    <x v="418"/>
    <m/>
    <x v="0"/>
    <n v="55435"/>
    <x v="0"/>
    <n v="227"/>
  </r>
  <r>
    <n v="1025"/>
    <x v="2"/>
    <x v="2"/>
    <x v="426"/>
    <m/>
    <x v="0"/>
    <n v="52930"/>
    <x v="0"/>
    <n v="176"/>
  </r>
  <r>
    <n v="1026"/>
    <x v="0"/>
    <x v="3"/>
    <x v="361"/>
    <m/>
    <x v="0"/>
    <n v="43635"/>
    <x v="0"/>
    <n v="154"/>
  </r>
  <r>
    <n v="1027"/>
    <x v="1"/>
    <x v="4"/>
    <x v="482"/>
    <m/>
    <x v="0"/>
    <n v="10371"/>
    <x v="1"/>
    <n v="378"/>
  </r>
  <r>
    <n v="1028"/>
    <x v="2"/>
    <x v="5"/>
    <x v="391"/>
    <m/>
    <x v="0"/>
    <n v="53222"/>
    <x v="1"/>
    <n v="512"/>
  </r>
  <r>
    <n v="1029"/>
    <x v="0"/>
    <x v="6"/>
    <x v="145"/>
    <m/>
    <x v="0"/>
    <n v="5046"/>
    <x v="1"/>
    <n v="601"/>
  </r>
  <r>
    <n v="1030"/>
    <x v="1"/>
    <x v="7"/>
    <x v="260"/>
    <m/>
    <x v="0"/>
    <n v="24831"/>
    <x v="1"/>
    <n v="151"/>
  </r>
  <r>
    <n v="1031"/>
    <x v="2"/>
    <x v="0"/>
    <x v="532"/>
    <m/>
    <x v="0"/>
    <n v="15806"/>
    <x v="0"/>
    <n v="461"/>
  </r>
  <r>
    <n v="1032"/>
    <x v="0"/>
    <x v="1"/>
    <x v="504"/>
    <d v="2018-01-27T00:00:00"/>
    <x v="1"/>
    <n v="42051"/>
    <x v="0"/>
    <n v="40"/>
  </r>
  <r>
    <n v="1033"/>
    <x v="1"/>
    <x v="2"/>
    <x v="235"/>
    <m/>
    <x v="2"/>
    <n v="13459"/>
    <x v="0"/>
    <n v="255"/>
  </r>
  <r>
    <n v="1034"/>
    <x v="2"/>
    <x v="3"/>
    <x v="525"/>
    <m/>
    <x v="0"/>
    <n v="15674"/>
    <x v="0"/>
    <n v="466"/>
  </r>
  <r>
    <n v="1035"/>
    <x v="0"/>
    <x v="4"/>
    <x v="533"/>
    <m/>
    <x v="0"/>
    <n v="59503"/>
    <x v="1"/>
    <n v="367"/>
  </r>
  <r>
    <n v="1036"/>
    <x v="1"/>
    <x v="5"/>
    <x v="534"/>
    <m/>
    <x v="0"/>
    <n v="2363"/>
    <x v="1"/>
    <n v="319"/>
  </r>
  <r>
    <n v="1037"/>
    <x v="2"/>
    <x v="6"/>
    <x v="535"/>
    <m/>
    <x v="0"/>
    <n v="39231"/>
    <x v="1"/>
    <n v="279"/>
  </r>
  <r>
    <n v="1038"/>
    <x v="0"/>
    <x v="7"/>
    <x v="72"/>
    <m/>
    <x v="0"/>
    <n v="45257"/>
    <x v="1"/>
    <n v="352"/>
  </r>
  <r>
    <n v="1039"/>
    <x v="1"/>
    <x v="0"/>
    <x v="283"/>
    <m/>
    <x v="0"/>
    <n v="4404"/>
    <x v="0"/>
    <n v="125"/>
  </r>
  <r>
    <n v="1040"/>
    <x v="2"/>
    <x v="1"/>
    <x v="164"/>
    <m/>
    <x v="0"/>
    <n v="54267"/>
    <x v="0"/>
    <n v="190"/>
  </r>
  <r>
    <n v="1041"/>
    <x v="0"/>
    <x v="2"/>
    <x v="519"/>
    <m/>
    <x v="0"/>
    <n v="41307"/>
    <x v="0"/>
    <n v="530"/>
  </r>
  <r>
    <n v="1042"/>
    <x v="1"/>
    <x v="3"/>
    <x v="536"/>
    <m/>
    <x v="0"/>
    <n v="6432"/>
    <x v="0"/>
    <n v="211"/>
  </r>
  <r>
    <n v="1043"/>
    <x v="2"/>
    <x v="4"/>
    <x v="537"/>
    <m/>
    <x v="0"/>
    <n v="41605"/>
    <x v="1"/>
    <n v="482"/>
  </r>
  <r>
    <n v="1044"/>
    <x v="0"/>
    <x v="5"/>
    <x v="33"/>
    <m/>
    <x v="0"/>
    <n v="7323"/>
    <x v="1"/>
    <n v="552"/>
  </r>
  <r>
    <n v="1045"/>
    <x v="1"/>
    <x v="6"/>
    <x v="538"/>
    <d v="2016-11-14T00:00:00"/>
    <x v="1"/>
    <n v="27232"/>
    <x v="1"/>
    <n v="67"/>
  </r>
  <r>
    <n v="1046"/>
    <x v="2"/>
    <x v="7"/>
    <x v="539"/>
    <m/>
    <x v="2"/>
    <n v="23769"/>
    <x v="1"/>
    <n v="120"/>
  </r>
  <r>
    <n v="1047"/>
    <x v="0"/>
    <x v="0"/>
    <x v="210"/>
    <m/>
    <x v="0"/>
    <n v="6209"/>
    <x v="0"/>
    <n v="448"/>
  </r>
  <r>
    <n v="1048"/>
    <x v="1"/>
    <x v="1"/>
    <x v="298"/>
    <m/>
    <x v="0"/>
    <n v="42555"/>
    <x v="0"/>
    <n v="237"/>
  </r>
  <r>
    <n v="1049"/>
    <x v="2"/>
    <x v="2"/>
    <x v="119"/>
    <m/>
    <x v="0"/>
    <n v="37885"/>
    <x v="0"/>
    <n v="145"/>
  </r>
  <r>
    <n v="1050"/>
    <x v="0"/>
    <x v="3"/>
    <x v="188"/>
    <m/>
    <x v="0"/>
    <n v="8828"/>
    <x v="0"/>
    <n v="276"/>
  </r>
  <r>
    <n v="1051"/>
    <x v="1"/>
    <x v="4"/>
    <x v="94"/>
    <m/>
    <x v="0"/>
    <n v="33886"/>
    <x v="1"/>
    <n v="396"/>
  </r>
  <r>
    <n v="1052"/>
    <x v="2"/>
    <x v="5"/>
    <x v="160"/>
    <m/>
    <x v="0"/>
    <n v="36165"/>
    <x v="1"/>
    <n v="161"/>
  </r>
  <r>
    <n v="1053"/>
    <x v="0"/>
    <x v="6"/>
    <x v="540"/>
    <m/>
    <x v="0"/>
    <n v="28020"/>
    <x v="1"/>
    <n v="541"/>
  </r>
  <r>
    <n v="1054"/>
    <x v="1"/>
    <x v="7"/>
    <x v="214"/>
    <m/>
    <x v="0"/>
    <n v="2334"/>
    <x v="1"/>
    <n v="510"/>
  </r>
  <r>
    <n v="1055"/>
    <x v="2"/>
    <x v="0"/>
    <x v="449"/>
    <m/>
    <x v="0"/>
    <n v="9397"/>
    <x v="0"/>
    <n v="182"/>
  </r>
  <r>
    <n v="1056"/>
    <x v="0"/>
    <x v="1"/>
    <x v="381"/>
    <m/>
    <x v="0"/>
    <n v="20568"/>
    <x v="0"/>
    <n v="156"/>
  </r>
  <r>
    <n v="1057"/>
    <x v="1"/>
    <x v="2"/>
    <x v="186"/>
    <m/>
    <x v="0"/>
    <n v="2167"/>
    <x v="0"/>
    <n v="257"/>
  </r>
  <r>
    <n v="1058"/>
    <x v="2"/>
    <x v="3"/>
    <x v="48"/>
    <d v="2016-12-23T00:00:00"/>
    <x v="1"/>
    <n v="4686"/>
    <x v="0"/>
    <n v="31"/>
  </r>
  <r>
    <n v="1059"/>
    <x v="0"/>
    <x v="4"/>
    <x v="229"/>
    <m/>
    <x v="2"/>
    <n v="32832"/>
    <x v="1"/>
    <n v="529"/>
  </r>
  <r>
    <n v="1060"/>
    <x v="1"/>
    <x v="5"/>
    <x v="313"/>
    <m/>
    <x v="0"/>
    <n v="19052"/>
    <x v="1"/>
    <n v="593"/>
  </r>
  <r>
    <n v="1061"/>
    <x v="2"/>
    <x v="6"/>
    <x v="329"/>
    <m/>
    <x v="0"/>
    <n v="46951"/>
    <x v="1"/>
    <n v="291"/>
  </r>
  <r>
    <n v="1062"/>
    <x v="0"/>
    <x v="7"/>
    <x v="541"/>
    <m/>
    <x v="0"/>
    <n v="45684"/>
    <x v="1"/>
    <n v="349"/>
  </r>
  <r>
    <n v="1063"/>
    <x v="1"/>
    <x v="0"/>
    <x v="542"/>
    <m/>
    <x v="0"/>
    <n v="1647"/>
    <x v="0"/>
    <n v="562"/>
  </r>
  <r>
    <n v="1064"/>
    <x v="2"/>
    <x v="1"/>
    <x v="260"/>
    <m/>
    <x v="0"/>
    <n v="55446"/>
    <x v="0"/>
    <n v="151"/>
  </r>
  <r>
    <n v="1065"/>
    <x v="0"/>
    <x v="2"/>
    <x v="543"/>
    <m/>
    <x v="0"/>
    <n v="3088"/>
    <x v="0"/>
    <n v="282"/>
  </r>
  <r>
    <n v="1066"/>
    <x v="1"/>
    <x v="3"/>
    <x v="457"/>
    <m/>
    <x v="0"/>
    <n v="32460"/>
    <x v="0"/>
    <n v="539"/>
  </r>
  <r>
    <n v="1067"/>
    <x v="2"/>
    <x v="4"/>
    <x v="544"/>
    <m/>
    <x v="0"/>
    <n v="8980"/>
    <x v="1"/>
    <n v="155"/>
  </r>
  <r>
    <n v="1068"/>
    <x v="0"/>
    <x v="5"/>
    <x v="60"/>
    <m/>
    <x v="0"/>
    <n v="52656"/>
    <x v="1"/>
    <n v="217"/>
  </r>
  <r>
    <n v="1069"/>
    <x v="1"/>
    <x v="6"/>
    <x v="535"/>
    <m/>
    <x v="0"/>
    <n v="35738"/>
    <x v="1"/>
    <n v="279"/>
  </r>
  <r>
    <n v="1070"/>
    <x v="2"/>
    <x v="7"/>
    <x v="545"/>
    <m/>
    <x v="0"/>
    <n v="6044"/>
    <x v="1"/>
    <n v="527"/>
  </r>
  <r>
    <n v="1071"/>
    <x v="0"/>
    <x v="0"/>
    <x v="546"/>
    <d v="2016-06-25T00:00:00"/>
    <x v="1"/>
    <n v="27910"/>
    <x v="0"/>
    <n v="110"/>
  </r>
  <r>
    <n v="1072"/>
    <x v="1"/>
    <x v="1"/>
    <x v="197"/>
    <m/>
    <x v="2"/>
    <n v="59929"/>
    <x v="0"/>
    <n v="207"/>
  </r>
  <r>
    <n v="1073"/>
    <x v="2"/>
    <x v="2"/>
    <x v="144"/>
    <m/>
    <x v="0"/>
    <n v="18345"/>
    <x v="0"/>
    <n v="478"/>
  </r>
  <r>
    <n v="1074"/>
    <x v="0"/>
    <x v="3"/>
    <x v="77"/>
    <m/>
    <x v="0"/>
    <n v="4633"/>
    <x v="0"/>
    <n v="339"/>
  </r>
  <r>
    <n v="1075"/>
    <x v="1"/>
    <x v="4"/>
    <x v="547"/>
    <m/>
    <x v="0"/>
    <n v="4073"/>
    <x v="1"/>
    <n v="399"/>
  </r>
  <r>
    <n v="1076"/>
    <x v="2"/>
    <x v="5"/>
    <x v="436"/>
    <m/>
    <x v="0"/>
    <n v="12115"/>
    <x v="1"/>
    <n v="314"/>
  </r>
  <r>
    <n v="1077"/>
    <x v="0"/>
    <x v="6"/>
    <x v="392"/>
    <m/>
    <x v="0"/>
    <n v="54924"/>
    <x v="1"/>
    <n v="248"/>
  </r>
  <r>
    <n v="1078"/>
    <x v="1"/>
    <x v="7"/>
    <x v="288"/>
    <m/>
    <x v="0"/>
    <n v="40841"/>
    <x v="1"/>
    <n v="334"/>
  </r>
  <r>
    <n v="1079"/>
    <x v="2"/>
    <x v="0"/>
    <x v="87"/>
    <m/>
    <x v="0"/>
    <n v="53478"/>
    <x v="0"/>
    <n v="405"/>
  </r>
  <r>
    <n v="1080"/>
    <x v="0"/>
    <x v="1"/>
    <x v="518"/>
    <m/>
    <x v="0"/>
    <n v="32431"/>
    <x v="0"/>
    <n v="602"/>
  </r>
  <r>
    <n v="1081"/>
    <x v="1"/>
    <x v="2"/>
    <x v="213"/>
    <m/>
    <x v="0"/>
    <n v="42533"/>
    <x v="0"/>
    <n v="437"/>
  </r>
  <r>
    <n v="1082"/>
    <x v="2"/>
    <x v="3"/>
    <x v="446"/>
    <m/>
    <x v="0"/>
    <n v="18480"/>
    <x v="0"/>
    <n v="306"/>
  </r>
  <r>
    <n v="1083"/>
    <x v="0"/>
    <x v="4"/>
    <x v="33"/>
    <m/>
    <x v="0"/>
    <n v="54624"/>
    <x v="1"/>
    <n v="552"/>
  </r>
  <r>
    <n v="1084"/>
    <x v="1"/>
    <x v="5"/>
    <x v="259"/>
    <d v="2017-08-17T00:00:00"/>
    <x v="1"/>
    <n v="40704"/>
    <x v="1"/>
    <n v="79"/>
  </r>
  <r>
    <n v="1085"/>
    <x v="2"/>
    <x v="6"/>
    <x v="136"/>
    <m/>
    <x v="2"/>
    <n v="30372"/>
    <x v="1"/>
    <n v="329"/>
  </r>
  <r>
    <n v="1086"/>
    <x v="0"/>
    <x v="7"/>
    <x v="532"/>
    <m/>
    <x v="0"/>
    <n v="8123"/>
    <x v="1"/>
    <n v="461"/>
  </r>
  <r>
    <n v="1087"/>
    <x v="1"/>
    <x v="0"/>
    <x v="529"/>
    <m/>
    <x v="0"/>
    <n v="19723"/>
    <x v="0"/>
    <n v="517"/>
  </r>
  <r>
    <n v="1088"/>
    <x v="2"/>
    <x v="1"/>
    <x v="345"/>
    <m/>
    <x v="0"/>
    <n v="14845"/>
    <x v="0"/>
    <n v="116"/>
  </r>
  <r>
    <n v="1089"/>
    <x v="0"/>
    <x v="2"/>
    <x v="548"/>
    <m/>
    <x v="0"/>
    <n v="39875"/>
    <x v="0"/>
    <n v="232"/>
  </r>
  <r>
    <n v="1090"/>
    <x v="1"/>
    <x v="3"/>
    <x v="250"/>
    <m/>
    <x v="0"/>
    <n v="36132"/>
    <x v="0"/>
    <n v="542"/>
  </r>
  <r>
    <n v="1091"/>
    <x v="2"/>
    <x v="4"/>
    <x v="549"/>
    <m/>
    <x v="0"/>
    <n v="25028"/>
    <x v="1"/>
    <n v="497"/>
  </r>
  <r>
    <n v="1092"/>
    <x v="0"/>
    <x v="5"/>
    <x v="6"/>
    <m/>
    <x v="0"/>
    <n v="32163"/>
    <x v="1"/>
    <n v="403"/>
  </r>
  <r>
    <n v="1093"/>
    <x v="1"/>
    <x v="6"/>
    <x v="377"/>
    <m/>
    <x v="0"/>
    <n v="53857"/>
    <x v="1"/>
    <n v="205"/>
  </r>
  <r>
    <n v="1094"/>
    <x v="2"/>
    <x v="7"/>
    <x v="412"/>
    <m/>
    <x v="0"/>
    <n v="16479"/>
    <x v="1"/>
    <n v="547"/>
  </r>
  <r>
    <n v="1095"/>
    <x v="0"/>
    <x v="0"/>
    <x v="134"/>
    <m/>
    <x v="0"/>
    <n v="1239"/>
    <x v="0"/>
    <n v="390"/>
  </r>
  <r>
    <n v="1096"/>
    <x v="1"/>
    <x v="1"/>
    <x v="550"/>
    <m/>
    <x v="0"/>
    <n v="29093"/>
    <x v="0"/>
    <n v="422"/>
  </r>
  <r>
    <n v="1097"/>
    <x v="2"/>
    <x v="2"/>
    <x v="265"/>
    <d v="2018-01-31T00:00:00"/>
    <x v="1"/>
    <n v="39515"/>
    <x v="0"/>
    <n v="28"/>
  </r>
  <r>
    <n v="1098"/>
    <x v="0"/>
    <x v="3"/>
    <x v="551"/>
    <m/>
    <x v="2"/>
    <n v="36928"/>
    <x v="0"/>
    <n v="607"/>
  </r>
  <r>
    <n v="1099"/>
    <x v="1"/>
    <x v="4"/>
    <x v="552"/>
    <m/>
    <x v="0"/>
    <n v="51628"/>
    <x v="1"/>
    <n v="611"/>
  </r>
  <r>
    <n v="1100"/>
    <x v="2"/>
    <x v="5"/>
    <x v="439"/>
    <m/>
    <x v="0"/>
    <n v="25401"/>
    <x v="1"/>
    <n v="252"/>
  </r>
  <r>
    <n v="1101"/>
    <x v="0"/>
    <x v="6"/>
    <x v="299"/>
    <m/>
    <x v="0"/>
    <n v="56604"/>
    <x v="1"/>
    <n v="555"/>
  </r>
  <r>
    <n v="1102"/>
    <x v="1"/>
    <x v="7"/>
    <x v="410"/>
    <m/>
    <x v="0"/>
    <n v="14585"/>
    <x v="1"/>
    <n v="302"/>
  </r>
  <r>
    <n v="1103"/>
    <x v="2"/>
    <x v="0"/>
    <x v="446"/>
    <m/>
    <x v="0"/>
    <n v="44819"/>
    <x v="0"/>
    <n v="306"/>
  </r>
  <r>
    <n v="1104"/>
    <x v="0"/>
    <x v="1"/>
    <x v="491"/>
    <m/>
    <x v="0"/>
    <n v="11441"/>
    <x v="0"/>
    <n v="147"/>
  </r>
  <r>
    <n v="1105"/>
    <x v="1"/>
    <x v="2"/>
    <x v="553"/>
    <m/>
    <x v="0"/>
    <n v="13397"/>
    <x v="0"/>
    <n v="506"/>
  </r>
  <r>
    <n v="1106"/>
    <x v="2"/>
    <x v="3"/>
    <x v="554"/>
    <m/>
    <x v="0"/>
    <n v="41886"/>
    <x v="0"/>
    <n v="299"/>
  </r>
  <r>
    <n v="1107"/>
    <x v="0"/>
    <x v="4"/>
    <x v="289"/>
    <m/>
    <x v="0"/>
    <n v="30164"/>
    <x v="1"/>
    <n v="237"/>
  </r>
  <r>
    <n v="1108"/>
    <x v="1"/>
    <x v="5"/>
    <x v="555"/>
    <m/>
    <x v="0"/>
    <n v="4784"/>
    <x v="1"/>
    <n v="572"/>
  </r>
  <r>
    <n v="1109"/>
    <x v="2"/>
    <x v="6"/>
    <x v="178"/>
    <m/>
    <x v="0"/>
    <n v="5567"/>
    <x v="1"/>
    <n v="222"/>
  </r>
  <r>
    <n v="1110"/>
    <x v="0"/>
    <x v="7"/>
    <x v="556"/>
    <d v="2017-03-14T00:00:00"/>
    <x v="1"/>
    <n v="46960"/>
    <x v="1"/>
    <n v="38"/>
  </r>
  <r>
    <n v="1111"/>
    <x v="1"/>
    <x v="0"/>
    <x v="173"/>
    <m/>
    <x v="2"/>
    <n v="13354"/>
    <x v="0"/>
    <n v="282"/>
  </r>
  <r>
    <n v="1112"/>
    <x v="2"/>
    <x v="1"/>
    <x v="281"/>
    <m/>
    <x v="0"/>
    <n v="31108"/>
    <x v="0"/>
    <n v="363"/>
  </r>
  <r>
    <n v="1113"/>
    <x v="0"/>
    <x v="2"/>
    <x v="557"/>
    <m/>
    <x v="0"/>
    <n v="34215"/>
    <x v="0"/>
    <n v="457"/>
  </r>
  <r>
    <n v="1114"/>
    <x v="1"/>
    <x v="3"/>
    <x v="376"/>
    <m/>
    <x v="0"/>
    <n v="7869"/>
    <x v="0"/>
    <n v="290"/>
  </r>
  <r>
    <n v="1115"/>
    <x v="2"/>
    <x v="4"/>
    <x v="403"/>
    <m/>
    <x v="0"/>
    <n v="53416"/>
    <x v="1"/>
    <n v="424"/>
  </r>
  <r>
    <n v="1116"/>
    <x v="0"/>
    <x v="5"/>
    <x v="500"/>
    <m/>
    <x v="0"/>
    <n v="34093"/>
    <x v="1"/>
    <n v="511"/>
  </r>
  <r>
    <n v="1117"/>
    <x v="1"/>
    <x v="6"/>
    <x v="343"/>
    <m/>
    <x v="0"/>
    <n v="22830"/>
    <x v="1"/>
    <n v="521"/>
  </r>
  <r>
    <n v="1118"/>
    <x v="2"/>
    <x v="7"/>
    <x v="558"/>
    <m/>
    <x v="0"/>
    <n v="26822"/>
    <x v="1"/>
    <n v="557"/>
  </r>
  <r>
    <n v="1119"/>
    <x v="0"/>
    <x v="0"/>
    <x v="134"/>
    <m/>
    <x v="0"/>
    <n v="41285"/>
    <x v="0"/>
    <n v="390"/>
  </r>
  <r>
    <n v="1120"/>
    <x v="1"/>
    <x v="1"/>
    <x v="98"/>
    <m/>
    <x v="0"/>
    <n v="1271"/>
    <x v="0"/>
    <n v="277"/>
  </r>
  <r>
    <n v="1121"/>
    <x v="2"/>
    <x v="2"/>
    <x v="559"/>
    <m/>
    <x v="0"/>
    <n v="2996"/>
    <x v="0"/>
    <n v="370"/>
  </r>
  <r>
    <n v="1122"/>
    <x v="0"/>
    <x v="3"/>
    <x v="363"/>
    <m/>
    <x v="0"/>
    <n v="42338"/>
    <x v="0"/>
    <n v="137"/>
  </r>
  <r>
    <n v="1123"/>
    <x v="1"/>
    <x v="4"/>
    <x v="560"/>
    <d v="2018-02-10T00:00:00"/>
    <x v="1"/>
    <n v="55511"/>
    <x v="1"/>
    <n v="62"/>
  </r>
  <r>
    <n v="1124"/>
    <x v="2"/>
    <x v="5"/>
    <x v="166"/>
    <m/>
    <x v="2"/>
    <n v="30278"/>
    <x v="1"/>
    <n v="162"/>
  </r>
  <r>
    <n v="1125"/>
    <x v="0"/>
    <x v="6"/>
    <x v="241"/>
    <m/>
    <x v="0"/>
    <n v="36498"/>
    <x v="1"/>
    <n v="177"/>
  </r>
  <r>
    <n v="1126"/>
    <x v="1"/>
    <x v="7"/>
    <x v="236"/>
    <m/>
    <x v="0"/>
    <n v="22817"/>
    <x v="1"/>
    <n v="364"/>
  </r>
  <r>
    <n v="1127"/>
    <x v="2"/>
    <x v="0"/>
    <x v="230"/>
    <m/>
    <x v="0"/>
    <n v="40849"/>
    <x v="0"/>
    <n v="312"/>
  </r>
  <r>
    <n v="1128"/>
    <x v="0"/>
    <x v="1"/>
    <x v="179"/>
    <m/>
    <x v="0"/>
    <n v="6167"/>
    <x v="0"/>
    <n v="402"/>
  </r>
  <r>
    <n v="1129"/>
    <x v="1"/>
    <x v="2"/>
    <x v="433"/>
    <m/>
    <x v="0"/>
    <n v="34884"/>
    <x v="0"/>
    <n v="172"/>
  </r>
  <r>
    <n v="1130"/>
    <x v="2"/>
    <x v="3"/>
    <x v="472"/>
    <m/>
    <x v="0"/>
    <n v="25243"/>
    <x v="0"/>
    <n v="462"/>
  </r>
  <r>
    <n v="1131"/>
    <x v="0"/>
    <x v="4"/>
    <x v="429"/>
    <m/>
    <x v="0"/>
    <n v="15015"/>
    <x v="1"/>
    <n v="200"/>
  </r>
  <r>
    <n v="1132"/>
    <x v="1"/>
    <x v="5"/>
    <x v="561"/>
    <m/>
    <x v="0"/>
    <n v="13202"/>
    <x v="1"/>
    <n v="582"/>
  </r>
  <r>
    <n v="1133"/>
    <x v="2"/>
    <x v="6"/>
    <x v="283"/>
    <m/>
    <x v="0"/>
    <n v="27972"/>
    <x v="1"/>
    <n v="125"/>
  </r>
  <r>
    <n v="1134"/>
    <x v="0"/>
    <x v="7"/>
    <x v="526"/>
    <m/>
    <x v="0"/>
    <n v="11295"/>
    <x v="1"/>
    <n v="412"/>
  </r>
  <r>
    <n v="1135"/>
    <x v="1"/>
    <x v="0"/>
    <x v="562"/>
    <m/>
    <x v="0"/>
    <n v="24939"/>
    <x v="0"/>
    <n v="317"/>
  </r>
  <r>
    <n v="1136"/>
    <x v="2"/>
    <x v="1"/>
    <x v="383"/>
    <d v="2017-11-29T00:00:00"/>
    <x v="1"/>
    <n v="45883"/>
    <x v="0"/>
    <n v="54"/>
  </r>
  <r>
    <n v="1137"/>
    <x v="0"/>
    <x v="2"/>
    <x v="563"/>
    <m/>
    <x v="2"/>
    <n v="51912"/>
    <x v="0"/>
    <n v="217"/>
  </r>
  <r>
    <n v="1138"/>
    <x v="1"/>
    <x v="3"/>
    <x v="396"/>
    <m/>
    <x v="0"/>
    <n v="1344"/>
    <x v="0"/>
    <n v="472"/>
  </r>
  <r>
    <n v="1139"/>
    <x v="2"/>
    <x v="4"/>
    <x v="247"/>
    <m/>
    <x v="0"/>
    <n v="54039"/>
    <x v="1"/>
    <n v="446"/>
  </r>
  <r>
    <n v="1140"/>
    <x v="0"/>
    <x v="5"/>
    <x v="564"/>
    <m/>
    <x v="0"/>
    <n v="29721"/>
    <x v="1"/>
    <n v="313"/>
  </r>
  <r>
    <n v="1141"/>
    <x v="1"/>
    <x v="6"/>
    <x v="71"/>
    <m/>
    <x v="0"/>
    <n v="54865"/>
    <x v="1"/>
    <n v="179"/>
  </r>
  <r>
    <n v="1142"/>
    <x v="2"/>
    <x v="7"/>
    <x v="395"/>
    <m/>
    <x v="0"/>
    <n v="42851"/>
    <x v="1"/>
    <n v="568"/>
  </r>
  <r>
    <n v="1143"/>
    <x v="0"/>
    <x v="0"/>
    <x v="291"/>
    <m/>
    <x v="0"/>
    <n v="8957"/>
    <x v="0"/>
    <n v="112"/>
  </r>
  <r>
    <n v="1144"/>
    <x v="1"/>
    <x v="1"/>
    <x v="53"/>
    <m/>
    <x v="0"/>
    <n v="59117"/>
    <x v="0"/>
    <n v="481"/>
  </r>
  <r>
    <n v="1145"/>
    <x v="2"/>
    <x v="2"/>
    <x v="565"/>
    <m/>
    <x v="0"/>
    <n v="2190"/>
    <x v="0"/>
    <n v="209"/>
  </r>
  <r>
    <n v="1146"/>
    <x v="0"/>
    <x v="3"/>
    <x v="307"/>
    <m/>
    <x v="0"/>
    <n v="31198"/>
    <x v="0"/>
    <n v="561"/>
  </r>
  <r>
    <n v="1147"/>
    <x v="1"/>
    <x v="4"/>
    <x v="292"/>
    <m/>
    <x v="0"/>
    <n v="39091"/>
    <x v="1"/>
    <n v="427"/>
  </r>
  <r>
    <n v="1148"/>
    <x v="2"/>
    <x v="5"/>
    <x v="566"/>
    <m/>
    <x v="0"/>
    <n v="29768"/>
    <x v="1"/>
    <n v="346"/>
  </r>
  <r>
    <n v="1149"/>
    <x v="0"/>
    <x v="6"/>
    <x v="567"/>
    <d v="2017-02-24T00:00:00"/>
    <x v="1"/>
    <n v="11073"/>
    <x v="1"/>
    <n v="25"/>
  </r>
  <r>
    <n v="1150"/>
    <x v="1"/>
    <x v="7"/>
    <x v="217"/>
    <m/>
    <x v="2"/>
    <n v="33664"/>
    <x v="1"/>
    <n v="249"/>
  </r>
  <r>
    <n v="1151"/>
    <x v="2"/>
    <x v="0"/>
    <x v="120"/>
    <m/>
    <x v="0"/>
    <n v="7580"/>
    <x v="0"/>
    <n v="528"/>
  </r>
  <r>
    <n v="1152"/>
    <x v="0"/>
    <x v="1"/>
    <x v="364"/>
    <m/>
    <x v="0"/>
    <n v="57286"/>
    <x v="0"/>
    <n v="407"/>
  </r>
  <r>
    <n v="1153"/>
    <x v="1"/>
    <x v="2"/>
    <x v="568"/>
    <m/>
    <x v="0"/>
    <n v="5420"/>
    <x v="0"/>
    <n v="492"/>
  </r>
  <r>
    <n v="1154"/>
    <x v="2"/>
    <x v="3"/>
    <x v="203"/>
    <m/>
    <x v="0"/>
    <n v="38587"/>
    <x v="0"/>
    <n v="442"/>
  </r>
  <r>
    <n v="1155"/>
    <x v="0"/>
    <x v="4"/>
    <x v="9"/>
    <m/>
    <x v="0"/>
    <n v="13648"/>
    <x v="1"/>
    <n v="598"/>
  </r>
  <r>
    <n v="1156"/>
    <x v="1"/>
    <x v="5"/>
    <x v="569"/>
    <m/>
    <x v="0"/>
    <n v="33803"/>
    <x v="1"/>
    <n v="474"/>
  </r>
  <r>
    <n v="1157"/>
    <x v="2"/>
    <x v="6"/>
    <x v="0"/>
    <m/>
    <x v="0"/>
    <n v="6239"/>
    <x v="1"/>
    <n v="477"/>
  </r>
  <r>
    <n v="1158"/>
    <x v="0"/>
    <x v="7"/>
    <x v="298"/>
    <m/>
    <x v="0"/>
    <n v="48381"/>
    <x v="1"/>
    <n v="237"/>
  </r>
  <r>
    <n v="1159"/>
    <x v="1"/>
    <x v="0"/>
    <x v="545"/>
    <m/>
    <x v="0"/>
    <n v="56439"/>
    <x v="0"/>
    <n v="527"/>
  </r>
  <r>
    <n v="1160"/>
    <x v="2"/>
    <x v="1"/>
    <x v="184"/>
    <m/>
    <x v="0"/>
    <n v="24346"/>
    <x v="0"/>
    <n v="412"/>
  </r>
  <r>
    <n v="1161"/>
    <x v="0"/>
    <x v="2"/>
    <x v="200"/>
    <m/>
    <x v="0"/>
    <n v="18735"/>
    <x v="0"/>
    <n v="532"/>
  </r>
  <r>
    <n v="1162"/>
    <x v="1"/>
    <x v="3"/>
    <x v="356"/>
    <d v="2017-04-01T00:00:00"/>
    <x v="1"/>
    <n v="27022"/>
    <x v="0"/>
    <n v="32"/>
  </r>
  <r>
    <n v="1163"/>
    <x v="2"/>
    <x v="4"/>
    <x v="570"/>
    <m/>
    <x v="2"/>
    <n v="52322"/>
    <x v="1"/>
    <n v="153"/>
  </r>
  <r>
    <n v="1164"/>
    <x v="0"/>
    <x v="5"/>
    <x v="496"/>
    <m/>
    <x v="0"/>
    <n v="9298"/>
    <x v="1"/>
    <n v="292"/>
  </r>
  <r>
    <n v="1165"/>
    <x v="1"/>
    <x v="6"/>
    <x v="404"/>
    <m/>
    <x v="0"/>
    <n v="13079"/>
    <x v="1"/>
    <n v="267"/>
  </r>
  <r>
    <n v="1166"/>
    <x v="2"/>
    <x v="7"/>
    <x v="571"/>
    <m/>
    <x v="0"/>
    <n v="10426"/>
    <x v="1"/>
    <n v="123"/>
  </r>
  <r>
    <n v="1167"/>
    <x v="0"/>
    <x v="0"/>
    <x v="198"/>
    <m/>
    <x v="0"/>
    <n v="9810"/>
    <x v="0"/>
    <n v="549"/>
  </r>
  <r>
    <n v="1168"/>
    <x v="1"/>
    <x v="1"/>
    <x v="75"/>
    <m/>
    <x v="0"/>
    <n v="1703"/>
    <x v="0"/>
    <n v="383"/>
  </r>
  <r>
    <n v="1169"/>
    <x v="2"/>
    <x v="2"/>
    <x v="477"/>
    <m/>
    <x v="0"/>
    <n v="40201"/>
    <x v="0"/>
    <n v="537"/>
  </r>
  <r>
    <n v="1170"/>
    <x v="0"/>
    <x v="3"/>
    <x v="104"/>
    <m/>
    <x v="0"/>
    <n v="59049"/>
    <x v="0"/>
    <n v="337"/>
  </r>
  <r>
    <n v="1171"/>
    <x v="1"/>
    <x v="4"/>
    <x v="498"/>
    <m/>
    <x v="0"/>
    <n v="39032"/>
    <x v="1"/>
    <n v="207"/>
  </r>
  <r>
    <n v="1172"/>
    <x v="2"/>
    <x v="5"/>
    <x v="124"/>
    <m/>
    <x v="0"/>
    <n v="32079"/>
    <x v="1"/>
    <n v="352"/>
  </r>
  <r>
    <n v="1173"/>
    <x v="0"/>
    <x v="6"/>
    <x v="131"/>
    <m/>
    <x v="0"/>
    <n v="54307"/>
    <x v="1"/>
    <n v="337"/>
  </r>
  <r>
    <n v="1174"/>
    <x v="1"/>
    <x v="7"/>
    <x v="423"/>
    <m/>
    <x v="0"/>
    <n v="7674"/>
    <x v="1"/>
    <n v="605"/>
  </r>
  <r>
    <n v="1175"/>
    <x v="2"/>
    <x v="0"/>
    <x v="246"/>
    <d v="2018-01-22T00:00:00"/>
    <x v="1"/>
    <n v="18467"/>
    <x v="0"/>
    <n v="50"/>
  </r>
  <r>
    <n v="1176"/>
    <x v="0"/>
    <x v="1"/>
    <x v="245"/>
    <m/>
    <x v="2"/>
    <n v="43650"/>
    <x v="0"/>
    <n v="366"/>
  </r>
  <r>
    <n v="1177"/>
    <x v="1"/>
    <x v="2"/>
    <x v="438"/>
    <m/>
    <x v="0"/>
    <n v="59241"/>
    <x v="0"/>
    <n v="522"/>
  </r>
  <r>
    <n v="1178"/>
    <x v="2"/>
    <x v="3"/>
    <x v="391"/>
    <m/>
    <x v="0"/>
    <n v="2166"/>
    <x v="0"/>
    <n v="512"/>
  </r>
  <r>
    <n v="1179"/>
    <x v="0"/>
    <x v="4"/>
    <x v="72"/>
    <m/>
    <x v="0"/>
    <n v="5073"/>
    <x v="1"/>
    <n v="352"/>
  </r>
  <r>
    <n v="1180"/>
    <x v="1"/>
    <x v="5"/>
    <x v="572"/>
    <m/>
    <x v="0"/>
    <n v="12707"/>
    <x v="1"/>
    <n v="411"/>
  </r>
  <r>
    <n v="1181"/>
    <x v="2"/>
    <x v="6"/>
    <x v="509"/>
    <m/>
    <x v="0"/>
    <n v="26668"/>
    <x v="1"/>
    <n v="467"/>
  </r>
  <r>
    <n v="1182"/>
    <x v="0"/>
    <x v="7"/>
    <x v="354"/>
    <m/>
    <x v="0"/>
    <n v="45334"/>
    <x v="1"/>
    <n v="323"/>
  </r>
  <r>
    <n v="1183"/>
    <x v="1"/>
    <x v="0"/>
    <x v="573"/>
    <m/>
    <x v="0"/>
    <n v="55649"/>
    <x v="0"/>
    <n v="437"/>
  </r>
  <r>
    <n v="1184"/>
    <x v="2"/>
    <x v="1"/>
    <x v="394"/>
    <m/>
    <x v="0"/>
    <n v="14625"/>
    <x v="0"/>
    <n v="367"/>
  </r>
  <r>
    <n v="1185"/>
    <x v="0"/>
    <x v="2"/>
    <x v="337"/>
    <m/>
    <x v="0"/>
    <n v="23120"/>
    <x v="0"/>
    <n v="114"/>
  </r>
  <r>
    <n v="1186"/>
    <x v="1"/>
    <x v="3"/>
    <x v="213"/>
    <m/>
    <x v="0"/>
    <n v="29748"/>
    <x v="0"/>
    <n v="437"/>
  </r>
  <r>
    <n v="1187"/>
    <x v="2"/>
    <x v="4"/>
    <x v="252"/>
    <m/>
    <x v="0"/>
    <n v="16418"/>
    <x v="1"/>
    <n v="560"/>
  </r>
  <r>
    <n v="1188"/>
    <x v="0"/>
    <x v="5"/>
    <x v="122"/>
    <d v="2017-03-12T00:00:00"/>
    <x v="1"/>
    <n v="10045"/>
    <x v="1"/>
    <n v="40"/>
  </r>
  <r>
    <n v="1189"/>
    <x v="1"/>
    <x v="6"/>
    <x v="453"/>
    <m/>
    <x v="2"/>
    <n v="56024"/>
    <x v="1"/>
    <n v="437"/>
  </r>
  <r>
    <n v="1190"/>
    <x v="2"/>
    <x v="7"/>
    <x v="199"/>
    <m/>
    <x v="0"/>
    <n v="11844"/>
    <x v="1"/>
    <n v="244"/>
  </r>
  <r>
    <n v="1191"/>
    <x v="0"/>
    <x v="0"/>
    <x v="250"/>
    <m/>
    <x v="0"/>
    <n v="1607"/>
    <x v="0"/>
    <n v="542"/>
  </r>
  <r>
    <n v="1192"/>
    <x v="1"/>
    <x v="1"/>
    <x v="417"/>
    <m/>
    <x v="0"/>
    <n v="59422"/>
    <x v="0"/>
    <n v="105"/>
  </r>
  <r>
    <n v="1193"/>
    <x v="2"/>
    <x v="2"/>
    <x v="498"/>
    <m/>
    <x v="0"/>
    <n v="24060"/>
    <x v="0"/>
    <n v="207"/>
  </r>
  <r>
    <n v="1194"/>
    <x v="0"/>
    <x v="3"/>
    <x v="374"/>
    <m/>
    <x v="0"/>
    <n v="51071"/>
    <x v="0"/>
    <n v="104"/>
  </r>
  <r>
    <n v="1195"/>
    <x v="1"/>
    <x v="4"/>
    <x v="151"/>
    <m/>
    <x v="0"/>
    <n v="35252"/>
    <x v="1"/>
    <n v="445"/>
  </r>
  <r>
    <n v="1196"/>
    <x v="2"/>
    <x v="5"/>
    <x v="348"/>
    <m/>
    <x v="0"/>
    <n v="17303"/>
    <x v="1"/>
    <n v="278"/>
  </r>
  <r>
    <n v="1197"/>
    <x v="0"/>
    <x v="6"/>
    <x v="161"/>
    <m/>
    <x v="0"/>
    <n v="23120"/>
    <x v="1"/>
    <n v="494"/>
  </r>
  <r>
    <n v="1198"/>
    <x v="1"/>
    <x v="7"/>
    <x v="124"/>
    <m/>
    <x v="0"/>
    <n v="38172"/>
    <x v="1"/>
    <n v="352"/>
  </r>
  <r>
    <n v="1199"/>
    <x v="2"/>
    <x v="0"/>
    <x v="574"/>
    <m/>
    <x v="0"/>
    <n v="6773"/>
    <x v="0"/>
    <n v="428"/>
  </r>
  <r>
    <n v="1200"/>
    <x v="0"/>
    <x v="1"/>
    <x v="436"/>
    <m/>
    <x v="0"/>
    <n v="10769"/>
    <x v="0"/>
    <n v="314"/>
  </r>
  <r>
    <n v="1201"/>
    <x v="1"/>
    <x v="2"/>
    <x v="406"/>
    <d v="2017-03-16T00:00:00"/>
    <x v="1"/>
    <n v="53912"/>
    <x v="0"/>
    <n v="47"/>
  </r>
  <r>
    <n v="1202"/>
    <x v="2"/>
    <x v="3"/>
    <x v="575"/>
    <m/>
    <x v="2"/>
    <n v="32602"/>
    <x v="0"/>
    <n v="589"/>
  </r>
  <r>
    <n v="1203"/>
    <x v="0"/>
    <x v="4"/>
    <x v="337"/>
    <m/>
    <x v="0"/>
    <n v="5788"/>
    <x v="1"/>
    <n v="114"/>
  </r>
  <r>
    <n v="1204"/>
    <x v="1"/>
    <x v="5"/>
    <x v="432"/>
    <m/>
    <x v="0"/>
    <n v="59914"/>
    <x v="1"/>
    <n v="264"/>
  </r>
  <r>
    <n v="1205"/>
    <x v="2"/>
    <x v="6"/>
    <x v="445"/>
    <m/>
    <x v="0"/>
    <n v="7611"/>
    <x v="1"/>
    <n v="331"/>
  </r>
  <r>
    <n v="1206"/>
    <x v="0"/>
    <x v="7"/>
    <x v="515"/>
    <m/>
    <x v="0"/>
    <n v="37466"/>
    <x v="1"/>
    <n v="292"/>
  </r>
  <r>
    <n v="1207"/>
    <x v="1"/>
    <x v="0"/>
    <x v="272"/>
    <m/>
    <x v="0"/>
    <n v="47896"/>
    <x v="0"/>
    <n v="356"/>
  </r>
  <r>
    <n v="1208"/>
    <x v="2"/>
    <x v="1"/>
    <x v="450"/>
    <m/>
    <x v="0"/>
    <n v="27474"/>
    <x v="0"/>
    <n v="212"/>
  </r>
  <r>
    <n v="1209"/>
    <x v="0"/>
    <x v="2"/>
    <x v="457"/>
    <m/>
    <x v="0"/>
    <n v="8588"/>
    <x v="0"/>
    <n v="539"/>
  </r>
  <r>
    <n v="1210"/>
    <x v="1"/>
    <x v="3"/>
    <x v="415"/>
    <m/>
    <x v="0"/>
    <n v="19116"/>
    <x v="0"/>
    <n v="240"/>
  </r>
  <r>
    <n v="1211"/>
    <x v="2"/>
    <x v="4"/>
    <x v="120"/>
    <m/>
    <x v="0"/>
    <n v="11195"/>
    <x v="1"/>
    <n v="528"/>
  </r>
  <r>
    <n v="1212"/>
    <x v="0"/>
    <x v="5"/>
    <x v="509"/>
    <m/>
    <x v="0"/>
    <n v="46501"/>
    <x v="1"/>
    <n v="467"/>
  </r>
  <r>
    <n v="1213"/>
    <x v="1"/>
    <x v="6"/>
    <x v="569"/>
    <m/>
    <x v="0"/>
    <n v="25955"/>
    <x v="1"/>
    <n v="474"/>
  </r>
  <r>
    <n v="1214"/>
    <x v="2"/>
    <x v="7"/>
    <x v="94"/>
    <d v="2017-03-19T00:00:00"/>
    <x v="1"/>
    <n v="7452"/>
    <x v="1"/>
    <n v="94"/>
  </r>
  <r>
    <n v="1215"/>
    <x v="0"/>
    <x v="0"/>
    <x v="30"/>
    <m/>
    <x v="2"/>
    <n v="14108"/>
    <x v="0"/>
    <n v="497"/>
  </r>
  <r>
    <n v="1216"/>
    <x v="1"/>
    <x v="1"/>
    <x v="305"/>
    <m/>
    <x v="0"/>
    <n v="37279"/>
    <x v="0"/>
    <n v="404"/>
  </r>
  <r>
    <n v="1217"/>
    <x v="2"/>
    <x v="2"/>
    <x v="381"/>
    <m/>
    <x v="0"/>
    <n v="57662"/>
    <x v="0"/>
    <n v="156"/>
  </r>
  <r>
    <n v="1218"/>
    <x v="0"/>
    <x v="3"/>
    <x v="548"/>
    <m/>
    <x v="0"/>
    <n v="2346"/>
    <x v="0"/>
    <n v="232"/>
  </r>
  <r>
    <n v="1219"/>
    <x v="1"/>
    <x v="4"/>
    <x v="576"/>
    <m/>
    <x v="0"/>
    <n v="41007"/>
    <x v="1"/>
    <n v="122"/>
  </r>
  <r>
    <n v="1220"/>
    <x v="2"/>
    <x v="5"/>
    <x v="319"/>
    <m/>
    <x v="0"/>
    <n v="41101"/>
    <x v="1"/>
    <n v="216"/>
  </r>
  <r>
    <n v="1221"/>
    <x v="0"/>
    <x v="6"/>
    <x v="414"/>
    <m/>
    <x v="0"/>
    <n v="5511"/>
    <x v="1"/>
    <n v="371"/>
  </r>
  <r>
    <n v="1222"/>
    <x v="1"/>
    <x v="7"/>
    <x v="509"/>
    <m/>
    <x v="0"/>
    <n v="30337"/>
    <x v="1"/>
    <n v="467"/>
  </r>
  <r>
    <n v="1223"/>
    <x v="2"/>
    <x v="0"/>
    <x v="577"/>
    <m/>
    <x v="0"/>
    <n v="15068"/>
    <x v="0"/>
    <n v="328"/>
  </r>
  <r>
    <n v="1224"/>
    <x v="0"/>
    <x v="1"/>
    <x v="525"/>
    <m/>
    <x v="0"/>
    <n v="17428"/>
    <x v="0"/>
    <n v="466"/>
  </r>
  <r>
    <n v="1225"/>
    <x v="1"/>
    <x v="2"/>
    <x v="57"/>
    <m/>
    <x v="0"/>
    <n v="28606"/>
    <x v="0"/>
    <n v="303"/>
  </r>
  <r>
    <n v="1226"/>
    <x v="2"/>
    <x v="3"/>
    <x v="578"/>
    <m/>
    <x v="0"/>
    <n v="46756"/>
    <x v="0"/>
    <n v="122"/>
  </r>
  <r>
    <n v="1227"/>
    <x v="0"/>
    <x v="4"/>
    <x v="579"/>
    <d v="2017-08-14T00:00:00"/>
    <x v="1"/>
    <n v="48405"/>
    <x v="1"/>
    <n v="111"/>
  </r>
  <r>
    <n v="1228"/>
    <x v="1"/>
    <x v="5"/>
    <x v="580"/>
    <m/>
    <x v="2"/>
    <n v="16366"/>
    <x v="1"/>
    <n v="401"/>
  </r>
  <r>
    <n v="1229"/>
    <x v="2"/>
    <x v="6"/>
    <x v="277"/>
    <m/>
    <x v="0"/>
    <n v="43126"/>
    <x v="1"/>
    <n v="522"/>
  </r>
  <r>
    <n v="1230"/>
    <x v="0"/>
    <x v="7"/>
    <x v="523"/>
    <m/>
    <x v="0"/>
    <n v="36134"/>
    <x v="1"/>
    <n v="252"/>
  </r>
  <r>
    <n v="1231"/>
    <x v="1"/>
    <x v="0"/>
    <x v="552"/>
    <m/>
    <x v="0"/>
    <n v="45184"/>
    <x v="0"/>
    <n v="611"/>
  </r>
  <r>
    <n v="1232"/>
    <x v="2"/>
    <x v="1"/>
    <x v="581"/>
    <m/>
    <x v="0"/>
    <n v="54665"/>
    <x v="0"/>
    <n v="450"/>
  </r>
  <r>
    <n v="1233"/>
    <x v="0"/>
    <x v="2"/>
    <x v="172"/>
    <m/>
    <x v="0"/>
    <n v="11825"/>
    <x v="0"/>
    <n v="553"/>
  </r>
  <r>
    <n v="1234"/>
    <x v="1"/>
    <x v="3"/>
    <x v="582"/>
    <m/>
    <x v="0"/>
    <n v="10350"/>
    <x v="0"/>
    <n v="118"/>
  </r>
  <r>
    <n v="1235"/>
    <x v="2"/>
    <x v="4"/>
    <x v="583"/>
    <m/>
    <x v="0"/>
    <n v="32580"/>
    <x v="1"/>
    <n v="554"/>
  </r>
  <r>
    <n v="1236"/>
    <x v="0"/>
    <x v="5"/>
    <x v="526"/>
    <m/>
    <x v="0"/>
    <n v="47904"/>
    <x v="1"/>
    <n v="412"/>
  </r>
  <r>
    <n v="1237"/>
    <x v="1"/>
    <x v="6"/>
    <x v="584"/>
    <m/>
    <x v="0"/>
    <n v="13973"/>
    <x v="1"/>
    <n v="465"/>
  </r>
  <r>
    <n v="1238"/>
    <x v="2"/>
    <x v="7"/>
    <x v="305"/>
    <m/>
    <x v="0"/>
    <n v="55385"/>
    <x v="1"/>
    <n v="404"/>
  </r>
  <r>
    <n v="1239"/>
    <x v="0"/>
    <x v="0"/>
    <x v="260"/>
    <m/>
    <x v="0"/>
    <n v="25667"/>
    <x v="0"/>
    <n v="151"/>
  </r>
  <r>
    <n v="1240"/>
    <x v="1"/>
    <x v="1"/>
    <x v="585"/>
    <d v="2017-02-22T00:00:00"/>
    <x v="1"/>
    <n v="1706"/>
    <x v="0"/>
    <n v="63"/>
  </r>
  <r>
    <n v="1241"/>
    <x v="2"/>
    <x v="2"/>
    <x v="189"/>
    <m/>
    <x v="2"/>
    <n v="41796"/>
    <x v="0"/>
    <n v="517"/>
  </r>
  <r>
    <n v="1242"/>
    <x v="0"/>
    <x v="3"/>
    <x v="586"/>
    <m/>
    <x v="0"/>
    <n v="13335"/>
    <x v="0"/>
    <n v="594"/>
  </r>
  <r>
    <n v="1243"/>
    <x v="1"/>
    <x v="4"/>
    <x v="271"/>
    <m/>
    <x v="0"/>
    <n v="18297"/>
    <x v="1"/>
    <n v="597"/>
  </r>
  <r>
    <n v="1244"/>
    <x v="2"/>
    <x v="5"/>
    <x v="587"/>
    <m/>
    <x v="0"/>
    <n v="2720"/>
    <x v="1"/>
    <n v="552"/>
  </r>
  <r>
    <n v="1245"/>
    <x v="0"/>
    <x v="6"/>
    <x v="256"/>
    <m/>
    <x v="0"/>
    <n v="16425"/>
    <x v="1"/>
    <n v="599"/>
  </r>
  <r>
    <n v="1246"/>
    <x v="1"/>
    <x v="7"/>
    <x v="179"/>
    <m/>
    <x v="0"/>
    <n v="8745"/>
    <x v="1"/>
    <n v="402"/>
  </r>
  <r>
    <n v="1247"/>
    <x v="2"/>
    <x v="0"/>
    <x v="588"/>
    <m/>
    <x v="0"/>
    <n v="5666"/>
    <x v="0"/>
    <n v="487"/>
  </r>
  <r>
    <n v="1248"/>
    <x v="0"/>
    <x v="1"/>
    <x v="589"/>
    <m/>
    <x v="0"/>
    <n v="24947"/>
    <x v="0"/>
    <n v="160"/>
  </r>
  <r>
    <n v="1249"/>
    <x v="1"/>
    <x v="2"/>
    <x v="76"/>
    <m/>
    <x v="0"/>
    <n v="34871"/>
    <x v="0"/>
    <n v="470"/>
  </r>
  <r>
    <n v="1250"/>
    <x v="2"/>
    <x v="3"/>
    <x v="590"/>
    <m/>
    <x v="0"/>
    <n v="5461"/>
    <x v="0"/>
    <n v="580"/>
  </r>
  <r>
    <n v="1251"/>
    <x v="0"/>
    <x v="4"/>
    <x v="565"/>
    <m/>
    <x v="0"/>
    <n v="42514"/>
    <x v="1"/>
    <n v="209"/>
  </r>
  <r>
    <n v="1252"/>
    <x v="1"/>
    <x v="5"/>
    <x v="354"/>
    <m/>
    <x v="0"/>
    <n v="35240"/>
    <x v="1"/>
    <n v="323"/>
  </r>
  <r>
    <n v="1253"/>
    <x v="2"/>
    <x v="6"/>
    <x v="591"/>
    <d v="2016-05-09T00:00:00"/>
    <x v="1"/>
    <n v="34757"/>
    <x v="1"/>
    <n v="41"/>
  </r>
  <r>
    <n v="1254"/>
    <x v="0"/>
    <x v="7"/>
    <x v="137"/>
    <m/>
    <x v="2"/>
    <n v="51171"/>
    <x v="1"/>
    <n v="152"/>
  </r>
  <r>
    <n v="1255"/>
    <x v="1"/>
    <x v="0"/>
    <x v="592"/>
    <m/>
    <x v="0"/>
    <n v="30699"/>
    <x v="0"/>
    <n v="332"/>
  </r>
  <r>
    <n v="1256"/>
    <x v="2"/>
    <x v="1"/>
    <x v="523"/>
    <m/>
    <x v="0"/>
    <n v="887"/>
    <x v="0"/>
    <n v="252"/>
  </r>
  <r>
    <n v="1257"/>
    <x v="0"/>
    <x v="2"/>
    <x v="400"/>
    <m/>
    <x v="0"/>
    <n v="4147"/>
    <x v="0"/>
    <n v="438"/>
  </r>
  <r>
    <n v="1258"/>
    <x v="1"/>
    <x v="3"/>
    <x v="545"/>
    <m/>
    <x v="0"/>
    <n v="33191"/>
    <x v="0"/>
    <n v="527"/>
  </r>
  <r>
    <n v="1259"/>
    <x v="2"/>
    <x v="4"/>
    <x v="84"/>
    <m/>
    <x v="0"/>
    <n v="30361"/>
    <x v="1"/>
    <n v="137"/>
  </r>
  <r>
    <n v="1260"/>
    <x v="0"/>
    <x v="5"/>
    <x v="565"/>
    <m/>
    <x v="0"/>
    <n v="41625"/>
    <x v="1"/>
    <n v="209"/>
  </r>
  <r>
    <n v="1261"/>
    <x v="1"/>
    <x v="6"/>
    <x v="576"/>
    <m/>
    <x v="0"/>
    <n v="41756"/>
    <x v="1"/>
    <n v="122"/>
  </r>
  <r>
    <n v="1262"/>
    <x v="2"/>
    <x v="7"/>
    <x v="593"/>
    <m/>
    <x v="0"/>
    <n v="59358"/>
    <x v="1"/>
    <n v="344"/>
  </r>
  <r>
    <n v="1263"/>
    <x v="0"/>
    <x v="0"/>
    <x v="594"/>
    <m/>
    <x v="0"/>
    <n v="48973"/>
    <x v="0"/>
    <n v="277"/>
  </r>
  <r>
    <n v="1264"/>
    <x v="1"/>
    <x v="1"/>
    <x v="256"/>
    <m/>
    <x v="0"/>
    <n v="50392"/>
    <x v="0"/>
    <n v="599"/>
  </r>
  <r>
    <n v="1265"/>
    <x v="2"/>
    <x v="2"/>
    <x v="17"/>
    <m/>
    <x v="0"/>
    <n v="11247"/>
    <x v="0"/>
    <n v="535"/>
  </r>
  <r>
    <n v="1266"/>
    <x v="0"/>
    <x v="3"/>
    <x v="19"/>
    <d v="2017-05-09T00:00:00"/>
    <x v="1"/>
    <n v="57743"/>
    <x v="0"/>
    <n v="62"/>
  </r>
  <r>
    <n v="1267"/>
    <x v="1"/>
    <x v="4"/>
    <x v="408"/>
    <m/>
    <x v="2"/>
    <n v="29249"/>
    <x v="1"/>
    <n v="231"/>
  </r>
  <r>
    <n v="1268"/>
    <x v="2"/>
    <x v="5"/>
    <x v="507"/>
    <m/>
    <x v="0"/>
    <n v="47123"/>
    <x v="1"/>
    <n v="427"/>
  </r>
  <r>
    <n v="1269"/>
    <x v="0"/>
    <x v="6"/>
    <x v="396"/>
    <m/>
    <x v="0"/>
    <n v="40602"/>
    <x v="1"/>
    <n v="472"/>
  </r>
  <r>
    <n v="1270"/>
    <x v="1"/>
    <x v="7"/>
    <x v="438"/>
    <m/>
    <x v="0"/>
    <n v="17493"/>
    <x v="1"/>
    <n v="522"/>
  </r>
  <r>
    <n v="1271"/>
    <x v="2"/>
    <x v="0"/>
    <x v="258"/>
    <m/>
    <x v="0"/>
    <n v="50310"/>
    <x v="0"/>
    <n v="115"/>
  </r>
  <r>
    <n v="1272"/>
    <x v="0"/>
    <x v="1"/>
    <x v="364"/>
    <m/>
    <x v="0"/>
    <n v="38270"/>
    <x v="0"/>
    <n v="407"/>
  </r>
  <r>
    <n v="1273"/>
    <x v="1"/>
    <x v="2"/>
    <x v="27"/>
    <m/>
    <x v="0"/>
    <n v="16801"/>
    <x v="0"/>
    <n v="616"/>
  </r>
  <r>
    <n v="1274"/>
    <x v="2"/>
    <x v="3"/>
    <x v="467"/>
    <m/>
    <x v="0"/>
    <n v="56579"/>
    <x v="0"/>
    <n v="215"/>
  </r>
  <r>
    <n v="1275"/>
    <x v="0"/>
    <x v="4"/>
    <x v="445"/>
    <m/>
    <x v="0"/>
    <n v="5643"/>
    <x v="1"/>
    <n v="331"/>
  </r>
  <r>
    <n v="1276"/>
    <x v="1"/>
    <x v="5"/>
    <x v="442"/>
    <m/>
    <x v="0"/>
    <n v="36207"/>
    <x v="1"/>
    <n v="414"/>
  </r>
  <r>
    <n v="1277"/>
    <x v="2"/>
    <x v="6"/>
    <x v="287"/>
    <m/>
    <x v="0"/>
    <n v="51017"/>
    <x v="1"/>
    <n v="387"/>
  </r>
  <r>
    <n v="1278"/>
    <x v="0"/>
    <x v="7"/>
    <x v="283"/>
    <m/>
    <x v="0"/>
    <n v="10405"/>
    <x v="1"/>
    <n v="125"/>
  </r>
  <r>
    <n v="1279"/>
    <x v="1"/>
    <x v="0"/>
    <x v="595"/>
    <d v="2018-02-10T00:00:00"/>
    <x v="1"/>
    <n v="56128"/>
    <x v="0"/>
    <n v="60"/>
  </r>
  <r>
    <n v="1280"/>
    <x v="2"/>
    <x v="1"/>
    <x v="596"/>
    <m/>
    <x v="2"/>
    <n v="46549"/>
    <x v="0"/>
    <n v="422"/>
  </r>
  <r>
    <n v="1281"/>
    <x v="0"/>
    <x v="2"/>
    <x v="223"/>
    <m/>
    <x v="0"/>
    <n v="56170"/>
    <x v="0"/>
    <n v="597"/>
  </r>
  <r>
    <n v="1282"/>
    <x v="1"/>
    <x v="3"/>
    <x v="597"/>
    <m/>
    <x v="0"/>
    <n v="18652"/>
    <x v="0"/>
    <n v="442"/>
  </r>
  <r>
    <n v="1283"/>
    <x v="2"/>
    <x v="4"/>
    <x v="598"/>
    <m/>
    <x v="0"/>
    <n v="15252"/>
    <x v="1"/>
    <n v="119"/>
  </r>
  <r>
    <n v="1284"/>
    <x v="0"/>
    <x v="5"/>
    <x v="564"/>
    <m/>
    <x v="0"/>
    <n v="41171"/>
    <x v="1"/>
    <n v="313"/>
  </r>
  <r>
    <n v="1285"/>
    <x v="1"/>
    <x v="6"/>
    <x v="296"/>
    <m/>
    <x v="0"/>
    <n v="59026"/>
    <x v="1"/>
    <n v="305"/>
  </r>
  <r>
    <n v="1286"/>
    <x v="2"/>
    <x v="7"/>
    <x v="257"/>
    <m/>
    <x v="0"/>
    <n v="21083"/>
    <x v="1"/>
    <n v="242"/>
  </r>
  <r>
    <n v="1287"/>
    <x v="0"/>
    <x v="0"/>
    <x v="332"/>
    <m/>
    <x v="0"/>
    <n v="33546"/>
    <x v="0"/>
    <n v="239"/>
  </r>
  <r>
    <n v="1288"/>
    <x v="1"/>
    <x v="1"/>
    <x v="389"/>
    <m/>
    <x v="0"/>
    <n v="56825"/>
    <x v="0"/>
    <n v="435"/>
  </r>
  <r>
    <n v="1289"/>
    <x v="2"/>
    <x v="2"/>
    <x v="599"/>
    <m/>
    <x v="0"/>
    <n v="44166"/>
    <x v="0"/>
    <n v="168"/>
  </r>
  <r>
    <n v="1290"/>
    <x v="0"/>
    <x v="3"/>
    <x v="600"/>
    <m/>
    <x v="0"/>
    <n v="38720"/>
    <x v="0"/>
    <n v="266"/>
  </r>
  <r>
    <n v="1291"/>
    <x v="1"/>
    <x v="4"/>
    <x v="122"/>
    <m/>
    <x v="0"/>
    <n v="1445"/>
    <x v="1"/>
    <n v="347"/>
  </r>
  <r>
    <n v="1292"/>
    <x v="2"/>
    <x v="5"/>
    <x v="21"/>
    <d v="2016-07-14T00:00:00"/>
    <x v="1"/>
    <n v="57659"/>
    <x v="1"/>
    <n v="60"/>
  </r>
  <r>
    <n v="1293"/>
    <x v="0"/>
    <x v="6"/>
    <x v="64"/>
    <m/>
    <x v="2"/>
    <n v="31371"/>
    <x v="1"/>
    <n v="152"/>
  </r>
  <r>
    <n v="1294"/>
    <x v="1"/>
    <x v="7"/>
    <x v="78"/>
    <m/>
    <x v="0"/>
    <n v="55949"/>
    <x v="1"/>
    <n v="304"/>
  </r>
  <r>
    <n v="1295"/>
    <x v="2"/>
    <x v="0"/>
    <x v="31"/>
    <m/>
    <x v="0"/>
    <n v="42901"/>
    <x v="0"/>
    <n v="582"/>
  </r>
  <r>
    <n v="1296"/>
    <x v="0"/>
    <x v="1"/>
    <x v="428"/>
    <m/>
    <x v="0"/>
    <n v="19061"/>
    <x v="0"/>
    <n v="150"/>
  </r>
  <r>
    <n v="1297"/>
    <x v="1"/>
    <x v="2"/>
    <x v="44"/>
    <m/>
    <x v="0"/>
    <n v="42814"/>
    <x v="0"/>
    <n v="380"/>
  </r>
  <r>
    <n v="1298"/>
    <x v="2"/>
    <x v="3"/>
    <x v="325"/>
    <m/>
    <x v="0"/>
    <n v="29067"/>
    <x v="0"/>
    <n v="473"/>
  </r>
  <r>
    <n v="1299"/>
    <x v="0"/>
    <x v="4"/>
    <x v="211"/>
    <m/>
    <x v="0"/>
    <n v="57751"/>
    <x v="1"/>
    <n v="512"/>
  </r>
  <r>
    <n v="1300"/>
    <x v="1"/>
    <x v="5"/>
    <x v="253"/>
    <m/>
    <x v="0"/>
    <n v="36318"/>
    <x v="1"/>
    <n v="197"/>
  </r>
  <r>
    <n v="1301"/>
    <x v="2"/>
    <x v="6"/>
    <x v="601"/>
    <m/>
    <x v="0"/>
    <n v="48326"/>
    <x v="1"/>
    <n v="495"/>
  </r>
  <r>
    <n v="1302"/>
    <x v="0"/>
    <x v="7"/>
    <x v="482"/>
    <m/>
    <x v="0"/>
    <n v="24550"/>
    <x v="1"/>
    <n v="378"/>
  </r>
  <r>
    <n v="1303"/>
    <x v="1"/>
    <x v="0"/>
    <x v="404"/>
    <m/>
    <x v="0"/>
    <n v="12378"/>
    <x v="0"/>
    <n v="267"/>
  </r>
  <r>
    <n v="1304"/>
    <x v="2"/>
    <x v="1"/>
    <x v="215"/>
    <m/>
    <x v="0"/>
    <n v="15057"/>
    <x v="0"/>
    <n v="147"/>
  </r>
  <r>
    <n v="1305"/>
    <x v="0"/>
    <x v="2"/>
    <x v="602"/>
    <d v="2016-05-20T00:00:00"/>
    <x v="1"/>
    <n v="2491"/>
    <x v="0"/>
    <n v="40"/>
  </r>
  <r>
    <n v="1306"/>
    <x v="1"/>
    <x v="3"/>
    <x v="169"/>
    <m/>
    <x v="2"/>
    <n v="8346"/>
    <x v="0"/>
    <n v="537"/>
  </r>
  <r>
    <n v="1307"/>
    <x v="2"/>
    <x v="4"/>
    <x v="255"/>
    <m/>
    <x v="0"/>
    <n v="16777"/>
    <x v="1"/>
    <n v="372"/>
  </r>
  <r>
    <n v="1308"/>
    <x v="0"/>
    <x v="5"/>
    <x v="542"/>
    <m/>
    <x v="0"/>
    <n v="38829"/>
    <x v="1"/>
    <n v="562"/>
  </r>
  <r>
    <n v="1309"/>
    <x v="1"/>
    <x v="6"/>
    <x v="468"/>
    <m/>
    <x v="0"/>
    <n v="36789"/>
    <x v="1"/>
    <n v="581"/>
  </r>
  <r>
    <n v="1310"/>
    <x v="2"/>
    <x v="7"/>
    <x v="355"/>
    <m/>
    <x v="0"/>
    <n v="29454"/>
    <x v="1"/>
    <n v="315"/>
  </r>
  <r>
    <n v="1311"/>
    <x v="0"/>
    <x v="0"/>
    <x v="264"/>
    <m/>
    <x v="0"/>
    <n v="54933"/>
    <x v="0"/>
    <n v="394"/>
  </r>
  <r>
    <n v="1312"/>
    <x v="1"/>
    <x v="1"/>
    <x v="81"/>
    <m/>
    <x v="0"/>
    <n v="3972"/>
    <x v="0"/>
    <n v="262"/>
  </r>
  <r>
    <n v="1313"/>
    <x v="2"/>
    <x v="2"/>
    <x v="186"/>
    <m/>
    <x v="0"/>
    <n v="49811"/>
    <x v="0"/>
    <n v="257"/>
  </r>
  <r>
    <n v="1314"/>
    <x v="0"/>
    <x v="3"/>
    <x v="160"/>
    <m/>
    <x v="0"/>
    <n v="6709"/>
    <x v="0"/>
    <n v="161"/>
  </r>
  <r>
    <n v="1315"/>
    <x v="1"/>
    <x v="4"/>
    <x v="65"/>
    <m/>
    <x v="0"/>
    <n v="21846"/>
    <x v="1"/>
    <n v="507"/>
  </r>
  <r>
    <n v="1316"/>
    <x v="2"/>
    <x v="5"/>
    <x v="14"/>
    <m/>
    <x v="0"/>
    <n v="38100"/>
    <x v="1"/>
    <n v="301"/>
  </r>
  <r>
    <n v="1317"/>
    <x v="0"/>
    <x v="6"/>
    <x v="267"/>
    <m/>
    <x v="0"/>
    <n v="45943"/>
    <x v="1"/>
    <n v="228"/>
  </r>
  <r>
    <n v="1318"/>
    <x v="1"/>
    <x v="7"/>
    <x v="603"/>
    <d v="2016-06-26T00:00:00"/>
    <x v="1"/>
    <n v="50280"/>
    <x v="1"/>
    <n v="28"/>
  </r>
  <r>
    <n v="1319"/>
    <x v="2"/>
    <x v="0"/>
    <x v="392"/>
    <m/>
    <x v="2"/>
    <n v="38516"/>
    <x v="0"/>
    <n v="248"/>
  </r>
  <r>
    <n v="1320"/>
    <x v="0"/>
    <x v="1"/>
    <x v="604"/>
    <m/>
    <x v="0"/>
    <n v="30368"/>
    <x v="0"/>
    <n v="421"/>
  </r>
  <r>
    <n v="1321"/>
    <x v="1"/>
    <x v="2"/>
    <x v="531"/>
    <m/>
    <x v="0"/>
    <n v="43291"/>
    <x v="0"/>
    <n v="527"/>
  </r>
  <r>
    <n v="1322"/>
    <x v="2"/>
    <x v="3"/>
    <x v="135"/>
    <m/>
    <x v="0"/>
    <n v="22216"/>
    <x v="0"/>
    <n v="311"/>
  </r>
  <r>
    <n v="1323"/>
    <x v="0"/>
    <x v="4"/>
    <x v="605"/>
    <m/>
    <x v="0"/>
    <n v="16185"/>
    <x v="1"/>
    <n v="354"/>
  </r>
  <r>
    <n v="1324"/>
    <x v="1"/>
    <x v="5"/>
    <x v="381"/>
    <m/>
    <x v="0"/>
    <n v="54938"/>
    <x v="1"/>
    <n v="156"/>
  </r>
  <r>
    <n v="1325"/>
    <x v="2"/>
    <x v="6"/>
    <x v="469"/>
    <m/>
    <x v="0"/>
    <n v="58818"/>
    <x v="1"/>
    <n v="316"/>
  </r>
  <r>
    <n v="1326"/>
    <x v="0"/>
    <x v="7"/>
    <x v="14"/>
    <m/>
    <x v="0"/>
    <n v="35693"/>
    <x v="1"/>
    <n v="301"/>
  </r>
  <r>
    <n v="1327"/>
    <x v="1"/>
    <x v="0"/>
    <x v="358"/>
    <m/>
    <x v="0"/>
    <n v="54856"/>
    <x v="0"/>
    <n v="333"/>
  </r>
  <r>
    <n v="1328"/>
    <x v="2"/>
    <x v="1"/>
    <x v="402"/>
    <m/>
    <x v="0"/>
    <n v="29753"/>
    <x v="0"/>
    <n v="175"/>
  </r>
  <r>
    <n v="1329"/>
    <x v="0"/>
    <x v="2"/>
    <x v="563"/>
    <m/>
    <x v="0"/>
    <n v="2776"/>
    <x v="0"/>
    <n v="217"/>
  </r>
  <r>
    <n v="1330"/>
    <x v="1"/>
    <x v="3"/>
    <x v="237"/>
    <m/>
    <x v="0"/>
    <n v="59952"/>
    <x v="0"/>
    <n v="296"/>
  </r>
  <r>
    <n v="1331"/>
    <x v="2"/>
    <x v="4"/>
    <x v="291"/>
    <d v="2018-02-04T00:00:00"/>
    <x v="1"/>
    <n v="14295"/>
    <x v="1"/>
    <n v="40"/>
  </r>
  <r>
    <n v="1332"/>
    <x v="0"/>
    <x v="5"/>
    <x v="305"/>
    <m/>
    <x v="2"/>
    <n v="58077"/>
    <x v="1"/>
    <n v="404"/>
  </r>
  <r>
    <n v="1333"/>
    <x v="1"/>
    <x v="6"/>
    <x v="175"/>
    <m/>
    <x v="0"/>
    <n v="53652"/>
    <x v="1"/>
    <n v="523"/>
  </r>
  <r>
    <n v="1334"/>
    <x v="2"/>
    <x v="7"/>
    <x v="36"/>
    <m/>
    <x v="0"/>
    <n v="22686"/>
    <x v="1"/>
    <n v="416"/>
  </r>
  <r>
    <n v="1335"/>
    <x v="0"/>
    <x v="0"/>
    <x v="86"/>
    <m/>
    <x v="0"/>
    <n v="11145"/>
    <x v="0"/>
    <n v="282"/>
  </r>
  <r>
    <n v="1336"/>
    <x v="1"/>
    <x v="1"/>
    <x v="169"/>
    <m/>
    <x v="0"/>
    <n v="21755"/>
    <x v="0"/>
    <n v="537"/>
  </r>
  <r>
    <n v="1337"/>
    <x v="2"/>
    <x v="2"/>
    <x v="500"/>
    <m/>
    <x v="0"/>
    <n v="27353"/>
    <x v="0"/>
    <n v="511"/>
  </r>
  <r>
    <n v="1338"/>
    <x v="0"/>
    <x v="3"/>
    <x v="246"/>
    <m/>
    <x v="0"/>
    <n v="46854"/>
    <x v="0"/>
    <n v="131"/>
  </r>
  <r>
    <n v="1339"/>
    <x v="1"/>
    <x v="4"/>
    <x v="606"/>
    <m/>
    <x v="0"/>
    <n v="52009"/>
    <x v="1"/>
    <n v="459"/>
  </r>
  <r>
    <n v="1340"/>
    <x v="2"/>
    <x v="5"/>
    <x v="312"/>
    <m/>
    <x v="0"/>
    <n v="3611"/>
    <x v="1"/>
    <n v="482"/>
  </r>
  <r>
    <n v="1341"/>
    <x v="0"/>
    <x v="6"/>
    <x v="361"/>
    <m/>
    <x v="0"/>
    <n v="5641"/>
    <x v="1"/>
    <n v="154"/>
  </r>
  <r>
    <n v="1342"/>
    <x v="1"/>
    <x v="7"/>
    <x v="257"/>
    <m/>
    <x v="0"/>
    <n v="12663"/>
    <x v="1"/>
    <n v="242"/>
  </r>
  <r>
    <n v="1343"/>
    <x v="2"/>
    <x v="0"/>
    <x v="137"/>
    <m/>
    <x v="0"/>
    <n v="16546"/>
    <x v="0"/>
    <n v="152"/>
  </r>
  <r>
    <n v="1344"/>
    <x v="0"/>
    <x v="1"/>
    <x v="289"/>
    <d v="2017-07-22T00:00:00"/>
    <x v="1"/>
    <n v="52414"/>
    <x v="0"/>
    <n v="25"/>
  </r>
  <r>
    <n v="1345"/>
    <x v="1"/>
    <x v="2"/>
    <x v="555"/>
    <m/>
    <x v="2"/>
    <n v="14639"/>
    <x v="0"/>
    <n v="572"/>
  </r>
  <r>
    <n v="1346"/>
    <x v="2"/>
    <x v="3"/>
    <x v="146"/>
    <m/>
    <x v="0"/>
    <n v="4137"/>
    <x v="0"/>
    <n v="158"/>
  </r>
  <r>
    <n v="1347"/>
    <x v="0"/>
    <x v="4"/>
    <x v="54"/>
    <m/>
    <x v="0"/>
    <n v="43293"/>
    <x v="1"/>
    <n v="614"/>
  </r>
  <r>
    <n v="1348"/>
    <x v="1"/>
    <x v="5"/>
    <x v="229"/>
    <m/>
    <x v="0"/>
    <n v="14943"/>
    <x v="1"/>
    <n v="529"/>
  </r>
  <r>
    <n v="1349"/>
    <x v="2"/>
    <x v="6"/>
    <x v="11"/>
    <m/>
    <x v="0"/>
    <n v="45122"/>
    <x v="1"/>
    <n v="504"/>
  </r>
  <r>
    <n v="1350"/>
    <x v="0"/>
    <x v="7"/>
    <x v="148"/>
    <m/>
    <x v="0"/>
    <n v="59844"/>
    <x v="1"/>
    <n v="210"/>
  </r>
  <r>
    <n v="1351"/>
    <x v="1"/>
    <x v="0"/>
    <x v="134"/>
    <m/>
    <x v="0"/>
    <n v="11059"/>
    <x v="0"/>
    <n v="390"/>
  </r>
  <r>
    <n v="1352"/>
    <x v="2"/>
    <x v="1"/>
    <x v="541"/>
    <m/>
    <x v="0"/>
    <n v="6535"/>
    <x v="0"/>
    <n v="349"/>
  </r>
  <r>
    <n v="1353"/>
    <x v="0"/>
    <x v="2"/>
    <x v="554"/>
    <m/>
    <x v="0"/>
    <n v="32548"/>
    <x v="0"/>
    <n v="299"/>
  </r>
  <r>
    <n v="1354"/>
    <x v="1"/>
    <x v="3"/>
    <x v="449"/>
    <m/>
    <x v="0"/>
    <n v="39454"/>
    <x v="0"/>
    <n v="182"/>
  </r>
  <r>
    <n v="1355"/>
    <x v="2"/>
    <x v="4"/>
    <x v="519"/>
    <m/>
    <x v="0"/>
    <n v="50822"/>
    <x v="1"/>
    <n v="530"/>
  </r>
  <r>
    <n v="1356"/>
    <x v="0"/>
    <x v="5"/>
    <x v="33"/>
    <m/>
    <x v="0"/>
    <n v="15327"/>
    <x v="1"/>
    <n v="552"/>
  </r>
  <r>
    <n v="1357"/>
    <x v="1"/>
    <x v="6"/>
    <x v="150"/>
    <d v="2016-05-23T00:00:00"/>
    <x v="1"/>
    <n v="36786"/>
    <x v="1"/>
    <n v="34"/>
  </r>
  <r>
    <n v="1358"/>
    <x v="2"/>
    <x v="7"/>
    <x v="409"/>
    <m/>
    <x v="2"/>
    <n v="49593"/>
    <x v="1"/>
    <n v="576"/>
  </r>
  <r>
    <n v="1359"/>
    <x v="0"/>
    <x v="0"/>
    <x v="199"/>
    <m/>
    <x v="0"/>
    <n v="13476"/>
    <x v="0"/>
    <n v="244"/>
  </r>
  <r>
    <n v="1360"/>
    <x v="1"/>
    <x v="1"/>
    <x v="451"/>
    <m/>
    <x v="0"/>
    <n v="32662"/>
    <x v="0"/>
    <n v="178"/>
  </r>
  <r>
    <n v="1361"/>
    <x v="2"/>
    <x v="2"/>
    <x v="291"/>
    <m/>
    <x v="0"/>
    <n v="57617"/>
    <x v="0"/>
    <n v="112"/>
  </r>
  <r>
    <n v="1362"/>
    <x v="0"/>
    <x v="3"/>
    <x v="607"/>
    <m/>
    <x v="0"/>
    <n v="51364"/>
    <x v="0"/>
    <n v="234"/>
  </r>
  <r>
    <n v="1363"/>
    <x v="1"/>
    <x v="4"/>
    <x v="551"/>
    <m/>
    <x v="0"/>
    <n v="17095"/>
    <x v="1"/>
    <n v="607"/>
  </r>
  <r>
    <n v="1364"/>
    <x v="2"/>
    <x v="5"/>
    <x v="582"/>
    <m/>
    <x v="0"/>
    <n v="18484"/>
    <x v="1"/>
    <n v="118"/>
  </r>
  <r>
    <n v="1365"/>
    <x v="0"/>
    <x v="6"/>
    <x v="608"/>
    <m/>
    <x v="0"/>
    <n v="40349"/>
    <x v="1"/>
    <n v="423"/>
  </r>
  <r>
    <n v="1366"/>
    <x v="1"/>
    <x v="7"/>
    <x v="609"/>
    <m/>
    <x v="0"/>
    <n v="30846"/>
    <x v="1"/>
    <n v="377"/>
  </r>
  <r>
    <n v="1367"/>
    <x v="2"/>
    <x v="0"/>
    <x v="195"/>
    <m/>
    <x v="0"/>
    <n v="37324"/>
    <x v="0"/>
    <n v="219"/>
  </r>
  <r>
    <n v="1368"/>
    <x v="0"/>
    <x v="1"/>
    <x v="610"/>
    <m/>
    <x v="0"/>
    <n v="51176"/>
    <x v="0"/>
    <n v="192"/>
  </r>
  <r>
    <n v="1369"/>
    <x v="1"/>
    <x v="2"/>
    <x v="161"/>
    <m/>
    <x v="0"/>
    <n v="44041"/>
    <x v="0"/>
    <n v="494"/>
  </r>
  <r>
    <n v="1370"/>
    <x v="2"/>
    <x v="3"/>
    <x v="298"/>
    <d v="2017-08-21T00:00:00"/>
    <x v="1"/>
    <n v="1869"/>
    <x v="0"/>
    <n v="46"/>
  </r>
  <r>
    <n v="1371"/>
    <x v="0"/>
    <x v="4"/>
    <x v="164"/>
    <m/>
    <x v="2"/>
    <n v="39192"/>
    <x v="1"/>
    <n v="190"/>
  </r>
  <r>
    <n v="1372"/>
    <x v="1"/>
    <x v="5"/>
    <x v="484"/>
    <m/>
    <x v="0"/>
    <n v="761"/>
    <x v="1"/>
    <n v="332"/>
  </r>
  <r>
    <n v="1373"/>
    <x v="2"/>
    <x v="6"/>
    <x v="611"/>
    <m/>
    <x v="0"/>
    <n v="26193"/>
    <x v="1"/>
    <n v="406"/>
  </r>
  <r>
    <n v="1374"/>
    <x v="0"/>
    <x v="7"/>
    <x v="580"/>
    <m/>
    <x v="0"/>
    <n v="25532"/>
    <x v="1"/>
    <n v="401"/>
  </r>
  <r>
    <n v="1375"/>
    <x v="1"/>
    <x v="0"/>
    <x v="585"/>
    <m/>
    <x v="0"/>
    <n v="16490"/>
    <x v="0"/>
    <n v="382"/>
  </r>
  <r>
    <n v="1376"/>
    <x v="2"/>
    <x v="1"/>
    <x v="393"/>
    <m/>
    <x v="0"/>
    <n v="19393"/>
    <x v="0"/>
    <n v="112"/>
  </r>
  <r>
    <n v="1377"/>
    <x v="0"/>
    <x v="2"/>
    <x v="165"/>
    <m/>
    <x v="0"/>
    <n v="52748"/>
    <x v="0"/>
    <n v="222"/>
  </r>
  <r>
    <n v="1378"/>
    <x v="1"/>
    <x v="3"/>
    <x v="319"/>
    <m/>
    <x v="0"/>
    <n v="1773"/>
    <x v="0"/>
    <n v="216"/>
  </r>
  <r>
    <n v="1379"/>
    <x v="2"/>
    <x v="4"/>
    <x v="612"/>
    <m/>
    <x v="0"/>
    <n v="54146"/>
    <x v="1"/>
    <n v="326"/>
  </r>
  <r>
    <n v="1380"/>
    <x v="0"/>
    <x v="5"/>
    <x v="418"/>
    <m/>
    <x v="0"/>
    <n v="56304"/>
    <x v="1"/>
    <n v="227"/>
  </r>
  <r>
    <n v="1381"/>
    <x v="1"/>
    <x v="6"/>
    <x v="613"/>
    <m/>
    <x v="0"/>
    <n v="9380"/>
    <x v="1"/>
    <n v="584"/>
  </r>
  <r>
    <n v="1382"/>
    <x v="2"/>
    <x v="7"/>
    <x v="72"/>
    <m/>
    <x v="0"/>
    <n v="26655"/>
    <x v="1"/>
    <n v="352"/>
  </r>
  <r>
    <n v="1383"/>
    <x v="0"/>
    <x v="0"/>
    <x v="614"/>
    <d v="2017-08-31T00:00:00"/>
    <x v="1"/>
    <n v="17732"/>
    <x v="0"/>
    <n v="101"/>
  </r>
  <r>
    <n v="1384"/>
    <x v="1"/>
    <x v="1"/>
    <x v="232"/>
    <m/>
    <x v="2"/>
    <n v="49828"/>
    <x v="0"/>
    <n v="447"/>
  </r>
  <r>
    <n v="1385"/>
    <x v="2"/>
    <x v="2"/>
    <x v="21"/>
    <m/>
    <x v="0"/>
    <n v="35356"/>
    <x v="0"/>
    <n v="538"/>
  </r>
  <r>
    <n v="1386"/>
    <x v="0"/>
    <x v="3"/>
    <x v="337"/>
    <m/>
    <x v="0"/>
    <n v="48966"/>
    <x v="0"/>
    <n v="114"/>
  </r>
  <r>
    <n v="1387"/>
    <x v="1"/>
    <x v="4"/>
    <x v="307"/>
    <m/>
    <x v="0"/>
    <n v="19695"/>
    <x v="1"/>
    <n v="561"/>
  </r>
  <r>
    <n v="1388"/>
    <x v="2"/>
    <x v="5"/>
    <x v="505"/>
    <m/>
    <x v="0"/>
    <n v="28581"/>
    <x v="1"/>
    <n v="187"/>
  </r>
  <r>
    <n v="1389"/>
    <x v="0"/>
    <x v="6"/>
    <x v="97"/>
    <m/>
    <x v="0"/>
    <n v="16439"/>
    <x v="1"/>
    <n v="298"/>
  </r>
  <r>
    <n v="1390"/>
    <x v="1"/>
    <x v="7"/>
    <x v="323"/>
    <m/>
    <x v="0"/>
    <n v="2754"/>
    <x v="1"/>
    <n v="170"/>
  </r>
  <r>
    <n v="1391"/>
    <x v="2"/>
    <x v="0"/>
    <x v="473"/>
    <m/>
    <x v="0"/>
    <n v="41686"/>
    <x v="0"/>
    <n v="261"/>
  </r>
  <r>
    <n v="1392"/>
    <x v="0"/>
    <x v="1"/>
    <x v="615"/>
    <m/>
    <x v="0"/>
    <n v="59861"/>
    <x v="0"/>
    <n v="191"/>
  </r>
  <r>
    <n v="1393"/>
    <x v="1"/>
    <x v="2"/>
    <x v="366"/>
    <m/>
    <x v="0"/>
    <n v="26359"/>
    <x v="0"/>
    <n v="462"/>
  </r>
  <r>
    <n v="1394"/>
    <x v="2"/>
    <x v="3"/>
    <x v="313"/>
    <m/>
    <x v="0"/>
    <n v="44435"/>
    <x v="0"/>
    <n v="593"/>
  </r>
  <r>
    <n v="1395"/>
    <x v="0"/>
    <x v="4"/>
    <x v="614"/>
    <m/>
    <x v="0"/>
    <n v="22252"/>
    <x v="1"/>
    <n v="284"/>
  </r>
  <r>
    <n v="1396"/>
    <x v="1"/>
    <x v="5"/>
    <x v="585"/>
    <d v="2017-01-29T00:00:00"/>
    <x v="1"/>
    <n v="36482"/>
    <x v="1"/>
    <n v="45"/>
  </r>
  <r>
    <n v="1397"/>
    <x v="2"/>
    <x v="6"/>
    <x v="274"/>
    <m/>
    <x v="2"/>
    <n v="35698"/>
    <x v="1"/>
    <n v="293"/>
  </r>
  <r>
    <n v="1398"/>
    <x v="0"/>
    <x v="7"/>
    <x v="82"/>
    <m/>
    <x v="0"/>
    <n v="54360"/>
    <x v="1"/>
    <n v="192"/>
  </r>
  <r>
    <n v="1399"/>
    <x v="1"/>
    <x v="0"/>
    <x v="616"/>
    <m/>
    <x v="0"/>
    <n v="21161"/>
    <x v="0"/>
    <n v="417"/>
  </r>
  <r>
    <n v="1400"/>
    <x v="2"/>
    <x v="1"/>
    <x v="35"/>
    <m/>
    <x v="0"/>
    <n v="30942"/>
    <x v="0"/>
    <n v="503"/>
  </r>
  <r>
    <n v="1401"/>
    <x v="0"/>
    <x v="2"/>
    <x v="39"/>
    <m/>
    <x v="0"/>
    <n v="6790"/>
    <x v="0"/>
    <n v="569"/>
  </r>
  <r>
    <n v="1402"/>
    <x v="1"/>
    <x v="3"/>
    <x v="617"/>
    <m/>
    <x v="0"/>
    <n v="33544"/>
    <x v="0"/>
    <n v="447"/>
  </r>
  <r>
    <n v="1403"/>
    <x v="2"/>
    <x v="4"/>
    <x v="41"/>
    <m/>
    <x v="0"/>
    <n v="5575"/>
    <x v="1"/>
    <n v="388"/>
  </r>
  <r>
    <n v="1404"/>
    <x v="0"/>
    <x v="5"/>
    <x v="359"/>
    <m/>
    <x v="0"/>
    <n v="50301"/>
    <x v="1"/>
    <n v="425"/>
  </r>
  <r>
    <n v="1405"/>
    <x v="1"/>
    <x v="6"/>
    <x v="317"/>
    <m/>
    <x v="0"/>
    <n v="5198"/>
    <x v="1"/>
    <n v="447"/>
  </r>
  <r>
    <n v="1406"/>
    <x v="2"/>
    <x v="7"/>
    <x v="425"/>
    <m/>
    <x v="0"/>
    <n v="42032"/>
    <x v="1"/>
    <n v="489"/>
  </r>
  <r>
    <n v="1407"/>
    <x v="0"/>
    <x v="0"/>
    <x v="618"/>
    <m/>
    <x v="0"/>
    <n v="10921"/>
    <x v="0"/>
    <n v="186"/>
  </r>
  <r>
    <n v="1408"/>
    <x v="1"/>
    <x v="1"/>
    <x v="183"/>
    <m/>
    <x v="0"/>
    <n v="26158"/>
    <x v="0"/>
    <n v="109"/>
  </r>
  <r>
    <n v="1409"/>
    <x v="2"/>
    <x v="2"/>
    <x v="126"/>
    <d v="2016-04-13T00:00:00"/>
    <x v="1"/>
    <n v="50267"/>
    <x v="0"/>
    <n v="19"/>
  </r>
  <r>
    <n v="1410"/>
    <x v="0"/>
    <x v="3"/>
    <x v="572"/>
    <m/>
    <x v="2"/>
    <n v="34811"/>
    <x v="0"/>
    <n v="411"/>
  </r>
  <r>
    <n v="1411"/>
    <x v="1"/>
    <x v="4"/>
    <x v="417"/>
    <m/>
    <x v="0"/>
    <n v="39164"/>
    <x v="1"/>
    <n v="105"/>
  </r>
  <r>
    <n v="1412"/>
    <x v="2"/>
    <x v="5"/>
    <x v="488"/>
    <m/>
    <x v="0"/>
    <n v="6115"/>
    <x v="1"/>
    <n v="402"/>
  </r>
  <r>
    <n v="1413"/>
    <x v="0"/>
    <x v="6"/>
    <x v="17"/>
    <m/>
    <x v="0"/>
    <n v="35645"/>
    <x v="1"/>
    <n v="535"/>
  </r>
  <r>
    <n v="1414"/>
    <x v="1"/>
    <x v="7"/>
    <x v="157"/>
    <m/>
    <x v="0"/>
    <n v="47585"/>
    <x v="1"/>
    <n v="317"/>
  </r>
  <r>
    <n v="1415"/>
    <x v="2"/>
    <x v="0"/>
    <x v="384"/>
    <m/>
    <x v="0"/>
    <n v="11244"/>
    <x v="0"/>
    <n v="591"/>
  </r>
  <r>
    <n v="1416"/>
    <x v="0"/>
    <x v="1"/>
    <x v="619"/>
    <m/>
    <x v="0"/>
    <n v="42386"/>
    <x v="0"/>
    <n v="587"/>
  </r>
  <r>
    <n v="1417"/>
    <x v="1"/>
    <x v="2"/>
    <x v="472"/>
    <m/>
    <x v="0"/>
    <n v="26461"/>
    <x v="0"/>
    <n v="462"/>
  </r>
  <r>
    <n v="1418"/>
    <x v="2"/>
    <x v="3"/>
    <x v="620"/>
    <m/>
    <x v="0"/>
    <n v="18075"/>
    <x v="0"/>
    <n v="318"/>
  </r>
  <r>
    <n v="1419"/>
    <x v="0"/>
    <x v="4"/>
    <x v="567"/>
    <m/>
    <x v="0"/>
    <n v="1786"/>
    <x v="1"/>
    <n v="342"/>
  </r>
  <r>
    <n v="1420"/>
    <x v="1"/>
    <x v="5"/>
    <x v="274"/>
    <m/>
    <x v="0"/>
    <n v="12479"/>
    <x v="1"/>
    <n v="293"/>
  </r>
  <r>
    <n v="1421"/>
    <x v="2"/>
    <x v="6"/>
    <x v="570"/>
    <m/>
    <x v="0"/>
    <n v="45985"/>
    <x v="1"/>
    <n v="153"/>
  </r>
  <r>
    <n v="1422"/>
    <x v="0"/>
    <x v="7"/>
    <x v="559"/>
    <d v="2017-01-16T00:00:00"/>
    <x v="1"/>
    <n v="49534"/>
    <x v="1"/>
    <n v="24"/>
  </r>
  <r>
    <n v="1423"/>
    <x v="1"/>
    <x v="0"/>
    <x v="556"/>
    <m/>
    <x v="2"/>
    <n v="50721"/>
    <x v="0"/>
    <n v="343"/>
  </r>
  <r>
    <n v="1424"/>
    <x v="2"/>
    <x v="1"/>
    <x v="183"/>
    <m/>
    <x v="0"/>
    <n v="23965"/>
    <x v="0"/>
    <n v="109"/>
  </r>
  <r>
    <n v="1425"/>
    <x v="0"/>
    <x v="2"/>
    <x v="13"/>
    <m/>
    <x v="0"/>
    <n v="12398"/>
    <x v="0"/>
    <n v="192"/>
  </r>
  <r>
    <n v="1426"/>
    <x v="1"/>
    <x v="3"/>
    <x v="48"/>
    <m/>
    <x v="0"/>
    <n v="6023"/>
    <x v="0"/>
    <n v="393"/>
  </r>
  <r>
    <n v="1427"/>
    <x v="2"/>
    <x v="4"/>
    <x v="621"/>
    <m/>
    <x v="0"/>
    <n v="30771"/>
    <x v="1"/>
    <n v="223"/>
  </r>
  <r>
    <n v="1428"/>
    <x v="0"/>
    <x v="5"/>
    <x v="478"/>
    <m/>
    <x v="0"/>
    <n v="58332"/>
    <x v="1"/>
    <n v="327"/>
  </r>
  <r>
    <n v="1429"/>
    <x v="1"/>
    <x v="6"/>
    <x v="13"/>
    <m/>
    <x v="0"/>
    <n v="37825"/>
    <x v="1"/>
    <n v="192"/>
  </r>
  <r>
    <n v="1430"/>
    <x v="2"/>
    <x v="7"/>
    <x v="487"/>
    <m/>
    <x v="0"/>
    <n v="12002"/>
    <x v="1"/>
    <n v="347"/>
  </r>
  <r>
    <n v="1431"/>
    <x v="0"/>
    <x v="0"/>
    <x v="90"/>
    <m/>
    <x v="0"/>
    <n v="50577"/>
    <x v="0"/>
    <n v="479"/>
  </r>
  <r>
    <n v="1432"/>
    <x v="1"/>
    <x v="1"/>
    <x v="622"/>
    <m/>
    <x v="0"/>
    <n v="27533"/>
    <x v="0"/>
    <n v="157"/>
  </r>
  <r>
    <n v="1433"/>
    <x v="2"/>
    <x v="2"/>
    <x v="34"/>
    <m/>
    <x v="0"/>
    <n v="19944"/>
    <x v="0"/>
    <n v="271"/>
  </r>
  <r>
    <n v="1434"/>
    <x v="0"/>
    <x v="3"/>
    <x v="54"/>
    <m/>
    <x v="0"/>
    <n v="29214"/>
    <x v="0"/>
    <n v="614"/>
  </r>
  <r>
    <n v="1435"/>
    <x v="1"/>
    <x v="4"/>
    <x v="130"/>
    <d v="2016-08-14T00:00:00"/>
    <x v="1"/>
    <n v="48978"/>
    <x v="1"/>
    <n v="45"/>
  </r>
  <r>
    <n v="1436"/>
    <x v="2"/>
    <x v="5"/>
    <x v="383"/>
    <m/>
    <x v="2"/>
    <n v="47705"/>
    <x v="1"/>
    <n v="173"/>
  </r>
  <r>
    <n v="1437"/>
    <x v="0"/>
    <x v="6"/>
    <x v="103"/>
    <m/>
    <x v="0"/>
    <n v="40615"/>
    <x v="1"/>
    <n v="557"/>
  </r>
  <r>
    <n v="1438"/>
    <x v="1"/>
    <x v="7"/>
    <x v="249"/>
    <m/>
    <x v="0"/>
    <n v="40396"/>
    <x v="1"/>
    <n v="572"/>
  </r>
  <r>
    <n v="1439"/>
    <x v="2"/>
    <x v="0"/>
    <x v="331"/>
    <m/>
    <x v="0"/>
    <n v="49680"/>
    <x v="0"/>
    <n v="525"/>
  </r>
  <r>
    <n v="1440"/>
    <x v="0"/>
    <x v="1"/>
    <x v="44"/>
    <m/>
    <x v="0"/>
    <n v="49794"/>
    <x v="0"/>
    <n v="380"/>
  </r>
  <r>
    <n v="1441"/>
    <x v="1"/>
    <x v="2"/>
    <x v="623"/>
    <m/>
    <x v="0"/>
    <n v="32035"/>
    <x v="0"/>
    <n v="137"/>
  </r>
  <r>
    <n v="1442"/>
    <x v="2"/>
    <x v="3"/>
    <x v="140"/>
    <m/>
    <x v="0"/>
    <n v="5129"/>
    <x v="0"/>
    <n v="588"/>
  </r>
  <r>
    <n v="1443"/>
    <x v="0"/>
    <x v="4"/>
    <x v="382"/>
    <m/>
    <x v="0"/>
    <n v="24215"/>
    <x v="1"/>
    <n v="377"/>
  </r>
  <r>
    <n v="1444"/>
    <x v="1"/>
    <x v="5"/>
    <x v="611"/>
    <m/>
    <x v="0"/>
    <n v="23515"/>
    <x v="1"/>
    <n v="406"/>
  </r>
  <r>
    <n v="1445"/>
    <x v="2"/>
    <x v="6"/>
    <x v="315"/>
    <m/>
    <x v="0"/>
    <n v="1146"/>
    <x v="1"/>
    <n v="165"/>
  </r>
  <r>
    <n v="1446"/>
    <x v="0"/>
    <x v="7"/>
    <x v="285"/>
    <m/>
    <x v="0"/>
    <n v="44596"/>
    <x v="1"/>
    <n v="245"/>
  </r>
  <r>
    <n v="1447"/>
    <x v="1"/>
    <x v="0"/>
    <x v="237"/>
    <m/>
    <x v="0"/>
    <n v="30955"/>
    <x v="0"/>
    <n v="296"/>
  </r>
  <r>
    <n v="1448"/>
    <x v="2"/>
    <x v="1"/>
    <x v="624"/>
    <d v="2016-10-07T00:00:00"/>
    <x v="1"/>
    <n v="50324"/>
    <x v="0"/>
    <n v="74"/>
  </r>
  <r>
    <n v="1449"/>
    <x v="0"/>
    <x v="2"/>
    <x v="378"/>
    <m/>
    <x v="2"/>
    <n v="11161"/>
    <x v="0"/>
    <n v="467"/>
  </r>
  <r>
    <n v="1450"/>
    <x v="1"/>
    <x v="3"/>
    <x v="42"/>
    <m/>
    <x v="0"/>
    <n v="40122"/>
    <x v="0"/>
    <n v="472"/>
  </r>
  <r>
    <n v="1451"/>
    <x v="2"/>
    <x v="4"/>
    <x v="623"/>
    <m/>
    <x v="0"/>
    <n v="39200"/>
    <x v="1"/>
    <n v="137"/>
  </r>
  <r>
    <n v="1452"/>
    <x v="0"/>
    <x v="5"/>
    <x v="150"/>
    <m/>
    <x v="0"/>
    <n v="48648"/>
    <x v="1"/>
    <n v="550"/>
  </r>
  <r>
    <n v="1453"/>
    <x v="1"/>
    <x v="6"/>
    <x v="130"/>
    <m/>
    <x v="0"/>
    <n v="37610"/>
    <x v="1"/>
    <n v="502"/>
  </r>
  <r>
    <n v="1454"/>
    <x v="2"/>
    <x v="7"/>
    <x v="364"/>
    <m/>
    <x v="0"/>
    <n v="27214"/>
    <x v="1"/>
    <n v="407"/>
  </r>
  <r>
    <n v="1455"/>
    <x v="0"/>
    <x v="0"/>
    <x v="444"/>
    <m/>
    <x v="0"/>
    <n v="10397"/>
    <x v="0"/>
    <n v="610"/>
  </r>
  <r>
    <n v="1456"/>
    <x v="1"/>
    <x v="1"/>
    <x v="625"/>
    <m/>
    <x v="0"/>
    <n v="16437"/>
    <x v="0"/>
    <n v="172"/>
  </r>
  <r>
    <n v="1457"/>
    <x v="2"/>
    <x v="2"/>
    <x v="588"/>
    <m/>
    <x v="0"/>
    <n v="5059"/>
    <x v="0"/>
    <n v="487"/>
  </r>
  <r>
    <n v="1458"/>
    <x v="0"/>
    <x v="3"/>
    <x v="18"/>
    <m/>
    <x v="0"/>
    <n v="36132"/>
    <x v="0"/>
    <n v="111"/>
  </r>
  <r>
    <n v="1459"/>
    <x v="1"/>
    <x v="4"/>
    <x v="626"/>
    <m/>
    <x v="0"/>
    <n v="50449"/>
    <x v="1"/>
    <n v="464"/>
  </r>
  <r>
    <n v="1460"/>
    <x v="2"/>
    <x v="5"/>
    <x v="57"/>
    <m/>
    <x v="0"/>
    <n v="31058"/>
    <x v="1"/>
    <n v="303"/>
  </r>
  <r>
    <n v="1461"/>
    <x v="0"/>
    <x v="6"/>
    <x v="424"/>
    <d v="2016-12-02T00:00:00"/>
    <x v="1"/>
    <n v="13541"/>
    <x v="1"/>
    <n v="77"/>
  </r>
  <r>
    <n v="1462"/>
    <x v="1"/>
    <x v="7"/>
    <x v="544"/>
    <m/>
    <x v="2"/>
    <n v="25620"/>
    <x v="1"/>
    <n v="155"/>
  </r>
  <r>
    <n v="1463"/>
    <x v="2"/>
    <x v="0"/>
    <x v="125"/>
    <m/>
    <x v="0"/>
    <n v="39164"/>
    <x v="0"/>
    <n v="243"/>
  </r>
  <r>
    <n v="1464"/>
    <x v="0"/>
    <x v="1"/>
    <x v="195"/>
    <m/>
    <x v="0"/>
    <n v="46957"/>
    <x v="0"/>
    <n v="219"/>
  </r>
  <r>
    <n v="1465"/>
    <x v="1"/>
    <x v="2"/>
    <x v="136"/>
    <m/>
    <x v="0"/>
    <n v="23570"/>
    <x v="0"/>
    <n v="329"/>
  </r>
  <r>
    <n v="1466"/>
    <x v="2"/>
    <x v="3"/>
    <x v="397"/>
    <m/>
    <x v="0"/>
    <n v="41635"/>
    <x v="0"/>
    <n v="374"/>
  </r>
  <r>
    <n v="1467"/>
    <x v="0"/>
    <x v="4"/>
    <x v="211"/>
    <m/>
    <x v="0"/>
    <n v="52316"/>
    <x v="1"/>
    <n v="512"/>
  </r>
  <r>
    <n v="1468"/>
    <x v="1"/>
    <x v="5"/>
    <x v="436"/>
    <m/>
    <x v="0"/>
    <n v="3079"/>
    <x v="1"/>
    <n v="314"/>
  </r>
  <r>
    <n v="1469"/>
    <x v="2"/>
    <x v="6"/>
    <x v="241"/>
    <m/>
    <x v="0"/>
    <n v="43287"/>
    <x v="1"/>
    <n v="177"/>
  </r>
  <r>
    <n v="1470"/>
    <x v="0"/>
    <x v="7"/>
    <x v="263"/>
    <m/>
    <x v="0"/>
    <n v="22616"/>
    <x v="1"/>
    <n v="565"/>
  </r>
  <r>
    <n v="1471"/>
    <x v="1"/>
    <x v="0"/>
    <x v="159"/>
    <m/>
    <x v="0"/>
    <n v="58025"/>
    <x v="0"/>
    <n v="270"/>
  </r>
  <r>
    <n v="1472"/>
    <x v="2"/>
    <x v="1"/>
    <x v="404"/>
    <m/>
    <x v="0"/>
    <n v="17195"/>
    <x v="0"/>
    <n v="267"/>
  </r>
  <r>
    <n v="1473"/>
    <x v="0"/>
    <x v="2"/>
    <x v="214"/>
    <m/>
    <x v="0"/>
    <n v="3294"/>
    <x v="0"/>
    <n v="510"/>
  </r>
  <r>
    <n v="1474"/>
    <x v="1"/>
    <x v="3"/>
    <x v="344"/>
    <d v="2016-04-30T00:00:00"/>
    <x v="1"/>
    <n v="46471"/>
    <x v="0"/>
    <n v="41"/>
  </r>
  <r>
    <n v="1475"/>
    <x v="2"/>
    <x v="4"/>
    <x v="45"/>
    <m/>
    <x v="2"/>
    <n v="36755"/>
    <x v="1"/>
    <n v="526"/>
  </r>
  <r>
    <n v="1476"/>
    <x v="0"/>
    <x v="5"/>
    <x v="627"/>
    <m/>
    <x v="0"/>
    <n v="54394"/>
    <x v="1"/>
    <n v="585"/>
  </r>
  <r>
    <n v="1477"/>
    <x v="1"/>
    <x v="6"/>
    <x v="243"/>
    <m/>
    <x v="0"/>
    <n v="28538"/>
    <x v="1"/>
    <n v="486"/>
  </r>
  <r>
    <n v="1478"/>
    <x v="2"/>
    <x v="7"/>
    <x v="628"/>
    <m/>
    <x v="0"/>
    <n v="56406"/>
    <x v="1"/>
    <n v="392"/>
  </r>
  <r>
    <n v="1479"/>
    <x v="0"/>
    <x v="0"/>
    <x v="628"/>
    <m/>
    <x v="0"/>
    <n v="20232"/>
    <x v="0"/>
    <n v="392"/>
  </r>
  <r>
    <n v="1480"/>
    <x v="1"/>
    <x v="1"/>
    <x v="511"/>
    <m/>
    <x v="0"/>
    <n v="20901"/>
    <x v="0"/>
    <n v="492"/>
  </r>
  <r>
    <n v="1481"/>
    <x v="2"/>
    <x v="2"/>
    <x v="98"/>
    <m/>
    <x v="0"/>
    <n v="46268"/>
    <x v="0"/>
    <n v="277"/>
  </r>
  <r>
    <n v="1482"/>
    <x v="0"/>
    <x v="3"/>
    <x v="8"/>
    <m/>
    <x v="0"/>
    <n v="11247"/>
    <x v="0"/>
    <n v="358"/>
  </r>
  <r>
    <n v="1483"/>
    <x v="1"/>
    <x v="4"/>
    <x v="376"/>
    <m/>
    <x v="0"/>
    <n v="22790"/>
    <x v="1"/>
    <n v="290"/>
  </r>
  <r>
    <n v="1484"/>
    <x v="2"/>
    <x v="5"/>
    <x v="363"/>
    <m/>
    <x v="0"/>
    <n v="28549"/>
    <x v="1"/>
    <n v="137"/>
  </r>
  <r>
    <n v="1485"/>
    <x v="0"/>
    <x v="6"/>
    <x v="220"/>
    <m/>
    <x v="0"/>
    <n v="38783"/>
    <x v="1"/>
    <n v="236"/>
  </r>
  <r>
    <n v="1486"/>
    <x v="1"/>
    <x v="7"/>
    <x v="629"/>
    <m/>
    <x v="0"/>
    <n v="59561"/>
    <x v="1"/>
    <n v="201"/>
  </r>
  <r>
    <n v="1487"/>
    <x v="2"/>
    <x v="0"/>
    <x v="126"/>
    <d v="2016-05-03T00:00:00"/>
    <x v="1"/>
    <n v="18804"/>
    <x v="0"/>
    <n v="33"/>
  </r>
  <r>
    <n v="1488"/>
    <x v="0"/>
    <x v="1"/>
    <x v="328"/>
    <m/>
    <x v="2"/>
    <n v="21668"/>
    <x v="0"/>
    <n v="272"/>
  </r>
  <r>
    <n v="1489"/>
    <x v="1"/>
    <x v="2"/>
    <x v="595"/>
    <m/>
    <x v="0"/>
    <n v="5757"/>
    <x v="0"/>
    <n v="127"/>
  </r>
  <r>
    <n v="1490"/>
    <x v="2"/>
    <x v="3"/>
    <x v="393"/>
    <m/>
    <x v="0"/>
    <n v="40043"/>
    <x v="0"/>
    <n v="112"/>
  </r>
  <r>
    <n v="1491"/>
    <x v="0"/>
    <x v="4"/>
    <x v="196"/>
    <m/>
    <x v="0"/>
    <n v="4746"/>
    <x v="1"/>
    <n v="309"/>
  </r>
  <r>
    <n v="1492"/>
    <x v="1"/>
    <x v="5"/>
    <x v="609"/>
    <m/>
    <x v="0"/>
    <n v="12467"/>
    <x v="1"/>
    <n v="377"/>
  </r>
  <r>
    <n v="1493"/>
    <x v="2"/>
    <x v="6"/>
    <x v="430"/>
    <m/>
    <x v="0"/>
    <n v="19917"/>
    <x v="1"/>
    <n v="353"/>
  </r>
  <r>
    <n v="1494"/>
    <x v="0"/>
    <x v="7"/>
    <x v="499"/>
    <m/>
    <x v="0"/>
    <n v="9506"/>
    <x v="1"/>
    <n v="444"/>
  </r>
  <r>
    <n v="1495"/>
    <x v="1"/>
    <x v="0"/>
    <x v="411"/>
    <m/>
    <x v="0"/>
    <n v="32927"/>
    <x v="0"/>
    <n v="415"/>
  </r>
  <r>
    <n v="1496"/>
    <x v="2"/>
    <x v="1"/>
    <x v="406"/>
    <m/>
    <x v="0"/>
    <n v="11008"/>
    <x v="0"/>
    <n v="350"/>
  </r>
  <r>
    <n v="1497"/>
    <x v="0"/>
    <x v="2"/>
    <x v="595"/>
    <m/>
    <x v="0"/>
    <n v="14563"/>
    <x v="0"/>
    <n v="127"/>
  </r>
  <r>
    <n v="1498"/>
    <x v="1"/>
    <x v="3"/>
    <x v="630"/>
    <m/>
    <x v="0"/>
    <n v="14850"/>
    <x v="0"/>
    <n v="117"/>
  </r>
  <r>
    <n v="1499"/>
    <x v="2"/>
    <x v="4"/>
    <x v="631"/>
    <m/>
    <x v="0"/>
    <n v="31256"/>
    <x v="1"/>
    <n v="251"/>
  </r>
  <r>
    <n v="1500"/>
    <x v="0"/>
    <x v="5"/>
    <x v="632"/>
    <d v="2017-02-14T00:00:00"/>
    <x v="1"/>
    <n v="17223"/>
    <x v="1"/>
    <n v="44"/>
  </r>
  <r>
    <n v="1501"/>
    <x v="1"/>
    <x v="6"/>
    <x v="633"/>
    <m/>
    <x v="2"/>
    <n v="1533"/>
    <x v="1"/>
    <n v="277"/>
  </r>
  <r>
    <n v="1502"/>
    <x v="2"/>
    <x v="7"/>
    <x v="9"/>
    <m/>
    <x v="0"/>
    <n v="41796"/>
    <x v="1"/>
    <n v="598"/>
  </r>
  <r>
    <n v="1503"/>
    <x v="0"/>
    <x v="0"/>
    <x v="202"/>
    <m/>
    <x v="0"/>
    <n v="17372"/>
    <x v="0"/>
    <n v="413"/>
  </r>
  <r>
    <n v="1504"/>
    <x v="1"/>
    <x v="1"/>
    <x v="69"/>
    <m/>
    <x v="0"/>
    <n v="42871"/>
    <x v="0"/>
    <n v="547"/>
  </r>
  <r>
    <n v="1505"/>
    <x v="2"/>
    <x v="2"/>
    <x v="535"/>
    <m/>
    <x v="0"/>
    <n v="13472"/>
    <x v="0"/>
    <n v="279"/>
  </r>
  <r>
    <n v="1506"/>
    <x v="0"/>
    <x v="3"/>
    <x v="634"/>
    <m/>
    <x v="0"/>
    <n v="30476"/>
    <x v="0"/>
    <n v="398"/>
  </r>
  <r>
    <n v="1507"/>
    <x v="1"/>
    <x v="4"/>
    <x v="456"/>
    <m/>
    <x v="0"/>
    <n v="25522"/>
    <x v="1"/>
    <n v="377"/>
  </r>
  <r>
    <n v="1508"/>
    <x v="2"/>
    <x v="5"/>
    <x v="635"/>
    <m/>
    <x v="0"/>
    <n v="31578"/>
    <x v="1"/>
    <n v="340"/>
  </r>
  <r>
    <n v="1509"/>
    <x v="0"/>
    <x v="6"/>
    <x v="318"/>
    <m/>
    <x v="0"/>
    <n v="25464"/>
    <x v="1"/>
    <n v="220"/>
  </r>
  <r>
    <n v="1510"/>
    <x v="1"/>
    <x v="7"/>
    <x v="284"/>
    <m/>
    <x v="0"/>
    <n v="59462"/>
    <x v="1"/>
    <n v="381"/>
  </r>
  <r>
    <n v="1511"/>
    <x v="2"/>
    <x v="0"/>
    <x v="107"/>
    <m/>
    <x v="0"/>
    <n v="47565"/>
    <x v="0"/>
    <n v="197"/>
  </r>
  <r>
    <n v="1512"/>
    <x v="0"/>
    <x v="1"/>
    <x v="197"/>
    <m/>
    <x v="0"/>
    <n v="20117"/>
    <x v="0"/>
    <n v="207"/>
  </r>
  <r>
    <n v="1513"/>
    <x v="1"/>
    <x v="2"/>
    <x v="302"/>
    <d v="2016-08-10T00:00:00"/>
    <x v="1"/>
    <n v="9692"/>
    <x v="0"/>
    <n v="81"/>
  </r>
  <r>
    <n v="1514"/>
    <x v="2"/>
    <x v="3"/>
    <x v="37"/>
    <m/>
    <x v="2"/>
    <n v="59523"/>
    <x v="0"/>
    <n v="163"/>
  </r>
  <r>
    <n v="1515"/>
    <x v="0"/>
    <x v="4"/>
    <x v="417"/>
    <m/>
    <x v="0"/>
    <n v="8498"/>
    <x v="1"/>
    <n v="105"/>
  </r>
  <r>
    <n v="1516"/>
    <x v="1"/>
    <x v="5"/>
    <x v="457"/>
    <m/>
    <x v="0"/>
    <n v="43276"/>
    <x v="1"/>
    <n v="539"/>
  </r>
  <r>
    <n v="1517"/>
    <x v="2"/>
    <x v="6"/>
    <x v="584"/>
    <m/>
    <x v="0"/>
    <n v="23480"/>
    <x v="1"/>
    <n v="465"/>
  </r>
  <r>
    <n v="1518"/>
    <x v="0"/>
    <x v="7"/>
    <x v="634"/>
    <m/>
    <x v="0"/>
    <n v="19900"/>
    <x v="1"/>
    <n v="398"/>
  </r>
  <r>
    <n v="1519"/>
    <x v="1"/>
    <x v="0"/>
    <x v="364"/>
    <m/>
    <x v="0"/>
    <n v="22279"/>
    <x v="0"/>
    <n v="407"/>
  </r>
  <r>
    <n v="1520"/>
    <x v="2"/>
    <x v="1"/>
    <x v="25"/>
    <m/>
    <x v="0"/>
    <n v="26610"/>
    <x v="0"/>
    <n v="418"/>
  </r>
  <r>
    <n v="1521"/>
    <x v="0"/>
    <x v="2"/>
    <x v="613"/>
    <m/>
    <x v="0"/>
    <n v="46453"/>
    <x v="0"/>
    <n v="584"/>
  </r>
  <r>
    <n v="1522"/>
    <x v="1"/>
    <x v="3"/>
    <x v="636"/>
    <m/>
    <x v="0"/>
    <n v="9876"/>
    <x v="0"/>
    <n v="452"/>
  </r>
  <r>
    <n v="1523"/>
    <x v="2"/>
    <x v="4"/>
    <x v="184"/>
    <m/>
    <x v="0"/>
    <n v="46425"/>
    <x v="1"/>
    <n v="412"/>
  </r>
  <r>
    <n v="1524"/>
    <x v="0"/>
    <x v="5"/>
    <x v="585"/>
    <m/>
    <x v="0"/>
    <n v="34499"/>
    <x v="1"/>
    <n v="382"/>
  </r>
  <r>
    <n v="1525"/>
    <x v="1"/>
    <x v="6"/>
    <x v="637"/>
    <m/>
    <x v="0"/>
    <n v="18185"/>
    <x v="1"/>
    <n v="106"/>
  </r>
  <r>
    <n v="1526"/>
    <x v="2"/>
    <x v="7"/>
    <x v="106"/>
    <d v="2017-09-13T00:00:00"/>
    <x v="1"/>
    <n v="24005"/>
    <x v="1"/>
    <n v="32"/>
  </r>
  <r>
    <n v="1527"/>
    <x v="0"/>
    <x v="0"/>
    <x v="109"/>
    <m/>
    <x v="2"/>
    <n v="32405"/>
    <x v="0"/>
    <n v="307"/>
  </r>
  <r>
    <n v="1528"/>
    <x v="1"/>
    <x v="1"/>
    <x v="110"/>
    <m/>
    <x v="0"/>
    <n v="40303"/>
    <x v="0"/>
    <n v="387"/>
  </r>
  <r>
    <n v="1529"/>
    <x v="2"/>
    <x v="2"/>
    <x v="638"/>
    <m/>
    <x v="0"/>
    <n v="37088"/>
    <x v="0"/>
    <n v="107"/>
  </r>
  <r>
    <n v="1530"/>
    <x v="0"/>
    <x v="3"/>
    <x v="476"/>
    <m/>
    <x v="0"/>
    <n v="27450"/>
    <x v="0"/>
    <n v="181"/>
  </r>
  <r>
    <n v="1531"/>
    <x v="1"/>
    <x v="4"/>
    <x v="418"/>
    <m/>
    <x v="0"/>
    <n v="38221"/>
    <x v="1"/>
    <n v="227"/>
  </r>
  <r>
    <n v="1532"/>
    <x v="2"/>
    <x v="5"/>
    <x v="118"/>
    <m/>
    <x v="0"/>
    <n v="49911"/>
    <x v="1"/>
    <n v="341"/>
  </r>
  <r>
    <n v="1533"/>
    <x v="0"/>
    <x v="6"/>
    <x v="356"/>
    <m/>
    <x v="0"/>
    <n v="49302"/>
    <x v="1"/>
    <n v="324"/>
  </r>
  <r>
    <n v="1534"/>
    <x v="1"/>
    <x v="7"/>
    <x v="394"/>
    <m/>
    <x v="0"/>
    <n v="52105"/>
    <x v="1"/>
    <n v="367"/>
  </r>
  <r>
    <n v="1535"/>
    <x v="2"/>
    <x v="0"/>
    <x v="600"/>
    <m/>
    <x v="0"/>
    <n v="14607"/>
    <x v="0"/>
    <n v="266"/>
  </r>
  <r>
    <n v="1536"/>
    <x v="0"/>
    <x v="1"/>
    <x v="98"/>
    <m/>
    <x v="0"/>
    <n v="40303"/>
    <x v="0"/>
    <n v="277"/>
  </r>
  <r>
    <n v="1537"/>
    <x v="1"/>
    <x v="2"/>
    <x v="377"/>
    <m/>
    <x v="0"/>
    <n v="9484"/>
    <x v="0"/>
    <n v="205"/>
  </r>
  <r>
    <n v="1538"/>
    <x v="2"/>
    <x v="3"/>
    <x v="204"/>
    <m/>
    <x v="0"/>
    <n v="9153"/>
    <x v="0"/>
    <n v="357"/>
  </r>
  <r>
    <n v="1539"/>
    <x v="0"/>
    <x v="4"/>
    <x v="425"/>
    <d v="2016-11-21T00:00:00"/>
    <x v="1"/>
    <n v="46757"/>
    <x v="1"/>
    <n v="103"/>
  </r>
  <r>
    <n v="1540"/>
    <x v="1"/>
    <x v="5"/>
    <x v="90"/>
    <m/>
    <x v="2"/>
    <n v="33006"/>
    <x v="1"/>
    <n v="479"/>
  </r>
  <r>
    <n v="1541"/>
    <x v="2"/>
    <x v="6"/>
    <x v="51"/>
    <m/>
    <x v="0"/>
    <n v="48921"/>
    <x v="1"/>
    <n v="202"/>
  </r>
  <r>
    <n v="1542"/>
    <x v="0"/>
    <x v="7"/>
    <x v="639"/>
    <m/>
    <x v="0"/>
    <n v="54396"/>
    <x v="1"/>
    <n v="312"/>
  </r>
  <r>
    <n v="1543"/>
    <x v="1"/>
    <x v="0"/>
    <x v="554"/>
    <m/>
    <x v="0"/>
    <n v="53777"/>
    <x v="0"/>
    <n v="299"/>
  </r>
  <r>
    <n v="1544"/>
    <x v="2"/>
    <x v="1"/>
    <x v="214"/>
    <m/>
    <x v="0"/>
    <n v="8365"/>
    <x v="0"/>
    <n v="510"/>
  </r>
  <r>
    <n v="1545"/>
    <x v="0"/>
    <x v="2"/>
    <x v="249"/>
    <m/>
    <x v="0"/>
    <n v="19856"/>
    <x v="0"/>
    <n v="572"/>
  </r>
  <r>
    <n v="1546"/>
    <x v="1"/>
    <x v="3"/>
    <x v="477"/>
    <m/>
    <x v="0"/>
    <n v="37842"/>
    <x v="0"/>
    <n v="537"/>
  </r>
  <r>
    <n v="1547"/>
    <x v="2"/>
    <x v="4"/>
    <x v="333"/>
    <m/>
    <x v="0"/>
    <n v="7343"/>
    <x v="1"/>
    <n v="485"/>
  </r>
  <r>
    <n v="1548"/>
    <x v="0"/>
    <x v="5"/>
    <x v="27"/>
    <m/>
    <x v="0"/>
    <n v="36976"/>
    <x v="1"/>
    <n v="616"/>
  </r>
  <r>
    <n v="1549"/>
    <x v="1"/>
    <x v="6"/>
    <x v="560"/>
    <m/>
    <x v="0"/>
    <n v="4692"/>
    <x v="1"/>
    <n v="129"/>
  </r>
  <r>
    <n v="1550"/>
    <x v="2"/>
    <x v="7"/>
    <x v="329"/>
    <m/>
    <x v="0"/>
    <n v="26458"/>
    <x v="1"/>
    <n v="291"/>
  </r>
  <r>
    <n v="1551"/>
    <x v="0"/>
    <x v="0"/>
    <x v="164"/>
    <m/>
    <x v="0"/>
    <n v="51519"/>
    <x v="0"/>
    <n v="190"/>
  </r>
  <r>
    <n v="1552"/>
    <x v="1"/>
    <x v="1"/>
    <x v="366"/>
    <d v="2016-11-05T00:00:00"/>
    <x v="1"/>
    <n v="46576"/>
    <x v="0"/>
    <n v="65"/>
  </r>
  <r>
    <n v="1553"/>
    <x v="2"/>
    <x v="2"/>
    <x v="457"/>
    <m/>
    <x v="2"/>
    <n v="14063"/>
    <x v="0"/>
    <n v="539"/>
  </r>
  <r>
    <n v="1554"/>
    <x v="0"/>
    <x v="3"/>
    <x v="396"/>
    <m/>
    <x v="0"/>
    <n v="57945"/>
    <x v="0"/>
    <n v="472"/>
  </r>
  <r>
    <n v="1555"/>
    <x v="1"/>
    <x v="4"/>
    <x v="6"/>
    <m/>
    <x v="0"/>
    <n v="21103"/>
    <x v="1"/>
    <n v="403"/>
  </r>
  <r>
    <n v="1556"/>
    <x v="2"/>
    <x v="5"/>
    <x v="640"/>
    <m/>
    <x v="0"/>
    <n v="45006"/>
    <x v="1"/>
    <n v="345"/>
  </r>
  <r>
    <n v="1557"/>
    <x v="0"/>
    <x v="6"/>
    <x v="34"/>
    <m/>
    <x v="0"/>
    <n v="4474"/>
    <x v="1"/>
    <n v="271"/>
  </r>
  <r>
    <n v="1558"/>
    <x v="1"/>
    <x v="7"/>
    <x v="641"/>
    <m/>
    <x v="0"/>
    <n v="59829"/>
    <x v="1"/>
    <n v="136"/>
  </r>
  <r>
    <n v="1559"/>
    <x v="2"/>
    <x v="0"/>
    <x v="516"/>
    <m/>
    <x v="0"/>
    <n v="30607"/>
    <x v="0"/>
    <n v="477"/>
  </r>
  <r>
    <n v="1560"/>
    <x v="0"/>
    <x v="1"/>
    <x v="4"/>
    <m/>
    <x v="0"/>
    <n v="23280"/>
    <x v="0"/>
    <n v="262"/>
  </r>
  <r>
    <n v="1561"/>
    <x v="1"/>
    <x v="2"/>
    <x v="604"/>
    <m/>
    <x v="0"/>
    <n v="34541"/>
    <x v="0"/>
    <n v="421"/>
  </r>
  <r>
    <n v="1562"/>
    <x v="2"/>
    <x v="3"/>
    <x v="642"/>
    <m/>
    <x v="0"/>
    <n v="9695"/>
    <x v="0"/>
    <n v="476"/>
  </r>
  <r>
    <n v="1563"/>
    <x v="0"/>
    <x v="4"/>
    <x v="531"/>
    <m/>
    <x v="0"/>
    <n v="49941"/>
    <x v="1"/>
    <n v="527"/>
  </r>
  <r>
    <n v="1564"/>
    <x v="1"/>
    <x v="5"/>
    <x v="53"/>
    <m/>
    <x v="0"/>
    <n v="36360"/>
    <x v="1"/>
    <n v="481"/>
  </r>
  <r>
    <n v="1565"/>
    <x v="2"/>
    <x v="6"/>
    <x v="404"/>
    <d v="2017-08-02T00:00:00"/>
    <x v="1"/>
    <n v="49162"/>
    <x v="1"/>
    <n v="63"/>
  </r>
  <r>
    <n v="1566"/>
    <x v="0"/>
    <x v="7"/>
    <x v="616"/>
    <m/>
    <x v="2"/>
    <n v="11421"/>
    <x v="1"/>
    <n v="417"/>
  </r>
  <r>
    <n v="1567"/>
    <x v="1"/>
    <x v="0"/>
    <x v="331"/>
    <m/>
    <x v="0"/>
    <n v="45880"/>
    <x v="0"/>
    <n v="525"/>
  </r>
  <r>
    <n v="1568"/>
    <x v="2"/>
    <x v="1"/>
    <x v="262"/>
    <m/>
    <x v="0"/>
    <n v="40133"/>
    <x v="0"/>
    <n v="122"/>
  </r>
  <r>
    <n v="1569"/>
    <x v="0"/>
    <x v="2"/>
    <x v="356"/>
    <m/>
    <x v="0"/>
    <n v="59920"/>
    <x v="0"/>
    <n v="324"/>
  </r>
  <r>
    <n v="1570"/>
    <x v="1"/>
    <x v="3"/>
    <x v="97"/>
    <m/>
    <x v="0"/>
    <n v="54343"/>
    <x v="0"/>
    <n v="298"/>
  </r>
  <r>
    <n v="1571"/>
    <x v="2"/>
    <x v="4"/>
    <x v="377"/>
    <m/>
    <x v="0"/>
    <n v="28399"/>
    <x v="1"/>
    <n v="205"/>
  </r>
  <r>
    <n v="1572"/>
    <x v="0"/>
    <x v="5"/>
    <x v="643"/>
    <m/>
    <x v="0"/>
    <n v="1721"/>
    <x v="1"/>
    <n v="132"/>
  </r>
  <r>
    <n v="1573"/>
    <x v="1"/>
    <x v="6"/>
    <x v="644"/>
    <m/>
    <x v="0"/>
    <n v="5583"/>
    <x v="1"/>
    <n v="527"/>
  </r>
  <r>
    <n v="1574"/>
    <x v="2"/>
    <x v="7"/>
    <x v="508"/>
    <m/>
    <x v="0"/>
    <n v="1286"/>
    <x v="1"/>
    <n v="157"/>
  </r>
  <r>
    <n v="1575"/>
    <x v="0"/>
    <x v="0"/>
    <x v="376"/>
    <m/>
    <x v="0"/>
    <n v="24755"/>
    <x v="0"/>
    <n v="290"/>
  </r>
  <r>
    <n v="1576"/>
    <x v="1"/>
    <x v="1"/>
    <x v="151"/>
    <m/>
    <x v="0"/>
    <n v="33029"/>
    <x v="0"/>
    <n v="445"/>
  </r>
  <r>
    <n v="1577"/>
    <x v="2"/>
    <x v="2"/>
    <x v="357"/>
    <m/>
    <x v="0"/>
    <n v="34102"/>
    <x v="0"/>
    <n v="134"/>
  </r>
  <r>
    <n v="1578"/>
    <x v="0"/>
    <x v="3"/>
    <x v="202"/>
    <d v="2016-11-20T00:00:00"/>
    <x v="1"/>
    <n v="43975"/>
    <x v="0"/>
    <n v="26"/>
  </r>
  <r>
    <n v="1579"/>
    <x v="1"/>
    <x v="4"/>
    <x v="325"/>
    <m/>
    <x v="2"/>
    <n v="21133"/>
    <x v="1"/>
    <n v="473"/>
  </r>
  <r>
    <n v="1580"/>
    <x v="2"/>
    <x v="5"/>
    <x v="353"/>
    <m/>
    <x v="0"/>
    <n v="50736"/>
    <x v="1"/>
    <n v="532"/>
  </r>
  <r>
    <n v="1581"/>
    <x v="0"/>
    <x v="6"/>
    <x v="195"/>
    <m/>
    <x v="0"/>
    <n v="9454"/>
    <x v="1"/>
    <n v="219"/>
  </r>
  <r>
    <n v="1582"/>
    <x v="1"/>
    <x v="7"/>
    <x v="36"/>
    <m/>
    <x v="0"/>
    <n v="1423"/>
    <x v="1"/>
    <n v="416"/>
  </r>
  <r>
    <n v="1583"/>
    <x v="2"/>
    <x v="0"/>
    <x v="361"/>
    <m/>
    <x v="0"/>
    <n v="21486"/>
    <x v="0"/>
    <n v="154"/>
  </r>
  <r>
    <n v="1584"/>
    <x v="0"/>
    <x v="1"/>
    <x v="66"/>
    <m/>
    <x v="0"/>
    <n v="45153"/>
    <x v="0"/>
    <n v="608"/>
  </r>
  <r>
    <n v="1585"/>
    <x v="1"/>
    <x v="2"/>
    <x v="50"/>
    <m/>
    <x v="0"/>
    <n v="44283"/>
    <x v="0"/>
    <n v="360"/>
  </r>
  <r>
    <n v="1586"/>
    <x v="2"/>
    <x v="3"/>
    <x v="294"/>
    <m/>
    <x v="0"/>
    <n v="47370"/>
    <x v="0"/>
    <n v="174"/>
  </r>
  <r>
    <n v="1587"/>
    <x v="0"/>
    <x v="4"/>
    <x v="146"/>
    <m/>
    <x v="0"/>
    <n v="7422"/>
    <x v="1"/>
    <n v="158"/>
  </r>
  <r>
    <n v="1588"/>
    <x v="1"/>
    <x v="5"/>
    <x v="540"/>
    <m/>
    <x v="0"/>
    <n v="48806"/>
    <x v="1"/>
    <n v="541"/>
  </r>
  <r>
    <n v="1589"/>
    <x v="2"/>
    <x v="6"/>
    <x v="553"/>
    <m/>
    <x v="0"/>
    <n v="809"/>
    <x v="1"/>
    <n v="506"/>
  </r>
  <r>
    <n v="1590"/>
    <x v="0"/>
    <x v="7"/>
    <x v="316"/>
    <m/>
    <x v="0"/>
    <n v="53088"/>
    <x v="1"/>
    <n v="207"/>
  </r>
  <r>
    <n v="1591"/>
    <x v="1"/>
    <x v="0"/>
    <x v="28"/>
    <d v="2018-01-04T00:00:00"/>
    <x v="1"/>
    <n v="44956"/>
    <x v="0"/>
    <n v="31"/>
  </r>
  <r>
    <n v="1592"/>
    <x v="2"/>
    <x v="1"/>
    <x v="254"/>
    <m/>
    <x v="2"/>
    <n v="23351"/>
    <x v="0"/>
    <n v="617"/>
  </r>
  <r>
    <n v="1593"/>
    <x v="0"/>
    <x v="2"/>
    <x v="618"/>
    <m/>
    <x v="0"/>
    <n v="28907"/>
    <x v="0"/>
    <n v="186"/>
  </r>
  <r>
    <n v="1594"/>
    <x v="1"/>
    <x v="3"/>
    <x v="90"/>
    <m/>
    <x v="0"/>
    <n v="58478"/>
    <x v="0"/>
    <n v="479"/>
  </r>
  <r>
    <n v="1595"/>
    <x v="2"/>
    <x v="4"/>
    <x v="187"/>
    <m/>
    <x v="0"/>
    <n v="27111"/>
    <x v="1"/>
    <n v="365"/>
  </r>
  <r>
    <n v="1596"/>
    <x v="0"/>
    <x v="5"/>
    <x v="127"/>
    <m/>
    <x v="0"/>
    <n v="58334"/>
    <x v="1"/>
    <n v="477"/>
  </r>
  <r>
    <n v="1597"/>
    <x v="1"/>
    <x v="6"/>
    <x v="44"/>
    <m/>
    <x v="0"/>
    <n v="13911"/>
    <x v="1"/>
    <n v="380"/>
  </r>
  <r>
    <n v="1598"/>
    <x v="2"/>
    <x v="7"/>
    <x v="645"/>
    <m/>
    <x v="0"/>
    <n v="32354"/>
    <x v="1"/>
    <n v="551"/>
  </r>
  <r>
    <n v="1599"/>
    <x v="0"/>
    <x v="0"/>
    <x v="282"/>
    <m/>
    <x v="0"/>
    <n v="19933"/>
    <x v="0"/>
    <n v="409"/>
  </r>
  <r>
    <n v="1600"/>
    <x v="1"/>
    <x v="1"/>
    <x v="173"/>
    <m/>
    <x v="0"/>
    <n v="27441"/>
    <x v="0"/>
    <n v="282"/>
  </r>
  <r>
    <n v="1601"/>
    <x v="2"/>
    <x v="2"/>
    <x v="302"/>
    <m/>
    <x v="0"/>
    <n v="621"/>
    <x v="0"/>
    <n v="540"/>
  </r>
  <r>
    <n v="1602"/>
    <x v="0"/>
    <x v="3"/>
    <x v="193"/>
    <m/>
    <x v="0"/>
    <n v="11717"/>
    <x v="0"/>
    <n v="562"/>
  </r>
  <r>
    <n v="1603"/>
    <x v="1"/>
    <x v="4"/>
    <x v="371"/>
    <m/>
    <x v="0"/>
    <n v="17099"/>
    <x v="1"/>
    <n v="603"/>
  </r>
  <r>
    <n v="1604"/>
    <x v="2"/>
    <x v="5"/>
    <x v="559"/>
    <d v="2017-01-20T00:00:00"/>
    <x v="1"/>
    <n v="53016"/>
    <x v="1"/>
    <n v="28"/>
  </r>
  <r>
    <n v="1605"/>
    <x v="0"/>
    <x v="6"/>
    <x v="621"/>
    <m/>
    <x v="2"/>
    <n v="11884"/>
    <x v="1"/>
    <n v="223"/>
  </r>
  <r>
    <n v="1606"/>
    <x v="1"/>
    <x v="7"/>
    <x v="270"/>
    <m/>
    <x v="0"/>
    <n v="3732"/>
    <x v="1"/>
    <n v="221"/>
  </r>
  <r>
    <n v="1607"/>
    <x v="2"/>
    <x v="0"/>
    <x v="646"/>
    <m/>
    <x v="0"/>
    <n v="11171"/>
    <x v="0"/>
    <n v="217"/>
  </r>
  <r>
    <n v="1608"/>
    <x v="0"/>
    <x v="1"/>
    <x v="235"/>
    <m/>
    <x v="0"/>
    <n v="45858"/>
    <x v="0"/>
    <n v="255"/>
  </r>
  <r>
    <n v="1609"/>
    <x v="1"/>
    <x v="2"/>
    <x v="263"/>
    <m/>
    <x v="0"/>
    <n v="32467"/>
    <x v="0"/>
    <n v="565"/>
  </r>
  <r>
    <n v="1610"/>
    <x v="2"/>
    <x v="3"/>
    <x v="384"/>
    <m/>
    <x v="0"/>
    <n v="19154"/>
    <x v="0"/>
    <n v="591"/>
  </r>
  <r>
    <n v="1611"/>
    <x v="0"/>
    <x v="4"/>
    <x v="96"/>
    <m/>
    <x v="0"/>
    <n v="1925"/>
    <x v="1"/>
    <n v="592"/>
  </r>
  <r>
    <n v="1612"/>
    <x v="1"/>
    <x v="5"/>
    <x v="43"/>
    <m/>
    <x v="0"/>
    <n v="17142"/>
    <x v="1"/>
    <n v="139"/>
  </r>
  <r>
    <n v="1613"/>
    <x v="2"/>
    <x v="6"/>
    <x v="15"/>
    <m/>
    <x v="0"/>
    <n v="57784"/>
    <x v="1"/>
    <n v="496"/>
  </r>
  <r>
    <n v="1614"/>
    <x v="0"/>
    <x v="7"/>
    <x v="351"/>
    <m/>
    <x v="0"/>
    <n v="16685"/>
    <x v="1"/>
    <n v="273"/>
  </r>
  <r>
    <n v="1615"/>
    <x v="1"/>
    <x v="0"/>
    <x v="647"/>
    <m/>
    <x v="0"/>
    <n v="32071"/>
    <x v="0"/>
    <n v="197"/>
  </r>
  <r>
    <n v="1616"/>
    <x v="2"/>
    <x v="1"/>
    <x v="92"/>
    <m/>
    <x v="0"/>
    <n v="44056"/>
    <x v="0"/>
    <n v="572"/>
  </r>
  <r>
    <n v="1617"/>
    <x v="0"/>
    <x v="2"/>
    <x v="368"/>
    <d v="2016-07-01T00:00:00"/>
    <x v="1"/>
    <n v="28154"/>
    <x v="0"/>
    <n v="60"/>
  </r>
  <r>
    <n v="1618"/>
    <x v="1"/>
    <x v="3"/>
    <x v="98"/>
    <m/>
    <x v="2"/>
    <n v="26797"/>
    <x v="0"/>
    <n v="277"/>
  </r>
  <r>
    <n v="1619"/>
    <x v="2"/>
    <x v="4"/>
    <x v="332"/>
    <m/>
    <x v="0"/>
    <n v="13518"/>
    <x v="1"/>
    <n v="239"/>
  </r>
  <r>
    <n v="1620"/>
    <x v="0"/>
    <x v="5"/>
    <x v="193"/>
    <m/>
    <x v="0"/>
    <n v="37148"/>
    <x v="1"/>
    <n v="562"/>
  </r>
  <r>
    <n v="1621"/>
    <x v="1"/>
    <x v="6"/>
    <x v="363"/>
    <m/>
    <x v="0"/>
    <n v="4138"/>
    <x v="1"/>
    <n v="137"/>
  </r>
  <r>
    <n v="1622"/>
    <x v="2"/>
    <x v="7"/>
    <x v="430"/>
    <m/>
    <x v="0"/>
    <n v="4169"/>
    <x v="1"/>
    <n v="353"/>
  </r>
  <r>
    <n v="1623"/>
    <x v="0"/>
    <x v="0"/>
    <x v="636"/>
    <m/>
    <x v="0"/>
    <n v="58239"/>
    <x v="0"/>
    <n v="452"/>
  </r>
  <r>
    <n v="1624"/>
    <x v="1"/>
    <x v="1"/>
    <x v="316"/>
    <m/>
    <x v="0"/>
    <n v="59285"/>
    <x v="0"/>
    <n v="207"/>
  </r>
  <r>
    <n v="1625"/>
    <x v="2"/>
    <x v="2"/>
    <x v="145"/>
    <m/>
    <x v="0"/>
    <n v="12442"/>
    <x v="0"/>
    <n v="601"/>
  </r>
  <r>
    <n v="1626"/>
    <x v="0"/>
    <x v="3"/>
    <x v="648"/>
    <m/>
    <x v="0"/>
    <n v="37619"/>
    <x v="0"/>
    <n v="102"/>
  </r>
  <r>
    <n v="1627"/>
    <x v="1"/>
    <x v="4"/>
    <x v="137"/>
    <m/>
    <x v="0"/>
    <n v="8254"/>
    <x v="1"/>
    <n v="152"/>
  </r>
  <r>
    <n v="1628"/>
    <x v="2"/>
    <x v="5"/>
    <x v="649"/>
    <m/>
    <x v="0"/>
    <n v="36734"/>
    <x v="1"/>
    <n v="275"/>
  </r>
  <r>
    <n v="1629"/>
    <x v="0"/>
    <x v="6"/>
    <x v="455"/>
    <m/>
    <x v="0"/>
    <n v="56670"/>
    <x v="1"/>
    <n v="362"/>
  </r>
  <r>
    <n v="1630"/>
    <x v="1"/>
    <x v="7"/>
    <x v="606"/>
    <d v="2016-10-19T00:00:00"/>
    <x v="1"/>
    <n v="11907"/>
    <x v="1"/>
    <n v="50"/>
  </r>
  <r>
    <n v="1631"/>
    <x v="2"/>
    <x v="0"/>
    <x v="326"/>
    <m/>
    <x v="2"/>
    <n v="55527"/>
    <x v="0"/>
    <n v="606"/>
  </r>
  <r>
    <n v="1632"/>
    <x v="0"/>
    <x v="1"/>
    <x v="616"/>
    <m/>
    <x v="0"/>
    <n v="12124"/>
    <x v="0"/>
    <n v="417"/>
  </r>
  <r>
    <n v="1633"/>
    <x v="1"/>
    <x v="2"/>
    <x v="259"/>
    <m/>
    <x v="0"/>
    <n v="36029"/>
    <x v="0"/>
    <n v="272"/>
  </r>
  <r>
    <n v="1634"/>
    <x v="2"/>
    <x v="3"/>
    <x v="129"/>
    <m/>
    <x v="0"/>
    <n v="55557"/>
    <x v="0"/>
    <n v="257"/>
  </r>
  <r>
    <n v="1635"/>
    <x v="0"/>
    <x v="4"/>
    <x v="100"/>
    <m/>
    <x v="0"/>
    <n v="48328"/>
    <x v="1"/>
    <n v="262"/>
  </r>
  <r>
    <n v="1636"/>
    <x v="1"/>
    <x v="5"/>
    <x v="554"/>
    <m/>
    <x v="0"/>
    <n v="46959"/>
    <x v="1"/>
    <n v="299"/>
  </r>
  <r>
    <n v="1637"/>
    <x v="2"/>
    <x v="6"/>
    <x v="587"/>
    <m/>
    <x v="0"/>
    <n v="32322"/>
    <x v="1"/>
    <n v="552"/>
  </r>
  <r>
    <n v="1638"/>
    <x v="0"/>
    <x v="7"/>
    <x v="475"/>
    <m/>
    <x v="0"/>
    <n v="46202"/>
    <x v="1"/>
    <n v="336"/>
  </r>
  <r>
    <n v="1639"/>
    <x v="1"/>
    <x v="0"/>
    <x v="72"/>
    <m/>
    <x v="0"/>
    <n v="28482"/>
    <x v="0"/>
    <n v="352"/>
  </r>
  <r>
    <n v="1640"/>
    <x v="2"/>
    <x v="1"/>
    <x v="40"/>
    <m/>
    <x v="0"/>
    <n v="23802"/>
    <x v="0"/>
    <n v="434"/>
  </r>
  <r>
    <n v="1641"/>
    <x v="0"/>
    <x v="2"/>
    <x v="112"/>
    <m/>
    <x v="0"/>
    <n v="11255"/>
    <x v="0"/>
    <n v="98"/>
  </r>
  <r>
    <n v="1642"/>
    <x v="1"/>
    <x v="3"/>
    <x v="496"/>
    <m/>
    <x v="0"/>
    <n v="40463"/>
    <x v="0"/>
    <n v="292"/>
  </r>
  <r>
    <n v="1643"/>
    <x v="2"/>
    <x v="4"/>
    <x v="442"/>
    <d v="2017-01-12T00:00:00"/>
    <x v="1"/>
    <n v="14573"/>
    <x v="1"/>
    <n v="66"/>
  </r>
  <r>
    <n v="1644"/>
    <x v="0"/>
    <x v="5"/>
    <x v="266"/>
    <m/>
    <x v="2"/>
    <n v="58435"/>
    <x v="1"/>
    <n v="548"/>
  </r>
  <r>
    <n v="1645"/>
    <x v="1"/>
    <x v="6"/>
    <x v="467"/>
    <m/>
    <x v="0"/>
    <n v="17844"/>
    <x v="1"/>
    <n v="215"/>
  </r>
  <r>
    <n v="1646"/>
    <x v="2"/>
    <x v="7"/>
    <x v="77"/>
    <m/>
    <x v="0"/>
    <n v="13769"/>
    <x v="1"/>
    <n v="339"/>
  </r>
  <r>
    <n v="1647"/>
    <x v="0"/>
    <x v="0"/>
    <x v="650"/>
    <m/>
    <x v="0"/>
    <n v="19046"/>
    <x v="0"/>
    <n v="177"/>
  </r>
  <r>
    <n v="1648"/>
    <x v="1"/>
    <x v="1"/>
    <x v="651"/>
    <m/>
    <x v="0"/>
    <n v="11368"/>
    <x v="0"/>
    <n v="518"/>
  </r>
  <r>
    <n v="1649"/>
    <x v="2"/>
    <x v="2"/>
    <x v="49"/>
    <m/>
    <x v="0"/>
    <n v="57024"/>
    <x v="0"/>
    <n v="338"/>
  </r>
  <r>
    <n v="1650"/>
    <x v="0"/>
    <x v="3"/>
    <x v="90"/>
    <m/>
    <x v="0"/>
    <n v="36809"/>
    <x v="0"/>
    <n v="479"/>
  </r>
  <r>
    <n v="1651"/>
    <x v="1"/>
    <x v="4"/>
    <x v="411"/>
    <m/>
    <x v="0"/>
    <n v="19746"/>
    <x v="1"/>
    <n v="415"/>
  </r>
  <r>
    <n v="1652"/>
    <x v="2"/>
    <x v="5"/>
    <x v="144"/>
    <m/>
    <x v="0"/>
    <n v="52208"/>
    <x v="1"/>
    <n v="478"/>
  </r>
  <r>
    <n v="1653"/>
    <x v="0"/>
    <x v="6"/>
    <x v="647"/>
    <m/>
    <x v="0"/>
    <n v="18767"/>
    <x v="1"/>
    <n v="197"/>
  </r>
  <r>
    <n v="1654"/>
    <x v="1"/>
    <x v="7"/>
    <x v="652"/>
    <m/>
    <x v="0"/>
    <n v="5778"/>
    <x v="1"/>
    <n v="483"/>
  </r>
  <r>
    <n v="1655"/>
    <x v="2"/>
    <x v="0"/>
    <x v="158"/>
    <m/>
    <x v="0"/>
    <n v="43490"/>
    <x v="0"/>
    <n v="457"/>
  </r>
  <r>
    <n v="1656"/>
    <x v="0"/>
    <x v="1"/>
    <x v="420"/>
    <d v="2018-01-02T00:00:00"/>
    <x v="1"/>
    <n v="19683"/>
    <x v="0"/>
    <n v="64"/>
  </r>
  <r>
    <n v="1657"/>
    <x v="1"/>
    <x v="2"/>
    <x v="383"/>
    <m/>
    <x v="2"/>
    <n v="50951"/>
    <x v="0"/>
    <n v="173"/>
  </r>
  <r>
    <n v="1658"/>
    <x v="2"/>
    <x v="3"/>
    <x v="653"/>
    <m/>
    <x v="0"/>
    <n v="11954"/>
    <x v="0"/>
    <n v="308"/>
  </r>
  <r>
    <n v="1659"/>
    <x v="0"/>
    <x v="4"/>
    <x v="3"/>
    <m/>
    <x v="0"/>
    <n v="17139"/>
    <x v="1"/>
    <n v="567"/>
  </r>
  <r>
    <n v="1660"/>
    <x v="1"/>
    <x v="5"/>
    <x v="654"/>
    <m/>
    <x v="0"/>
    <n v="38337"/>
    <x v="1"/>
    <n v="384"/>
  </r>
  <r>
    <n v="1661"/>
    <x v="2"/>
    <x v="6"/>
    <x v="542"/>
    <m/>
    <x v="0"/>
    <n v="33186"/>
    <x v="1"/>
    <n v="562"/>
  </r>
  <r>
    <n v="1662"/>
    <x v="0"/>
    <x v="7"/>
    <x v="561"/>
    <m/>
    <x v="0"/>
    <n v="12874"/>
    <x v="1"/>
    <n v="582"/>
  </r>
  <r>
    <n v="1663"/>
    <x v="1"/>
    <x v="0"/>
    <x v="330"/>
    <m/>
    <x v="0"/>
    <n v="48063"/>
    <x v="0"/>
    <n v="490"/>
  </r>
  <r>
    <n v="1664"/>
    <x v="2"/>
    <x v="1"/>
    <x v="655"/>
    <m/>
    <x v="0"/>
    <n v="2081"/>
    <x v="0"/>
    <n v="577"/>
  </r>
  <r>
    <n v="1665"/>
    <x v="0"/>
    <x v="2"/>
    <x v="645"/>
    <m/>
    <x v="0"/>
    <n v="21784"/>
    <x v="0"/>
    <n v="551"/>
  </r>
  <r>
    <n v="1666"/>
    <x v="1"/>
    <x v="3"/>
    <x v="364"/>
    <m/>
    <x v="0"/>
    <n v="21610"/>
    <x v="0"/>
    <n v="407"/>
  </r>
  <r>
    <n v="1667"/>
    <x v="2"/>
    <x v="4"/>
    <x v="103"/>
    <m/>
    <x v="0"/>
    <n v="37000"/>
    <x v="1"/>
    <n v="557"/>
  </r>
  <r>
    <n v="1668"/>
    <x v="0"/>
    <x v="5"/>
    <x v="485"/>
    <m/>
    <x v="0"/>
    <n v="26267"/>
    <x v="1"/>
    <n v="357"/>
  </r>
  <r>
    <n v="1669"/>
    <x v="1"/>
    <x v="6"/>
    <x v="603"/>
    <d v="2016-08-10T00:00:00"/>
    <x v="1"/>
    <n v="38910"/>
    <x v="1"/>
    <n v="61"/>
  </r>
  <r>
    <n v="1670"/>
    <x v="2"/>
    <x v="7"/>
    <x v="51"/>
    <m/>
    <x v="2"/>
    <n v="6023"/>
    <x v="1"/>
    <n v="202"/>
  </r>
  <r>
    <n v="1671"/>
    <x v="0"/>
    <x v="0"/>
    <x v="564"/>
    <m/>
    <x v="0"/>
    <n v="45267"/>
    <x v="0"/>
    <n v="313"/>
  </r>
  <r>
    <n v="1672"/>
    <x v="1"/>
    <x v="1"/>
    <x v="128"/>
    <m/>
    <x v="0"/>
    <n v="38227"/>
    <x v="0"/>
    <n v="362"/>
  </r>
  <r>
    <n v="1673"/>
    <x v="2"/>
    <x v="2"/>
    <x v="411"/>
    <m/>
    <x v="0"/>
    <n v="21788"/>
    <x v="0"/>
    <n v="415"/>
  </r>
  <r>
    <n v="1674"/>
    <x v="0"/>
    <x v="3"/>
    <x v="211"/>
    <m/>
    <x v="0"/>
    <n v="39697"/>
    <x v="0"/>
    <n v="512"/>
  </r>
  <r>
    <n v="1675"/>
    <x v="1"/>
    <x v="4"/>
    <x v="113"/>
    <m/>
    <x v="0"/>
    <n v="37435"/>
    <x v="1"/>
    <n v="607"/>
  </r>
  <r>
    <n v="1676"/>
    <x v="2"/>
    <x v="5"/>
    <x v="162"/>
    <m/>
    <x v="0"/>
    <n v="7154"/>
    <x v="1"/>
    <n v="224"/>
  </r>
  <r>
    <n v="1677"/>
    <x v="0"/>
    <x v="6"/>
    <x v="477"/>
    <m/>
    <x v="0"/>
    <n v="5740"/>
    <x v="1"/>
    <n v="537"/>
  </r>
  <r>
    <n v="1678"/>
    <x v="1"/>
    <x v="7"/>
    <x v="557"/>
    <m/>
    <x v="0"/>
    <n v="9889"/>
    <x v="1"/>
    <n v="457"/>
  </r>
  <r>
    <n v="1679"/>
    <x v="2"/>
    <x v="0"/>
    <x v="656"/>
    <m/>
    <x v="0"/>
    <n v="49461"/>
    <x v="0"/>
    <n v="144"/>
  </r>
  <r>
    <n v="1680"/>
    <x v="0"/>
    <x v="1"/>
    <x v="657"/>
    <m/>
    <x v="0"/>
    <n v="13370"/>
    <x v="0"/>
    <n v="229"/>
  </r>
  <r>
    <n v="1681"/>
    <x v="1"/>
    <x v="2"/>
    <x v="658"/>
    <m/>
    <x v="0"/>
    <n v="57378"/>
    <x v="0"/>
    <n v="149"/>
  </r>
  <r>
    <n v="1682"/>
    <x v="2"/>
    <x v="3"/>
    <x v="482"/>
    <d v="2017-03-22T00:00:00"/>
    <x v="1"/>
    <n v="22049"/>
    <x v="0"/>
    <n v="79"/>
  </r>
  <r>
    <n v="1683"/>
    <x v="0"/>
    <x v="4"/>
    <x v="133"/>
    <m/>
    <x v="2"/>
    <n v="57373"/>
    <x v="1"/>
    <n v="469"/>
  </r>
  <r>
    <n v="1684"/>
    <x v="1"/>
    <x v="5"/>
    <x v="175"/>
    <m/>
    <x v="0"/>
    <n v="15173"/>
    <x v="1"/>
    <n v="523"/>
  </r>
  <r>
    <n v="1685"/>
    <x v="2"/>
    <x v="6"/>
    <x v="99"/>
    <m/>
    <x v="0"/>
    <n v="53668"/>
    <x v="1"/>
    <n v="559"/>
  </r>
  <r>
    <n v="1686"/>
    <x v="0"/>
    <x v="7"/>
    <x v="513"/>
    <m/>
    <x v="0"/>
    <n v="12359"/>
    <x v="1"/>
    <n v="254"/>
  </r>
  <r>
    <n v="1687"/>
    <x v="1"/>
    <x v="0"/>
    <x v="524"/>
    <m/>
    <x v="0"/>
    <n v="45447"/>
    <x v="0"/>
    <n v="226"/>
  </r>
  <r>
    <n v="1688"/>
    <x v="2"/>
    <x v="1"/>
    <x v="54"/>
    <m/>
    <x v="0"/>
    <n v="38345"/>
    <x v="0"/>
    <n v="614"/>
  </r>
  <r>
    <n v="1689"/>
    <x v="0"/>
    <x v="2"/>
    <x v="505"/>
    <m/>
    <x v="0"/>
    <n v="11247"/>
    <x v="0"/>
    <n v="187"/>
  </r>
  <r>
    <n v="1690"/>
    <x v="1"/>
    <x v="3"/>
    <x v="152"/>
    <m/>
    <x v="0"/>
    <n v="13801"/>
    <x v="0"/>
    <n v="543"/>
  </r>
  <r>
    <n v="1691"/>
    <x v="2"/>
    <x v="4"/>
    <x v="268"/>
    <m/>
    <x v="0"/>
    <n v="10323"/>
    <x v="1"/>
    <n v="449"/>
  </r>
  <r>
    <n v="1692"/>
    <x v="0"/>
    <x v="5"/>
    <x v="328"/>
    <m/>
    <x v="0"/>
    <n v="4832"/>
    <x v="1"/>
    <n v="272"/>
  </r>
  <r>
    <n v="1693"/>
    <x v="1"/>
    <x v="6"/>
    <x v="402"/>
    <m/>
    <x v="0"/>
    <n v="45683"/>
    <x v="1"/>
    <n v="175"/>
  </r>
  <r>
    <n v="1694"/>
    <x v="2"/>
    <x v="7"/>
    <x v="185"/>
    <m/>
    <x v="0"/>
    <n v="59759"/>
    <x v="1"/>
    <n v="325"/>
  </r>
  <r>
    <n v="1695"/>
    <x v="0"/>
    <x v="0"/>
    <x v="66"/>
    <d v="2016-04-14T00:00:00"/>
    <x v="1"/>
    <n v="22595"/>
    <x v="0"/>
    <n v="65"/>
  </r>
  <r>
    <n v="1696"/>
    <x v="1"/>
    <x v="1"/>
    <x v="50"/>
    <m/>
    <x v="2"/>
    <n v="57163"/>
    <x v="0"/>
    <n v="360"/>
  </r>
  <r>
    <n v="1697"/>
    <x v="2"/>
    <x v="2"/>
    <x v="121"/>
    <m/>
    <x v="0"/>
    <n v="22206"/>
    <x v="0"/>
    <n v="322"/>
  </r>
  <r>
    <n v="1698"/>
    <x v="0"/>
    <x v="3"/>
    <x v="457"/>
    <m/>
    <x v="0"/>
    <n v="58274"/>
    <x v="0"/>
    <n v="539"/>
  </r>
  <r>
    <n v="1699"/>
    <x v="1"/>
    <x v="4"/>
    <x v="271"/>
    <m/>
    <x v="0"/>
    <n v="37328"/>
    <x v="1"/>
    <n v="597"/>
  </r>
  <r>
    <n v="1700"/>
    <x v="2"/>
    <x v="5"/>
    <x v="391"/>
    <m/>
    <x v="0"/>
    <n v="15307"/>
    <x v="1"/>
    <n v="512"/>
  </r>
  <r>
    <n v="1701"/>
    <x v="0"/>
    <x v="6"/>
    <x v="13"/>
    <m/>
    <x v="0"/>
    <n v="17248"/>
    <x v="1"/>
    <n v="192"/>
  </r>
  <r>
    <n v="1702"/>
    <x v="1"/>
    <x v="7"/>
    <x v="113"/>
    <m/>
    <x v="0"/>
    <n v="43357"/>
    <x v="1"/>
    <n v="607"/>
  </r>
  <r>
    <n v="1703"/>
    <x v="2"/>
    <x v="0"/>
    <x v="613"/>
    <m/>
    <x v="0"/>
    <n v="33784"/>
    <x v="0"/>
    <n v="584"/>
  </r>
  <r>
    <n v="1704"/>
    <x v="0"/>
    <x v="1"/>
    <x v="288"/>
    <m/>
    <x v="0"/>
    <n v="4415"/>
    <x v="0"/>
    <n v="334"/>
  </r>
  <r>
    <n v="1705"/>
    <x v="1"/>
    <x v="2"/>
    <x v="9"/>
    <m/>
    <x v="0"/>
    <n v="8316"/>
    <x v="0"/>
    <n v="598"/>
  </r>
  <r>
    <n v="1706"/>
    <x v="2"/>
    <x v="3"/>
    <x v="64"/>
    <m/>
    <x v="0"/>
    <n v="13097"/>
    <x v="0"/>
    <n v="152"/>
  </r>
  <r>
    <n v="1707"/>
    <x v="0"/>
    <x v="4"/>
    <x v="77"/>
    <m/>
    <x v="0"/>
    <n v="29195"/>
    <x v="1"/>
    <n v="339"/>
  </r>
  <r>
    <n v="1708"/>
    <x v="1"/>
    <x v="5"/>
    <x v="659"/>
    <d v="2016-12-14T00:00:00"/>
    <x v="1"/>
    <n v="16699"/>
    <x v="1"/>
    <n v="51"/>
  </r>
  <r>
    <n v="1709"/>
    <x v="2"/>
    <x v="6"/>
    <x v="449"/>
    <m/>
    <x v="2"/>
    <n v="19136"/>
    <x v="1"/>
    <n v="182"/>
  </r>
  <r>
    <n v="1710"/>
    <x v="0"/>
    <x v="7"/>
    <x v="235"/>
    <m/>
    <x v="0"/>
    <n v="59727"/>
    <x v="1"/>
    <n v="255"/>
  </r>
  <r>
    <n v="1711"/>
    <x v="1"/>
    <x v="0"/>
    <x v="448"/>
    <m/>
    <x v="0"/>
    <n v="37629"/>
    <x v="0"/>
    <n v="269"/>
  </r>
  <r>
    <n v="1712"/>
    <x v="2"/>
    <x v="1"/>
    <x v="162"/>
    <m/>
    <x v="0"/>
    <n v="1008"/>
    <x v="0"/>
    <n v="224"/>
  </r>
  <r>
    <n v="1713"/>
    <x v="0"/>
    <x v="2"/>
    <x v="58"/>
    <m/>
    <x v="0"/>
    <n v="43237"/>
    <x v="0"/>
    <n v="385"/>
  </r>
  <r>
    <n v="1714"/>
    <x v="1"/>
    <x v="3"/>
    <x v="93"/>
    <m/>
    <x v="0"/>
    <n v="48928"/>
    <x v="0"/>
    <n v="400"/>
  </r>
  <r>
    <n v="1715"/>
    <x v="2"/>
    <x v="4"/>
    <x v="18"/>
    <m/>
    <x v="0"/>
    <n v="22060"/>
    <x v="1"/>
    <n v="111"/>
  </r>
  <r>
    <n v="1716"/>
    <x v="0"/>
    <x v="5"/>
    <x v="246"/>
    <m/>
    <x v="0"/>
    <n v="11066"/>
    <x v="1"/>
    <n v="131"/>
  </r>
  <r>
    <n v="1717"/>
    <x v="1"/>
    <x v="6"/>
    <x v="405"/>
    <m/>
    <x v="0"/>
    <n v="8196"/>
    <x v="1"/>
    <n v="127"/>
  </r>
  <r>
    <n v="1718"/>
    <x v="2"/>
    <x v="7"/>
    <x v="554"/>
    <m/>
    <x v="0"/>
    <n v="5133"/>
    <x v="1"/>
    <n v="299"/>
  </r>
  <r>
    <n v="1719"/>
    <x v="0"/>
    <x v="0"/>
    <x v="545"/>
    <m/>
    <x v="0"/>
    <n v="52457"/>
    <x v="0"/>
    <n v="527"/>
  </r>
  <r>
    <n v="1720"/>
    <x v="1"/>
    <x v="1"/>
    <x v="86"/>
    <m/>
    <x v="0"/>
    <n v="2480"/>
    <x v="0"/>
    <n v="282"/>
  </r>
  <r>
    <n v="1721"/>
    <x v="2"/>
    <x v="2"/>
    <x v="323"/>
    <d v="2017-11-21T00:00:00"/>
    <x v="1"/>
    <n v="2192"/>
    <x v="0"/>
    <n v="45"/>
  </r>
  <r>
    <n v="1722"/>
    <x v="0"/>
    <x v="3"/>
    <x v="300"/>
    <m/>
    <x v="2"/>
    <n v="50922"/>
    <x v="0"/>
    <n v="259"/>
  </r>
  <r>
    <n v="1723"/>
    <x v="1"/>
    <x v="4"/>
    <x v="163"/>
    <m/>
    <x v="0"/>
    <n v="5954"/>
    <x v="1"/>
    <n v="287"/>
  </r>
  <r>
    <n v="1724"/>
    <x v="2"/>
    <x v="5"/>
    <x v="90"/>
    <m/>
    <x v="0"/>
    <n v="52619"/>
    <x v="1"/>
    <n v="479"/>
  </r>
  <r>
    <n v="1725"/>
    <x v="0"/>
    <x v="6"/>
    <x v="505"/>
    <m/>
    <x v="0"/>
    <n v="36799"/>
    <x v="1"/>
    <n v="187"/>
  </r>
  <r>
    <n v="1726"/>
    <x v="1"/>
    <x v="7"/>
    <x v="169"/>
    <m/>
    <x v="0"/>
    <n v="41208"/>
    <x v="1"/>
    <n v="537"/>
  </r>
  <r>
    <n v="1727"/>
    <x v="2"/>
    <x v="0"/>
    <x v="104"/>
    <m/>
    <x v="0"/>
    <n v="56354"/>
    <x v="0"/>
    <n v="337"/>
  </r>
  <r>
    <n v="1728"/>
    <x v="0"/>
    <x v="1"/>
    <x v="660"/>
    <m/>
    <x v="0"/>
    <n v="24765"/>
    <x v="0"/>
    <n v="171"/>
  </r>
  <r>
    <n v="1729"/>
    <x v="1"/>
    <x v="2"/>
    <x v="133"/>
    <m/>
    <x v="0"/>
    <n v="21025"/>
    <x v="0"/>
    <n v="469"/>
  </r>
  <r>
    <n v="1730"/>
    <x v="2"/>
    <x v="3"/>
    <x v="603"/>
    <m/>
    <x v="0"/>
    <n v="2066"/>
    <x v="0"/>
    <n v="520"/>
  </r>
  <r>
    <n v="1731"/>
    <x v="0"/>
    <x v="4"/>
    <x v="661"/>
    <m/>
    <x v="0"/>
    <n v="33578"/>
    <x v="1"/>
    <n v="167"/>
  </r>
  <r>
    <n v="1732"/>
    <x v="1"/>
    <x v="5"/>
    <x v="662"/>
    <m/>
    <x v="0"/>
    <n v="33142"/>
    <x v="1"/>
    <n v="297"/>
  </r>
  <r>
    <n v="1733"/>
    <x v="2"/>
    <x v="6"/>
    <x v="241"/>
    <m/>
    <x v="0"/>
    <n v="24406"/>
    <x v="1"/>
    <n v="177"/>
  </r>
  <r>
    <n v="1734"/>
    <x v="0"/>
    <x v="7"/>
    <x v="167"/>
    <d v="2016-07-23T00:00:00"/>
    <x v="1"/>
    <n v="27641"/>
    <x v="1"/>
    <n v="30"/>
  </r>
  <r>
    <n v="1735"/>
    <x v="1"/>
    <x v="0"/>
    <x v="628"/>
    <m/>
    <x v="2"/>
    <n v="8291"/>
    <x v="0"/>
    <n v="392"/>
  </r>
  <r>
    <n v="1736"/>
    <x v="2"/>
    <x v="1"/>
    <x v="488"/>
    <m/>
    <x v="0"/>
    <n v="57642"/>
    <x v="0"/>
    <n v="402"/>
  </r>
  <r>
    <n v="1737"/>
    <x v="0"/>
    <x v="2"/>
    <x v="349"/>
    <m/>
    <x v="0"/>
    <n v="13784"/>
    <x v="0"/>
    <n v="281"/>
  </r>
  <r>
    <n v="1738"/>
    <x v="1"/>
    <x v="3"/>
    <x v="663"/>
    <m/>
    <x v="0"/>
    <n v="29385"/>
    <x v="0"/>
    <n v="242"/>
  </r>
  <r>
    <n v="1739"/>
    <x v="2"/>
    <x v="4"/>
    <x v="316"/>
    <m/>
    <x v="0"/>
    <n v="52638"/>
    <x v="1"/>
    <n v="207"/>
  </r>
  <r>
    <n v="1740"/>
    <x v="0"/>
    <x v="5"/>
    <x v="513"/>
    <m/>
    <x v="0"/>
    <n v="33251"/>
    <x v="1"/>
    <n v="254"/>
  </r>
  <r>
    <n v="1741"/>
    <x v="1"/>
    <x v="6"/>
    <x v="363"/>
    <m/>
    <x v="0"/>
    <n v="50350"/>
    <x v="1"/>
    <n v="137"/>
  </r>
  <r>
    <n v="1742"/>
    <x v="2"/>
    <x v="7"/>
    <x v="543"/>
    <m/>
    <x v="0"/>
    <n v="48673"/>
    <x v="1"/>
    <n v="282"/>
  </r>
  <r>
    <n v="1743"/>
    <x v="0"/>
    <x v="0"/>
    <x v="236"/>
    <m/>
    <x v="0"/>
    <n v="33431"/>
    <x v="0"/>
    <n v="364"/>
  </r>
  <r>
    <n v="1744"/>
    <x v="1"/>
    <x v="1"/>
    <x v="197"/>
    <m/>
    <x v="0"/>
    <n v="26544"/>
    <x v="0"/>
    <n v="207"/>
  </r>
  <r>
    <n v="1745"/>
    <x v="2"/>
    <x v="2"/>
    <x v="307"/>
    <m/>
    <x v="0"/>
    <n v="37587"/>
    <x v="0"/>
    <n v="561"/>
  </r>
  <r>
    <n v="1746"/>
    <x v="0"/>
    <x v="3"/>
    <x v="537"/>
    <m/>
    <x v="0"/>
    <n v="2271"/>
    <x v="0"/>
    <n v="482"/>
  </r>
  <r>
    <n v="1747"/>
    <x v="1"/>
    <x v="4"/>
    <x v="215"/>
    <d v="2018-02-11T00:00:00"/>
    <x v="1"/>
    <n v="33429"/>
    <x v="1"/>
    <n v="80"/>
  </r>
  <r>
    <n v="1748"/>
    <x v="2"/>
    <x v="5"/>
    <x v="615"/>
    <m/>
    <x v="2"/>
    <n v="38780"/>
    <x v="1"/>
    <n v="191"/>
  </r>
  <r>
    <n v="1749"/>
    <x v="0"/>
    <x v="6"/>
    <x v="664"/>
    <m/>
    <x v="0"/>
    <n v="46616"/>
    <x v="1"/>
    <n v="202"/>
  </r>
  <r>
    <n v="1750"/>
    <x v="1"/>
    <x v="7"/>
    <x v="555"/>
    <m/>
    <x v="0"/>
    <n v="19741"/>
    <x v="1"/>
    <n v="572"/>
  </r>
  <r>
    <n v="1751"/>
    <x v="2"/>
    <x v="0"/>
    <x v="552"/>
    <m/>
    <x v="0"/>
    <n v="24310"/>
    <x v="0"/>
    <n v="611"/>
  </r>
  <r>
    <n v="1752"/>
    <x v="0"/>
    <x v="1"/>
    <x v="277"/>
    <m/>
    <x v="0"/>
    <n v="59207"/>
    <x v="0"/>
    <n v="522"/>
  </r>
  <r>
    <n v="1753"/>
    <x v="1"/>
    <x v="2"/>
    <x v="492"/>
    <m/>
    <x v="0"/>
    <n v="32269"/>
    <x v="0"/>
    <n v="522"/>
  </r>
  <r>
    <n v="1754"/>
    <x v="2"/>
    <x v="3"/>
    <x v="580"/>
    <m/>
    <x v="0"/>
    <n v="11199"/>
    <x v="0"/>
    <n v="401"/>
  </r>
  <r>
    <n v="1755"/>
    <x v="0"/>
    <x v="4"/>
    <x v="58"/>
    <m/>
    <x v="0"/>
    <n v="33241"/>
    <x v="1"/>
    <n v="385"/>
  </r>
  <r>
    <n v="1756"/>
    <x v="1"/>
    <x v="5"/>
    <x v="189"/>
    <m/>
    <x v="0"/>
    <n v="4022"/>
    <x v="1"/>
    <n v="517"/>
  </r>
  <r>
    <n v="1757"/>
    <x v="2"/>
    <x v="6"/>
    <x v="213"/>
    <m/>
    <x v="0"/>
    <n v="35327"/>
    <x v="1"/>
    <n v="437"/>
  </r>
  <r>
    <n v="1758"/>
    <x v="0"/>
    <x v="7"/>
    <x v="59"/>
    <m/>
    <x v="0"/>
    <n v="4176"/>
    <x v="1"/>
    <n v="617"/>
  </r>
  <r>
    <n v="1759"/>
    <x v="1"/>
    <x v="0"/>
    <x v="411"/>
    <m/>
    <x v="0"/>
    <n v="1542"/>
    <x v="0"/>
    <n v="415"/>
  </r>
  <r>
    <n v="1760"/>
    <x v="2"/>
    <x v="1"/>
    <x v="300"/>
    <d v="2017-09-23T00:00:00"/>
    <x v="1"/>
    <n v="31629"/>
    <x v="0"/>
    <n v="92"/>
  </r>
  <r>
    <n v="1761"/>
    <x v="0"/>
    <x v="2"/>
    <x v="304"/>
    <m/>
    <x v="2"/>
    <n v="55419"/>
    <x v="0"/>
    <n v="147"/>
  </r>
  <r>
    <n v="1762"/>
    <x v="1"/>
    <x v="3"/>
    <x v="242"/>
    <m/>
    <x v="0"/>
    <n v="52742"/>
    <x v="0"/>
    <n v="292"/>
  </r>
  <r>
    <n v="1763"/>
    <x v="2"/>
    <x v="4"/>
    <x v="397"/>
    <m/>
    <x v="0"/>
    <n v="26870"/>
    <x v="1"/>
    <n v="374"/>
  </r>
  <r>
    <n v="1764"/>
    <x v="0"/>
    <x v="5"/>
    <x v="61"/>
    <m/>
    <x v="0"/>
    <n v="34971"/>
    <x v="1"/>
    <n v="162"/>
  </r>
  <r>
    <n v="1765"/>
    <x v="1"/>
    <x v="6"/>
    <x v="635"/>
    <m/>
    <x v="0"/>
    <n v="3859"/>
    <x v="1"/>
    <n v="340"/>
  </r>
  <r>
    <n v="1766"/>
    <x v="2"/>
    <x v="7"/>
    <x v="60"/>
    <m/>
    <x v="0"/>
    <n v="52134"/>
    <x v="1"/>
    <n v="217"/>
  </r>
  <r>
    <n v="1767"/>
    <x v="0"/>
    <x v="0"/>
    <x v="497"/>
    <m/>
    <x v="0"/>
    <n v="37883"/>
    <x v="0"/>
    <n v="498"/>
  </r>
  <r>
    <n v="1768"/>
    <x v="1"/>
    <x v="1"/>
    <x v="442"/>
    <m/>
    <x v="0"/>
    <n v="16943"/>
    <x v="0"/>
    <n v="414"/>
  </r>
  <r>
    <n v="1769"/>
    <x v="2"/>
    <x v="2"/>
    <x v="172"/>
    <m/>
    <x v="0"/>
    <n v="45447"/>
    <x v="0"/>
    <n v="553"/>
  </r>
  <r>
    <n v="1770"/>
    <x v="0"/>
    <x v="3"/>
    <x v="553"/>
    <m/>
    <x v="0"/>
    <n v="4456"/>
    <x v="0"/>
    <n v="506"/>
  </r>
  <r>
    <n v="1771"/>
    <x v="1"/>
    <x v="4"/>
    <x v="415"/>
    <m/>
    <x v="0"/>
    <n v="14646"/>
    <x v="1"/>
    <n v="240"/>
  </r>
  <r>
    <n v="1772"/>
    <x v="2"/>
    <x v="5"/>
    <x v="387"/>
    <m/>
    <x v="0"/>
    <n v="21251"/>
    <x v="1"/>
    <n v="321"/>
  </r>
  <r>
    <n v="1773"/>
    <x v="0"/>
    <x v="6"/>
    <x v="337"/>
    <d v="2018-02-03T00:00:00"/>
    <x v="1"/>
    <n v="10514"/>
    <x v="1"/>
    <n v="42"/>
  </r>
  <r>
    <n v="1774"/>
    <x v="1"/>
    <x v="7"/>
    <x v="622"/>
    <m/>
    <x v="2"/>
    <n v="20629"/>
    <x v="1"/>
    <n v="157"/>
  </r>
  <r>
    <n v="1775"/>
    <x v="2"/>
    <x v="0"/>
    <x v="564"/>
    <m/>
    <x v="0"/>
    <n v="25227"/>
    <x v="0"/>
    <n v="313"/>
  </r>
  <r>
    <n v="1776"/>
    <x v="0"/>
    <x v="1"/>
    <x v="665"/>
    <m/>
    <x v="0"/>
    <n v="36167"/>
    <x v="0"/>
    <n v="596"/>
  </r>
  <r>
    <n v="1777"/>
    <x v="1"/>
    <x v="2"/>
    <x v="40"/>
    <m/>
    <x v="0"/>
    <n v="22788"/>
    <x v="0"/>
    <n v="434"/>
  </r>
  <r>
    <n v="1778"/>
    <x v="2"/>
    <x v="3"/>
    <x v="458"/>
    <m/>
    <x v="0"/>
    <n v="13414"/>
    <x v="0"/>
    <n v="130"/>
  </r>
  <r>
    <n v="1779"/>
    <x v="0"/>
    <x v="4"/>
    <x v="568"/>
    <m/>
    <x v="0"/>
    <n v="35810"/>
    <x v="1"/>
    <n v="492"/>
  </r>
  <r>
    <n v="1780"/>
    <x v="1"/>
    <x v="5"/>
    <x v="251"/>
    <m/>
    <x v="0"/>
    <n v="4033"/>
    <x v="1"/>
    <n v="359"/>
  </r>
  <r>
    <n v="1781"/>
    <x v="2"/>
    <x v="6"/>
    <x v="86"/>
    <m/>
    <x v="0"/>
    <n v="6167"/>
    <x v="1"/>
    <n v="282"/>
  </r>
  <r>
    <n v="1782"/>
    <x v="0"/>
    <x v="7"/>
    <x v="255"/>
    <m/>
    <x v="0"/>
    <n v="30250"/>
    <x v="1"/>
    <n v="372"/>
  </r>
  <r>
    <n v="1783"/>
    <x v="1"/>
    <x v="0"/>
    <x v="4"/>
    <m/>
    <x v="0"/>
    <n v="9388"/>
    <x v="0"/>
    <n v="262"/>
  </r>
  <r>
    <n v="1784"/>
    <x v="2"/>
    <x v="1"/>
    <x v="511"/>
    <m/>
    <x v="0"/>
    <n v="49424"/>
    <x v="0"/>
    <n v="492"/>
  </r>
  <r>
    <n v="1785"/>
    <x v="0"/>
    <x v="2"/>
    <x v="331"/>
    <m/>
    <x v="0"/>
    <n v="26398"/>
    <x v="0"/>
    <n v="525"/>
  </r>
  <r>
    <n v="1786"/>
    <x v="1"/>
    <x v="3"/>
    <x v="271"/>
    <d v="2016-02-29T00:00:00"/>
    <x v="1"/>
    <n v="51453"/>
    <x v="0"/>
    <n v="21"/>
  </r>
  <r>
    <n v="1787"/>
    <x v="2"/>
    <x v="4"/>
    <x v="129"/>
    <m/>
    <x v="2"/>
    <n v="17650"/>
    <x v="1"/>
    <n v="257"/>
  </r>
  <r>
    <n v="1788"/>
    <x v="0"/>
    <x v="5"/>
    <x v="77"/>
    <m/>
    <x v="0"/>
    <n v="43854"/>
    <x v="1"/>
    <n v="339"/>
  </r>
  <r>
    <n v="1789"/>
    <x v="1"/>
    <x v="6"/>
    <x v="604"/>
    <m/>
    <x v="0"/>
    <n v="51098"/>
    <x v="1"/>
    <n v="421"/>
  </r>
  <r>
    <n v="1790"/>
    <x v="2"/>
    <x v="7"/>
    <x v="504"/>
    <m/>
    <x v="0"/>
    <n v="46643"/>
    <x v="1"/>
    <n v="117"/>
  </r>
  <r>
    <n v="1791"/>
    <x v="0"/>
    <x v="0"/>
    <x v="662"/>
    <m/>
    <x v="0"/>
    <n v="37673"/>
    <x v="0"/>
    <n v="297"/>
  </r>
  <r>
    <n v="1792"/>
    <x v="1"/>
    <x v="1"/>
    <x v="542"/>
    <m/>
    <x v="0"/>
    <n v="37723"/>
    <x v="0"/>
    <n v="562"/>
  </r>
  <r>
    <n v="1793"/>
    <x v="2"/>
    <x v="2"/>
    <x v="51"/>
    <m/>
    <x v="0"/>
    <n v="11927"/>
    <x v="0"/>
    <n v="202"/>
  </r>
  <r>
    <n v="1794"/>
    <x v="0"/>
    <x v="3"/>
    <x v="414"/>
    <m/>
    <x v="0"/>
    <n v="55209"/>
    <x v="0"/>
    <n v="371"/>
  </r>
  <r>
    <n v="1795"/>
    <x v="1"/>
    <x v="4"/>
    <x v="656"/>
    <m/>
    <x v="0"/>
    <n v="21338"/>
    <x v="1"/>
    <n v="144"/>
  </r>
  <r>
    <n v="1796"/>
    <x v="2"/>
    <x v="5"/>
    <x v="22"/>
    <m/>
    <x v="0"/>
    <n v="9349"/>
    <x v="1"/>
    <n v="289"/>
  </r>
  <r>
    <n v="1797"/>
    <x v="0"/>
    <x v="6"/>
    <x v="254"/>
    <m/>
    <x v="0"/>
    <n v="46501"/>
    <x v="1"/>
    <n v="617"/>
  </r>
  <r>
    <n v="1798"/>
    <x v="1"/>
    <x v="7"/>
    <x v="500"/>
    <m/>
    <x v="0"/>
    <n v="22348"/>
    <x v="1"/>
    <n v="511"/>
  </r>
  <r>
    <n v="1799"/>
    <x v="2"/>
    <x v="0"/>
    <x v="446"/>
    <d v="2017-04-22T00:00:00"/>
    <x v="1"/>
    <n v="44820"/>
    <x v="0"/>
    <n v="29"/>
  </r>
  <r>
    <n v="1800"/>
    <x v="0"/>
    <x v="1"/>
    <x v="653"/>
    <m/>
    <x v="2"/>
    <n v="27642"/>
    <x v="0"/>
    <n v="308"/>
  </r>
  <r>
    <n v="1801"/>
    <x v="1"/>
    <x v="2"/>
    <x v="590"/>
    <m/>
    <x v="0"/>
    <n v="6422"/>
    <x v="0"/>
    <n v="580"/>
  </r>
  <r>
    <n v="1802"/>
    <x v="2"/>
    <x v="3"/>
    <x v="578"/>
    <m/>
    <x v="0"/>
    <n v="35377"/>
    <x v="0"/>
    <n v="122"/>
  </r>
  <r>
    <n v="1803"/>
    <x v="0"/>
    <x v="4"/>
    <x v="229"/>
    <m/>
    <x v="0"/>
    <n v="17369"/>
    <x v="1"/>
    <n v="529"/>
  </r>
  <r>
    <n v="1804"/>
    <x v="1"/>
    <x v="5"/>
    <x v="96"/>
    <m/>
    <x v="0"/>
    <n v="9601"/>
    <x v="1"/>
    <n v="592"/>
  </r>
  <r>
    <n v="1805"/>
    <x v="2"/>
    <x v="6"/>
    <x v="509"/>
    <m/>
    <x v="0"/>
    <n v="7941"/>
    <x v="1"/>
    <n v="467"/>
  </r>
  <r>
    <n v="1806"/>
    <x v="0"/>
    <x v="7"/>
    <x v="548"/>
    <m/>
    <x v="0"/>
    <n v="24955"/>
    <x v="1"/>
    <n v="232"/>
  </r>
  <r>
    <n v="1807"/>
    <x v="1"/>
    <x v="0"/>
    <x v="51"/>
    <m/>
    <x v="0"/>
    <n v="54857"/>
    <x v="0"/>
    <n v="202"/>
  </r>
  <r>
    <n v="1808"/>
    <x v="2"/>
    <x v="1"/>
    <x v="134"/>
    <m/>
    <x v="0"/>
    <n v="27948"/>
    <x v="0"/>
    <n v="390"/>
  </r>
  <r>
    <n v="1809"/>
    <x v="0"/>
    <x v="2"/>
    <x v="305"/>
    <m/>
    <x v="0"/>
    <n v="59018"/>
    <x v="0"/>
    <n v="404"/>
  </r>
  <r>
    <n v="1810"/>
    <x v="1"/>
    <x v="3"/>
    <x v="432"/>
    <m/>
    <x v="0"/>
    <n v="58609"/>
    <x v="0"/>
    <n v="264"/>
  </r>
  <r>
    <n v="1811"/>
    <x v="2"/>
    <x v="4"/>
    <x v="278"/>
    <m/>
    <x v="0"/>
    <n v="33741"/>
    <x v="1"/>
    <n v="187"/>
  </r>
  <r>
    <n v="1812"/>
    <x v="0"/>
    <x v="5"/>
    <x v="448"/>
    <d v="2017-06-16T00:00:00"/>
    <x v="1"/>
    <n v="37057"/>
    <x v="1"/>
    <n v="32"/>
  </r>
  <r>
    <n v="1813"/>
    <x v="1"/>
    <x v="6"/>
    <x v="494"/>
    <m/>
    <x v="2"/>
    <n v="56016"/>
    <x v="1"/>
    <n v="618"/>
  </r>
  <r>
    <n v="1814"/>
    <x v="2"/>
    <x v="7"/>
    <x v="201"/>
    <m/>
    <x v="0"/>
    <n v="53687"/>
    <x v="1"/>
    <n v="166"/>
  </r>
  <r>
    <n v="1815"/>
    <x v="0"/>
    <x v="0"/>
    <x v="398"/>
    <m/>
    <x v="0"/>
    <n v="42085"/>
    <x v="0"/>
    <n v="468"/>
  </r>
  <r>
    <n v="1816"/>
    <x v="1"/>
    <x v="1"/>
    <x v="131"/>
    <m/>
    <x v="0"/>
    <n v="39528"/>
    <x v="0"/>
    <n v="337"/>
  </r>
  <r>
    <n v="1817"/>
    <x v="2"/>
    <x v="2"/>
    <x v="298"/>
    <m/>
    <x v="0"/>
    <n v="19802"/>
    <x v="0"/>
    <n v="237"/>
  </r>
  <r>
    <n v="1818"/>
    <x v="0"/>
    <x v="3"/>
    <x v="85"/>
    <m/>
    <x v="0"/>
    <n v="29630"/>
    <x v="0"/>
    <n v="480"/>
  </r>
  <r>
    <n v="1819"/>
    <x v="1"/>
    <x v="4"/>
    <x v="665"/>
    <m/>
    <x v="0"/>
    <n v="28196"/>
    <x v="1"/>
    <n v="596"/>
  </r>
  <r>
    <n v="1820"/>
    <x v="2"/>
    <x v="5"/>
    <x v="368"/>
    <m/>
    <x v="0"/>
    <n v="16694"/>
    <x v="1"/>
    <n v="547"/>
  </r>
  <r>
    <n v="1821"/>
    <x v="0"/>
    <x v="6"/>
    <x v="445"/>
    <m/>
    <x v="0"/>
    <n v="11643"/>
    <x v="1"/>
    <n v="331"/>
  </r>
  <r>
    <n v="1822"/>
    <x v="1"/>
    <x v="7"/>
    <x v="666"/>
    <m/>
    <x v="0"/>
    <n v="55654"/>
    <x v="1"/>
    <n v="97"/>
  </r>
  <r>
    <n v="1823"/>
    <x v="2"/>
    <x v="0"/>
    <x v="667"/>
    <m/>
    <x v="0"/>
    <n v="55421"/>
    <x v="0"/>
    <n v="357"/>
  </r>
  <r>
    <n v="1824"/>
    <x v="0"/>
    <x v="1"/>
    <x v="347"/>
    <m/>
    <x v="0"/>
    <n v="8885"/>
    <x v="0"/>
    <n v="475"/>
  </r>
  <r>
    <n v="1825"/>
    <x v="1"/>
    <x v="2"/>
    <x v="668"/>
    <d v="2016-12-04T00:00:00"/>
    <x v="1"/>
    <n v="50143"/>
    <x v="0"/>
    <n v="33"/>
  </r>
  <r>
    <n v="1826"/>
    <x v="2"/>
    <x v="3"/>
    <x v="436"/>
    <m/>
    <x v="2"/>
    <n v="29101"/>
    <x v="0"/>
    <n v="314"/>
  </r>
  <r>
    <n v="1827"/>
    <x v="0"/>
    <x v="4"/>
    <x v="98"/>
    <m/>
    <x v="0"/>
    <n v="59488"/>
    <x v="1"/>
    <n v="277"/>
  </r>
  <r>
    <n v="1828"/>
    <x v="1"/>
    <x v="5"/>
    <x v="258"/>
    <m/>
    <x v="0"/>
    <n v="34538"/>
    <x v="1"/>
    <n v="115"/>
  </r>
  <r>
    <n v="1829"/>
    <x v="2"/>
    <x v="6"/>
    <x v="584"/>
    <m/>
    <x v="0"/>
    <n v="2535"/>
    <x v="1"/>
    <n v="465"/>
  </r>
  <r>
    <n v="1830"/>
    <x v="0"/>
    <x v="7"/>
    <x v="509"/>
    <m/>
    <x v="0"/>
    <n v="5655"/>
    <x v="1"/>
    <n v="467"/>
  </r>
  <r>
    <n v="1831"/>
    <x v="1"/>
    <x v="0"/>
    <x v="669"/>
    <m/>
    <x v="0"/>
    <n v="17740"/>
    <x v="0"/>
    <n v="517"/>
  </r>
  <r>
    <n v="1832"/>
    <x v="2"/>
    <x v="1"/>
    <x v="670"/>
    <m/>
    <x v="0"/>
    <n v="28782"/>
    <x v="0"/>
    <n v="187"/>
  </r>
  <r>
    <n v="1833"/>
    <x v="0"/>
    <x v="2"/>
    <x v="501"/>
    <m/>
    <x v="0"/>
    <n v="48836"/>
    <x v="0"/>
    <n v="342"/>
  </r>
  <r>
    <n v="1834"/>
    <x v="1"/>
    <x v="3"/>
    <x v="352"/>
    <m/>
    <x v="0"/>
    <n v="54351"/>
    <x v="0"/>
    <n v="227"/>
  </r>
  <r>
    <n v="1835"/>
    <x v="2"/>
    <x v="4"/>
    <x v="437"/>
    <m/>
    <x v="0"/>
    <n v="35165"/>
    <x v="1"/>
    <n v="141"/>
  </r>
  <r>
    <n v="1836"/>
    <x v="0"/>
    <x v="5"/>
    <x v="88"/>
    <m/>
    <x v="0"/>
    <n v="1704"/>
    <x v="1"/>
    <n v="322"/>
  </r>
  <r>
    <n v="1837"/>
    <x v="1"/>
    <x v="6"/>
    <x v="408"/>
    <m/>
    <x v="0"/>
    <n v="34197"/>
    <x v="1"/>
    <n v="231"/>
  </r>
  <r>
    <n v="1838"/>
    <x v="2"/>
    <x v="7"/>
    <x v="50"/>
    <d v="2017-03-29T00:00:00"/>
    <x v="1"/>
    <n v="49229"/>
    <x v="1"/>
    <n v="66"/>
  </r>
  <r>
    <n v="1839"/>
    <x v="0"/>
    <x v="0"/>
    <x v="26"/>
    <m/>
    <x v="2"/>
    <n v="57422"/>
    <x v="0"/>
    <n v="202"/>
  </r>
  <r>
    <n v="1840"/>
    <x v="1"/>
    <x v="1"/>
    <x v="511"/>
    <m/>
    <x v="0"/>
    <n v="5763"/>
    <x v="0"/>
    <n v="492"/>
  </r>
  <r>
    <n v="1841"/>
    <x v="2"/>
    <x v="2"/>
    <x v="260"/>
    <m/>
    <x v="0"/>
    <n v="39362"/>
    <x v="0"/>
    <n v="151"/>
  </r>
  <r>
    <n v="1842"/>
    <x v="0"/>
    <x v="3"/>
    <x v="671"/>
    <m/>
    <x v="0"/>
    <n v="11642"/>
    <x v="0"/>
    <n v="140"/>
  </r>
  <r>
    <n v="1843"/>
    <x v="1"/>
    <x v="4"/>
    <x v="210"/>
    <m/>
    <x v="0"/>
    <n v="35836"/>
    <x v="1"/>
    <n v="448"/>
  </r>
  <r>
    <n v="1844"/>
    <x v="2"/>
    <x v="5"/>
    <x v="92"/>
    <m/>
    <x v="0"/>
    <n v="50779"/>
    <x v="1"/>
    <n v="572"/>
  </r>
  <r>
    <n v="1845"/>
    <x v="0"/>
    <x v="6"/>
    <x v="477"/>
    <m/>
    <x v="0"/>
    <n v="48807"/>
    <x v="1"/>
    <n v="537"/>
  </r>
  <r>
    <n v="1846"/>
    <x v="1"/>
    <x v="7"/>
    <x v="404"/>
    <m/>
    <x v="0"/>
    <n v="25320"/>
    <x v="1"/>
    <n v="267"/>
  </r>
  <r>
    <n v="1847"/>
    <x v="2"/>
    <x v="0"/>
    <x v="420"/>
    <m/>
    <x v="0"/>
    <n v="41603"/>
    <x v="0"/>
    <n v="159"/>
  </r>
  <r>
    <n v="1848"/>
    <x v="0"/>
    <x v="1"/>
    <x v="443"/>
    <m/>
    <x v="0"/>
    <n v="25743"/>
    <x v="0"/>
    <n v="287"/>
  </r>
  <r>
    <n v="1849"/>
    <x v="1"/>
    <x v="2"/>
    <x v="672"/>
    <m/>
    <x v="0"/>
    <n v="59923"/>
    <x v="0"/>
    <n v="487"/>
  </r>
  <r>
    <n v="1850"/>
    <x v="2"/>
    <x v="3"/>
    <x v="298"/>
    <m/>
    <x v="0"/>
    <n v="17960"/>
    <x v="0"/>
    <n v="237"/>
  </r>
  <r>
    <n v="1851"/>
    <x v="0"/>
    <x v="4"/>
    <x v="85"/>
    <d v="2016-09-23T00:00:00"/>
    <x v="1"/>
    <n v="12008"/>
    <x v="1"/>
    <n v="53"/>
  </r>
  <r>
    <n v="1852"/>
    <x v="1"/>
    <x v="5"/>
    <x v="538"/>
    <m/>
    <x v="2"/>
    <n v="58847"/>
    <x v="1"/>
    <n v="458"/>
  </r>
  <r>
    <n v="1853"/>
    <x v="2"/>
    <x v="6"/>
    <x v="471"/>
    <m/>
    <x v="0"/>
    <n v="57678"/>
    <x v="1"/>
    <n v="142"/>
  </r>
  <r>
    <n v="1854"/>
    <x v="0"/>
    <x v="7"/>
    <x v="506"/>
    <m/>
    <x v="0"/>
    <n v="29215"/>
    <x v="1"/>
    <n v="609"/>
  </r>
  <r>
    <n v="1855"/>
    <x v="1"/>
    <x v="0"/>
    <x v="673"/>
    <m/>
    <x v="0"/>
    <n v="24345"/>
    <x v="0"/>
    <n v="222"/>
  </r>
  <r>
    <n v="1856"/>
    <x v="2"/>
    <x v="1"/>
    <x v="620"/>
    <m/>
    <x v="0"/>
    <n v="37430"/>
    <x v="0"/>
    <n v="318"/>
  </r>
  <r>
    <n v="1857"/>
    <x v="0"/>
    <x v="2"/>
    <x v="283"/>
    <m/>
    <x v="0"/>
    <n v="56184"/>
    <x v="0"/>
    <n v="125"/>
  </r>
  <r>
    <n v="1858"/>
    <x v="1"/>
    <x v="3"/>
    <x v="439"/>
    <m/>
    <x v="0"/>
    <n v="29083"/>
    <x v="0"/>
    <n v="252"/>
  </r>
  <r>
    <n v="1859"/>
    <x v="2"/>
    <x v="4"/>
    <x v="469"/>
    <m/>
    <x v="0"/>
    <n v="17023"/>
    <x v="1"/>
    <n v="316"/>
  </r>
  <r>
    <n v="1860"/>
    <x v="0"/>
    <x v="5"/>
    <x v="408"/>
    <m/>
    <x v="0"/>
    <n v="3890"/>
    <x v="1"/>
    <n v="231"/>
  </r>
  <r>
    <n v="1861"/>
    <x v="1"/>
    <x v="6"/>
    <x v="674"/>
    <m/>
    <x v="0"/>
    <n v="28659"/>
    <x v="1"/>
    <n v="412"/>
  </r>
  <r>
    <n v="1862"/>
    <x v="2"/>
    <x v="7"/>
    <x v="270"/>
    <m/>
    <x v="0"/>
    <n v="46657"/>
    <x v="1"/>
    <n v="221"/>
  </r>
  <r>
    <n v="1863"/>
    <x v="0"/>
    <x v="0"/>
    <x v="312"/>
    <m/>
    <x v="0"/>
    <n v="53060"/>
    <x v="0"/>
    <n v="482"/>
  </r>
  <r>
    <n v="1864"/>
    <x v="1"/>
    <x v="1"/>
    <x v="660"/>
    <d v="2017-11-16T00:00:00"/>
    <x v="1"/>
    <n v="45715"/>
    <x v="0"/>
    <n v="43"/>
  </r>
  <r>
    <n v="1865"/>
    <x v="2"/>
    <x v="2"/>
    <x v="154"/>
    <m/>
    <x v="2"/>
    <n v="47720"/>
    <x v="0"/>
    <n v="612"/>
  </r>
  <r>
    <n v="1866"/>
    <x v="0"/>
    <x v="3"/>
    <x v="82"/>
    <m/>
    <x v="0"/>
    <n v="53317"/>
    <x v="0"/>
    <n v="192"/>
  </r>
  <r>
    <n v="1867"/>
    <x v="1"/>
    <x v="4"/>
    <x v="659"/>
    <m/>
    <x v="0"/>
    <n v="35727"/>
    <x v="1"/>
    <n v="420"/>
  </r>
  <r>
    <n v="1868"/>
    <x v="2"/>
    <x v="5"/>
    <x v="656"/>
    <m/>
    <x v="0"/>
    <n v="6313"/>
    <x v="1"/>
    <n v="144"/>
  </r>
  <r>
    <n v="1869"/>
    <x v="0"/>
    <x v="6"/>
    <x v="675"/>
    <m/>
    <x v="0"/>
    <n v="28955"/>
    <x v="1"/>
    <n v="397"/>
  </r>
  <r>
    <n v="1870"/>
    <x v="1"/>
    <x v="7"/>
    <x v="238"/>
    <m/>
    <x v="0"/>
    <n v="28063"/>
    <x v="1"/>
    <n v="429"/>
  </r>
  <r>
    <n v="1871"/>
    <x v="2"/>
    <x v="0"/>
    <x v="401"/>
    <m/>
    <x v="0"/>
    <n v="17265"/>
    <x v="0"/>
    <n v="392"/>
  </r>
  <r>
    <n v="1872"/>
    <x v="0"/>
    <x v="1"/>
    <x v="456"/>
    <m/>
    <x v="0"/>
    <n v="34552"/>
    <x v="0"/>
    <n v="377"/>
  </r>
  <r>
    <n v="1873"/>
    <x v="1"/>
    <x v="2"/>
    <x v="114"/>
    <m/>
    <x v="0"/>
    <n v="1125"/>
    <x v="0"/>
    <n v="532"/>
  </r>
  <r>
    <n v="1874"/>
    <x v="2"/>
    <x v="3"/>
    <x v="149"/>
    <m/>
    <x v="0"/>
    <n v="21752"/>
    <x v="0"/>
    <n v="320"/>
  </r>
  <r>
    <n v="1875"/>
    <x v="0"/>
    <x v="4"/>
    <x v="676"/>
    <m/>
    <x v="0"/>
    <n v="42005"/>
    <x v="1"/>
    <n v="185"/>
  </r>
  <r>
    <n v="1876"/>
    <x v="1"/>
    <x v="5"/>
    <x v="167"/>
    <m/>
    <x v="0"/>
    <n v="22311"/>
    <x v="1"/>
    <n v="502"/>
  </r>
  <r>
    <n v="1877"/>
    <x v="2"/>
    <x v="6"/>
    <x v="538"/>
    <d v="2016-10-24T00:00:00"/>
    <x v="1"/>
    <n v="50459"/>
    <x v="1"/>
    <n v="52"/>
  </r>
  <r>
    <n v="1878"/>
    <x v="0"/>
    <x v="7"/>
    <x v="677"/>
    <m/>
    <x v="2"/>
    <n v="21103"/>
    <x v="1"/>
    <n v="214"/>
  </r>
  <r>
    <n v="1879"/>
    <x v="1"/>
    <x v="0"/>
    <x v="575"/>
    <m/>
    <x v="0"/>
    <n v="15185"/>
    <x v="0"/>
    <n v="589"/>
  </r>
  <r>
    <n v="1880"/>
    <x v="2"/>
    <x v="1"/>
    <x v="175"/>
    <m/>
    <x v="0"/>
    <n v="5863"/>
    <x v="0"/>
    <n v="523"/>
  </r>
  <r>
    <n v="1881"/>
    <x v="0"/>
    <x v="2"/>
    <x v="161"/>
    <m/>
    <x v="0"/>
    <n v="779"/>
    <x v="0"/>
    <n v="494"/>
  </r>
  <r>
    <n v="1882"/>
    <x v="1"/>
    <x v="3"/>
    <x v="608"/>
    <m/>
    <x v="0"/>
    <n v="56146"/>
    <x v="0"/>
    <n v="423"/>
  </r>
  <r>
    <n v="1883"/>
    <x v="2"/>
    <x v="4"/>
    <x v="229"/>
    <m/>
    <x v="0"/>
    <n v="46705"/>
    <x v="1"/>
    <n v="529"/>
  </r>
  <r>
    <n v="1884"/>
    <x v="0"/>
    <x v="5"/>
    <x v="678"/>
    <m/>
    <x v="0"/>
    <n v="6640"/>
    <x v="1"/>
    <n v="534"/>
  </r>
  <r>
    <n v="1885"/>
    <x v="1"/>
    <x v="6"/>
    <x v="511"/>
    <m/>
    <x v="0"/>
    <n v="26032"/>
    <x v="1"/>
    <n v="492"/>
  </r>
  <r>
    <n v="1886"/>
    <x v="2"/>
    <x v="7"/>
    <x v="318"/>
    <m/>
    <x v="0"/>
    <n v="26810"/>
    <x v="1"/>
    <n v="220"/>
  </r>
  <r>
    <n v="1887"/>
    <x v="0"/>
    <x v="0"/>
    <x v="245"/>
    <m/>
    <x v="0"/>
    <n v="43665"/>
    <x v="0"/>
    <n v="366"/>
  </r>
  <r>
    <n v="1888"/>
    <x v="1"/>
    <x v="1"/>
    <x v="20"/>
    <m/>
    <x v="0"/>
    <n v="56342"/>
    <x v="0"/>
    <n v="367"/>
  </r>
  <r>
    <n v="1889"/>
    <x v="2"/>
    <x v="2"/>
    <x v="417"/>
    <m/>
    <x v="0"/>
    <n v="37425"/>
    <x v="0"/>
    <n v="105"/>
  </r>
  <r>
    <n v="1890"/>
    <x v="0"/>
    <x v="3"/>
    <x v="455"/>
    <d v="2017-03-06T00:00:00"/>
    <x v="1"/>
    <n v="25246"/>
    <x v="0"/>
    <n v="51"/>
  </r>
  <r>
    <n v="1891"/>
    <x v="1"/>
    <x v="4"/>
    <x v="94"/>
    <m/>
    <x v="2"/>
    <n v="37473"/>
    <x v="1"/>
    <n v="396"/>
  </r>
  <r>
    <n v="1892"/>
    <x v="2"/>
    <x v="5"/>
    <x v="236"/>
    <m/>
    <x v="0"/>
    <n v="39981"/>
    <x v="1"/>
    <n v="364"/>
  </r>
  <r>
    <n v="1893"/>
    <x v="0"/>
    <x v="6"/>
    <x v="98"/>
    <m/>
    <x v="0"/>
    <n v="45129"/>
    <x v="1"/>
    <n v="277"/>
  </r>
  <r>
    <n v="1894"/>
    <x v="1"/>
    <x v="7"/>
    <x v="612"/>
    <m/>
    <x v="0"/>
    <n v="46434"/>
    <x v="1"/>
    <n v="326"/>
  </r>
  <r>
    <n v="1895"/>
    <x v="2"/>
    <x v="0"/>
    <x v="643"/>
    <m/>
    <x v="0"/>
    <n v="45645"/>
    <x v="0"/>
    <n v="132"/>
  </r>
  <r>
    <n v="1896"/>
    <x v="0"/>
    <x v="1"/>
    <x v="566"/>
    <m/>
    <x v="0"/>
    <n v="22188"/>
    <x v="0"/>
    <n v="346"/>
  </r>
  <r>
    <n v="1897"/>
    <x v="1"/>
    <x v="2"/>
    <x v="106"/>
    <m/>
    <x v="0"/>
    <n v="36024"/>
    <x v="0"/>
    <n v="206"/>
  </r>
  <r>
    <n v="1898"/>
    <x v="2"/>
    <x v="3"/>
    <x v="569"/>
    <m/>
    <x v="0"/>
    <n v="12928"/>
    <x v="0"/>
    <n v="474"/>
  </r>
  <r>
    <n v="1899"/>
    <x v="0"/>
    <x v="4"/>
    <x v="465"/>
    <m/>
    <x v="0"/>
    <n v="15569"/>
    <x v="1"/>
    <n v="570"/>
  </r>
  <r>
    <n v="1900"/>
    <x v="1"/>
    <x v="5"/>
    <x v="385"/>
    <m/>
    <x v="0"/>
    <n v="33459"/>
    <x v="1"/>
    <n v="337"/>
  </r>
  <r>
    <n v="1901"/>
    <x v="2"/>
    <x v="6"/>
    <x v="423"/>
    <m/>
    <x v="0"/>
    <n v="25062"/>
    <x v="1"/>
    <n v="605"/>
  </r>
  <r>
    <n v="1902"/>
    <x v="0"/>
    <x v="7"/>
    <x v="268"/>
    <m/>
    <x v="0"/>
    <n v="44085"/>
    <x v="1"/>
    <n v="449"/>
  </r>
  <r>
    <n v="1903"/>
    <x v="1"/>
    <x v="0"/>
    <x v="369"/>
    <d v="2016-10-27T00:00:00"/>
    <x v="1"/>
    <n v="54649"/>
    <x v="0"/>
    <n v="106"/>
  </r>
  <r>
    <n v="1904"/>
    <x v="2"/>
    <x v="1"/>
    <x v="33"/>
    <m/>
    <x v="2"/>
    <n v="41000"/>
    <x v="0"/>
    <n v="552"/>
  </r>
  <r>
    <n v="1905"/>
    <x v="0"/>
    <x v="2"/>
    <x v="531"/>
    <m/>
    <x v="0"/>
    <n v="10370"/>
    <x v="0"/>
    <n v="527"/>
  </r>
  <r>
    <n v="1906"/>
    <x v="1"/>
    <x v="3"/>
    <x v="182"/>
    <m/>
    <x v="0"/>
    <n v="40797"/>
    <x v="0"/>
    <n v="241"/>
  </r>
  <r>
    <n v="1907"/>
    <x v="2"/>
    <x v="4"/>
    <x v="131"/>
    <m/>
    <x v="0"/>
    <n v="53688"/>
    <x v="1"/>
    <n v="337"/>
  </r>
  <r>
    <n v="1908"/>
    <x v="0"/>
    <x v="5"/>
    <x v="155"/>
    <m/>
    <x v="0"/>
    <n v="44690"/>
    <x v="1"/>
    <n v="514"/>
  </r>
  <r>
    <n v="1909"/>
    <x v="1"/>
    <x v="6"/>
    <x v="679"/>
    <m/>
    <x v="0"/>
    <n v="38407"/>
    <x v="1"/>
    <n v="198"/>
  </r>
  <r>
    <n v="1910"/>
    <x v="2"/>
    <x v="7"/>
    <x v="158"/>
    <m/>
    <x v="0"/>
    <n v="31434"/>
    <x v="1"/>
    <n v="457"/>
  </r>
  <r>
    <n v="1911"/>
    <x v="0"/>
    <x v="0"/>
    <x v="664"/>
    <m/>
    <x v="0"/>
    <n v="42017"/>
    <x v="0"/>
    <n v="202"/>
  </r>
  <r>
    <n v="1912"/>
    <x v="1"/>
    <x v="1"/>
    <x v="148"/>
    <m/>
    <x v="0"/>
    <n v="1680"/>
    <x v="0"/>
    <n v="210"/>
  </r>
  <r>
    <n v="1913"/>
    <x v="2"/>
    <x v="2"/>
    <x v="117"/>
    <m/>
    <x v="0"/>
    <n v="31501"/>
    <x v="0"/>
    <n v="389"/>
  </r>
  <r>
    <n v="1914"/>
    <x v="0"/>
    <x v="3"/>
    <x v="618"/>
    <m/>
    <x v="0"/>
    <n v="1889"/>
    <x v="0"/>
    <n v="186"/>
  </r>
  <r>
    <n v="1915"/>
    <x v="1"/>
    <x v="4"/>
    <x v="212"/>
    <m/>
    <x v="0"/>
    <n v="43210"/>
    <x v="1"/>
    <n v="152"/>
  </r>
  <r>
    <n v="1916"/>
    <x v="2"/>
    <x v="5"/>
    <x v="0"/>
    <d v="2016-11-06T00:00:00"/>
    <x v="1"/>
    <n v="8573"/>
    <x v="1"/>
    <n v="80"/>
  </r>
  <r>
    <n v="1917"/>
    <x v="0"/>
    <x v="6"/>
    <x v="531"/>
    <m/>
    <x v="2"/>
    <n v="11418"/>
    <x v="1"/>
    <n v="527"/>
  </r>
  <r>
    <n v="1918"/>
    <x v="1"/>
    <x v="7"/>
    <x v="150"/>
    <m/>
    <x v="0"/>
    <n v="11341"/>
    <x v="1"/>
    <n v="550"/>
  </r>
  <r>
    <n v="1919"/>
    <x v="2"/>
    <x v="0"/>
    <x v="301"/>
    <m/>
    <x v="0"/>
    <n v="17169"/>
    <x v="0"/>
    <n v="488"/>
  </r>
  <r>
    <n v="1920"/>
    <x v="0"/>
    <x v="1"/>
    <x v="381"/>
    <m/>
    <x v="0"/>
    <n v="7682"/>
    <x v="0"/>
    <n v="156"/>
  </r>
  <r>
    <n v="1921"/>
    <x v="1"/>
    <x v="2"/>
    <x v="501"/>
    <m/>
    <x v="0"/>
    <n v="49261"/>
    <x v="0"/>
    <n v="342"/>
  </r>
  <r>
    <n v="1922"/>
    <x v="2"/>
    <x v="3"/>
    <x v="663"/>
    <m/>
    <x v="0"/>
    <n v="48726"/>
    <x v="0"/>
    <n v="242"/>
  </r>
  <r>
    <n v="1923"/>
    <x v="0"/>
    <x v="4"/>
    <x v="313"/>
    <m/>
    <x v="0"/>
    <n v="21676"/>
    <x v="1"/>
    <n v="593"/>
  </r>
  <r>
    <n v="1924"/>
    <x v="1"/>
    <x v="5"/>
    <x v="643"/>
    <m/>
    <x v="0"/>
    <n v="42087"/>
    <x v="1"/>
    <n v="132"/>
  </r>
  <r>
    <n v="1925"/>
    <x v="2"/>
    <x v="6"/>
    <x v="680"/>
    <m/>
    <x v="0"/>
    <n v="2972"/>
    <x v="1"/>
    <n v="564"/>
  </r>
  <r>
    <n v="1926"/>
    <x v="0"/>
    <x v="7"/>
    <x v="535"/>
    <m/>
    <x v="0"/>
    <n v="42499"/>
    <x v="1"/>
    <n v="279"/>
  </r>
  <r>
    <n v="1927"/>
    <x v="1"/>
    <x v="0"/>
    <x v="518"/>
    <m/>
    <x v="0"/>
    <n v="30398"/>
    <x v="0"/>
    <n v="602"/>
  </r>
  <r>
    <n v="1928"/>
    <x v="2"/>
    <x v="1"/>
    <x v="118"/>
    <m/>
    <x v="0"/>
    <n v="20794"/>
    <x v="0"/>
    <n v="341"/>
  </r>
  <r>
    <n v="1929"/>
    <x v="0"/>
    <x v="2"/>
    <x v="529"/>
    <d v="2016-09-07T00:00:00"/>
    <x v="1"/>
    <n v="4696"/>
    <x v="0"/>
    <n v="78"/>
  </r>
  <r>
    <n v="1930"/>
    <x v="1"/>
    <x v="3"/>
    <x v="543"/>
    <m/>
    <x v="2"/>
    <n v="48055"/>
    <x v="0"/>
    <n v="282"/>
  </r>
  <r>
    <n v="1931"/>
    <x v="2"/>
    <x v="4"/>
    <x v="681"/>
    <m/>
    <x v="0"/>
    <n v="5944"/>
    <x v="1"/>
    <n v="542"/>
  </r>
  <r>
    <n v="1932"/>
    <x v="0"/>
    <x v="5"/>
    <x v="606"/>
    <m/>
    <x v="0"/>
    <n v="58846"/>
    <x v="1"/>
    <n v="459"/>
  </r>
  <r>
    <n v="1933"/>
    <x v="1"/>
    <x v="6"/>
    <x v="209"/>
    <m/>
    <x v="0"/>
    <n v="6782"/>
    <x v="1"/>
    <n v="274"/>
  </r>
  <r>
    <n v="1934"/>
    <x v="2"/>
    <x v="7"/>
    <x v="290"/>
    <m/>
    <x v="0"/>
    <n v="7042"/>
    <x v="1"/>
    <n v="471"/>
  </r>
  <r>
    <n v="1935"/>
    <x v="0"/>
    <x v="0"/>
    <x v="168"/>
    <m/>
    <x v="0"/>
    <n v="57667"/>
    <x v="0"/>
    <n v="352"/>
  </r>
  <r>
    <n v="1936"/>
    <x v="1"/>
    <x v="1"/>
    <x v="20"/>
    <m/>
    <x v="0"/>
    <n v="14328"/>
    <x v="0"/>
    <n v="367"/>
  </r>
  <r>
    <n v="1937"/>
    <x v="2"/>
    <x v="2"/>
    <x v="682"/>
    <m/>
    <x v="0"/>
    <n v="42646"/>
    <x v="0"/>
    <n v="260"/>
  </r>
  <r>
    <n v="1938"/>
    <x v="0"/>
    <x v="3"/>
    <x v="512"/>
    <m/>
    <x v="0"/>
    <n v="2797"/>
    <x v="0"/>
    <n v="184"/>
  </r>
  <r>
    <n v="1939"/>
    <x v="1"/>
    <x v="4"/>
    <x v="118"/>
    <m/>
    <x v="0"/>
    <n v="35776"/>
    <x v="1"/>
    <n v="341"/>
  </r>
  <r>
    <n v="1940"/>
    <x v="2"/>
    <x v="5"/>
    <x v="353"/>
    <m/>
    <x v="0"/>
    <n v="50036"/>
    <x v="1"/>
    <n v="532"/>
  </r>
  <r>
    <n v="1941"/>
    <x v="0"/>
    <x v="6"/>
    <x v="641"/>
    <m/>
    <x v="0"/>
    <n v="40606"/>
    <x v="1"/>
    <n v="136"/>
  </r>
  <r>
    <n v="1942"/>
    <x v="1"/>
    <x v="7"/>
    <x v="472"/>
    <d v="2016-11-26T00:00:00"/>
    <x v="1"/>
    <n v="51183"/>
    <x v="1"/>
    <n v="80"/>
  </r>
  <r>
    <n v="1943"/>
    <x v="2"/>
    <x v="0"/>
    <x v="683"/>
    <m/>
    <x v="2"/>
    <n v="52438"/>
    <x v="0"/>
    <n v="268"/>
  </r>
  <r>
    <n v="1944"/>
    <x v="0"/>
    <x v="1"/>
    <x v="494"/>
    <m/>
    <x v="0"/>
    <n v="49860"/>
    <x v="0"/>
    <n v="618"/>
  </r>
  <r>
    <n v="1945"/>
    <x v="1"/>
    <x v="2"/>
    <x v="55"/>
    <m/>
    <x v="0"/>
    <n v="9798"/>
    <x v="0"/>
    <n v="288"/>
  </r>
  <r>
    <n v="1946"/>
    <x v="2"/>
    <x v="3"/>
    <x v="430"/>
    <m/>
    <x v="0"/>
    <n v="14395"/>
    <x v="0"/>
    <n v="353"/>
  </r>
  <r>
    <n v="1947"/>
    <x v="0"/>
    <x v="4"/>
    <x v="667"/>
    <m/>
    <x v="0"/>
    <n v="39378"/>
    <x v="1"/>
    <n v="357"/>
  </r>
  <r>
    <n v="1948"/>
    <x v="1"/>
    <x v="5"/>
    <x v="232"/>
    <m/>
    <x v="0"/>
    <n v="15046"/>
    <x v="1"/>
    <n v="447"/>
  </r>
  <r>
    <n v="1949"/>
    <x v="2"/>
    <x v="6"/>
    <x v="39"/>
    <m/>
    <x v="0"/>
    <n v="29851"/>
    <x v="1"/>
    <n v="569"/>
  </r>
  <r>
    <n v="1950"/>
    <x v="0"/>
    <x v="7"/>
    <x v="241"/>
    <m/>
    <x v="0"/>
    <n v="28180"/>
    <x v="1"/>
    <n v="177"/>
  </r>
  <r>
    <n v="1951"/>
    <x v="1"/>
    <x v="0"/>
    <x v="606"/>
    <m/>
    <x v="0"/>
    <n v="25309"/>
    <x v="0"/>
    <n v="459"/>
  </r>
  <r>
    <n v="1952"/>
    <x v="2"/>
    <x v="1"/>
    <x v="441"/>
    <m/>
    <x v="0"/>
    <n v="12578"/>
    <x v="0"/>
    <n v="283"/>
  </r>
  <r>
    <n v="1953"/>
    <x v="0"/>
    <x v="2"/>
    <x v="381"/>
    <m/>
    <x v="0"/>
    <n v="39756"/>
    <x v="0"/>
    <n v="156"/>
  </r>
  <r>
    <n v="1954"/>
    <x v="1"/>
    <x v="3"/>
    <x v="317"/>
    <m/>
    <x v="0"/>
    <n v="49938"/>
    <x v="0"/>
    <n v="447"/>
  </r>
  <r>
    <n v="1955"/>
    <x v="2"/>
    <x v="4"/>
    <x v="333"/>
    <d v="2016-08-27T00:00:00"/>
    <x v="1"/>
    <n v="27140"/>
    <x v="1"/>
    <n v="38"/>
  </r>
  <r>
    <n v="1956"/>
    <x v="0"/>
    <x v="5"/>
    <x v="25"/>
    <m/>
    <x v="2"/>
    <n v="40186"/>
    <x v="1"/>
    <n v="418"/>
  </r>
  <r>
    <n v="1957"/>
    <x v="1"/>
    <x v="6"/>
    <x v="684"/>
    <m/>
    <x v="0"/>
    <n v="44451"/>
    <x v="1"/>
    <n v="571"/>
  </r>
  <r>
    <n v="1958"/>
    <x v="2"/>
    <x v="7"/>
    <x v="685"/>
    <m/>
    <x v="0"/>
    <n v="2799"/>
    <x v="1"/>
    <n v="351"/>
  </r>
  <r>
    <n v="1959"/>
    <x v="0"/>
    <x v="0"/>
    <x v="524"/>
    <m/>
    <x v="0"/>
    <n v="29293"/>
    <x v="0"/>
    <n v="226"/>
  </r>
  <r>
    <n v="1960"/>
    <x v="1"/>
    <x v="1"/>
    <x v="635"/>
    <m/>
    <x v="0"/>
    <n v="2488"/>
    <x v="0"/>
    <n v="340"/>
  </r>
  <r>
    <n v="1961"/>
    <x v="2"/>
    <x v="2"/>
    <x v="536"/>
    <m/>
    <x v="0"/>
    <n v="30988"/>
    <x v="0"/>
    <n v="211"/>
  </r>
  <r>
    <n v="1962"/>
    <x v="0"/>
    <x v="3"/>
    <x v="460"/>
    <m/>
    <x v="0"/>
    <n v="50729"/>
    <x v="0"/>
    <n v="433"/>
  </r>
  <r>
    <n v="1963"/>
    <x v="1"/>
    <x v="4"/>
    <x v="387"/>
    <m/>
    <x v="0"/>
    <n v="46978"/>
    <x v="1"/>
    <n v="321"/>
  </r>
  <r>
    <n v="1964"/>
    <x v="2"/>
    <x v="5"/>
    <x v="229"/>
    <m/>
    <x v="0"/>
    <n v="46023"/>
    <x v="1"/>
    <n v="529"/>
  </r>
  <r>
    <n v="1965"/>
    <x v="0"/>
    <x v="6"/>
    <x v="169"/>
    <m/>
    <x v="0"/>
    <n v="23109"/>
    <x v="1"/>
    <n v="537"/>
  </r>
  <r>
    <n v="1966"/>
    <x v="1"/>
    <x v="7"/>
    <x v="53"/>
    <m/>
    <x v="0"/>
    <n v="27364"/>
    <x v="1"/>
    <n v="481"/>
  </r>
  <r>
    <n v="1967"/>
    <x v="2"/>
    <x v="0"/>
    <x v="312"/>
    <m/>
    <x v="0"/>
    <n v="15437"/>
    <x v="0"/>
    <n v="482"/>
  </r>
  <r>
    <n v="1968"/>
    <x v="0"/>
    <x v="1"/>
    <x v="686"/>
    <d v="2017-08-25T00:00:00"/>
    <x v="1"/>
    <n v="39909"/>
    <x v="0"/>
    <n v="45"/>
  </r>
  <r>
    <n v="1969"/>
    <x v="1"/>
    <x v="2"/>
    <x v="381"/>
    <m/>
    <x v="2"/>
    <n v="4397"/>
    <x v="0"/>
    <n v="156"/>
  </r>
  <r>
    <n v="1970"/>
    <x v="2"/>
    <x v="3"/>
    <x v="366"/>
    <m/>
    <x v="0"/>
    <n v="30445"/>
    <x v="0"/>
    <n v="462"/>
  </r>
  <r>
    <n v="1971"/>
    <x v="0"/>
    <x v="4"/>
    <x v="687"/>
    <m/>
    <x v="0"/>
    <n v="13543"/>
    <x v="1"/>
    <n v="135"/>
  </r>
  <r>
    <n v="1972"/>
    <x v="1"/>
    <x v="5"/>
    <x v="314"/>
    <m/>
    <x v="0"/>
    <n v="20045"/>
    <x v="1"/>
    <n v="395"/>
  </r>
  <r>
    <n v="1973"/>
    <x v="2"/>
    <x v="6"/>
    <x v="232"/>
    <m/>
    <x v="0"/>
    <n v="43870"/>
    <x v="1"/>
    <n v="447"/>
  </r>
  <r>
    <n v="1974"/>
    <x v="0"/>
    <x v="7"/>
    <x v="85"/>
    <m/>
    <x v="0"/>
    <n v="55125"/>
    <x v="1"/>
    <n v="480"/>
  </r>
  <r>
    <n v="1975"/>
    <x v="1"/>
    <x v="0"/>
    <x v="24"/>
    <m/>
    <x v="0"/>
    <n v="30682"/>
    <x v="0"/>
    <n v="382"/>
  </r>
  <r>
    <n v="1976"/>
    <x v="2"/>
    <x v="1"/>
    <x v="86"/>
    <m/>
    <x v="0"/>
    <n v="37510"/>
    <x v="0"/>
    <n v="282"/>
  </r>
  <r>
    <n v="1977"/>
    <x v="0"/>
    <x v="2"/>
    <x v="430"/>
    <m/>
    <x v="0"/>
    <n v="16000"/>
    <x v="0"/>
    <n v="353"/>
  </r>
  <r>
    <n v="1978"/>
    <x v="1"/>
    <x v="3"/>
    <x v="275"/>
    <m/>
    <x v="0"/>
    <n v="17924"/>
    <x v="0"/>
    <n v="142"/>
  </r>
  <r>
    <n v="1979"/>
    <x v="2"/>
    <x v="4"/>
    <x v="98"/>
    <m/>
    <x v="0"/>
    <n v="24279"/>
    <x v="1"/>
    <n v="277"/>
  </r>
  <r>
    <n v="1980"/>
    <x v="0"/>
    <x v="5"/>
    <x v="461"/>
    <m/>
    <x v="0"/>
    <n v="692"/>
    <x v="1"/>
    <n v="615"/>
  </r>
  <r>
    <n v="1981"/>
    <x v="1"/>
    <x v="6"/>
    <x v="209"/>
    <d v="2017-10-17T00:00:00"/>
    <x v="1"/>
    <n v="59507"/>
    <x v="1"/>
    <n v="124"/>
  </r>
  <r>
    <n v="1982"/>
    <x v="2"/>
    <x v="7"/>
    <x v="41"/>
    <m/>
    <x v="2"/>
    <n v="38634"/>
    <x v="1"/>
    <n v="388"/>
  </r>
  <r>
    <n v="1983"/>
    <x v="0"/>
    <x v="0"/>
    <x v="626"/>
    <m/>
    <x v="0"/>
    <n v="47529"/>
    <x v="0"/>
    <n v="464"/>
  </r>
  <r>
    <n v="1984"/>
    <x v="1"/>
    <x v="1"/>
    <x v="126"/>
    <m/>
    <x v="0"/>
    <n v="34749"/>
    <x v="0"/>
    <n v="563"/>
  </r>
  <r>
    <n v="1985"/>
    <x v="2"/>
    <x v="2"/>
    <x v="108"/>
    <m/>
    <x v="0"/>
    <n v="3176"/>
    <x v="0"/>
    <n v="148"/>
  </r>
  <r>
    <n v="1986"/>
    <x v="0"/>
    <x v="3"/>
    <x v="374"/>
    <m/>
    <x v="0"/>
    <n v="32530"/>
    <x v="0"/>
    <n v="104"/>
  </r>
  <r>
    <n v="1987"/>
    <x v="1"/>
    <x v="4"/>
    <x v="539"/>
    <m/>
    <x v="0"/>
    <n v="48668"/>
    <x v="1"/>
    <n v="120"/>
  </r>
  <r>
    <n v="1988"/>
    <x v="2"/>
    <x v="5"/>
    <x v="295"/>
    <m/>
    <x v="0"/>
    <n v="52613"/>
    <x v="1"/>
    <n v="590"/>
  </r>
  <r>
    <n v="1989"/>
    <x v="0"/>
    <x v="6"/>
    <x v="273"/>
    <m/>
    <x v="0"/>
    <n v="6526"/>
    <x v="1"/>
    <n v="247"/>
  </r>
  <r>
    <n v="1990"/>
    <x v="1"/>
    <x v="7"/>
    <x v="208"/>
    <m/>
    <x v="0"/>
    <n v="54452"/>
    <x v="1"/>
    <n v="533"/>
  </r>
  <r>
    <n v="1991"/>
    <x v="2"/>
    <x v="0"/>
    <x v="299"/>
    <m/>
    <x v="0"/>
    <n v="33464"/>
    <x v="0"/>
    <n v="555"/>
  </r>
  <r>
    <n v="1992"/>
    <x v="0"/>
    <x v="1"/>
    <x v="171"/>
    <m/>
    <x v="0"/>
    <n v="37633"/>
    <x v="0"/>
    <n v="227"/>
  </r>
  <r>
    <n v="1993"/>
    <x v="1"/>
    <x v="2"/>
    <x v="599"/>
    <m/>
    <x v="0"/>
    <n v="26233"/>
    <x v="0"/>
    <n v="168"/>
  </r>
  <r>
    <n v="1994"/>
    <x v="2"/>
    <x v="3"/>
    <x v="544"/>
    <d v="2018-01-08T00:00:00"/>
    <x v="1"/>
    <n v="35808"/>
    <x v="0"/>
    <n v="64"/>
  </r>
  <r>
    <n v="1995"/>
    <x v="0"/>
    <x v="4"/>
    <x v="24"/>
    <m/>
    <x v="2"/>
    <n v="14709"/>
    <x v="1"/>
    <n v="382"/>
  </r>
  <r>
    <n v="1996"/>
    <x v="1"/>
    <x v="5"/>
    <x v="212"/>
    <m/>
    <x v="0"/>
    <n v="12503"/>
    <x v="1"/>
    <n v="152"/>
  </r>
  <r>
    <n v="1997"/>
    <x v="2"/>
    <x v="6"/>
    <x v="496"/>
    <m/>
    <x v="0"/>
    <n v="37879"/>
    <x v="1"/>
    <n v="292"/>
  </r>
  <r>
    <n v="1998"/>
    <x v="0"/>
    <x v="7"/>
    <x v="105"/>
    <m/>
    <x v="0"/>
    <n v="2629"/>
    <x v="1"/>
    <n v="230"/>
  </r>
  <r>
    <n v="1999"/>
    <x v="1"/>
    <x v="0"/>
    <x v="84"/>
    <m/>
    <x v="0"/>
    <n v="26536"/>
    <x v="0"/>
    <n v="137"/>
  </r>
  <r>
    <n v="2000"/>
    <x v="2"/>
    <x v="1"/>
    <x v="217"/>
    <m/>
    <x v="0"/>
    <n v="11077"/>
    <x v="0"/>
    <n v="249"/>
  </r>
  <r>
    <n v="2001"/>
    <x v="0"/>
    <x v="2"/>
    <x v="602"/>
    <m/>
    <x v="0"/>
    <n v="46692"/>
    <x v="0"/>
    <n v="557"/>
  </r>
  <r>
    <n v="2002"/>
    <x v="1"/>
    <x v="3"/>
    <x v="104"/>
    <m/>
    <x v="0"/>
    <n v="40977"/>
    <x v="0"/>
    <n v="337"/>
  </r>
  <r>
    <n v="2003"/>
    <x v="2"/>
    <x v="4"/>
    <x v="28"/>
    <m/>
    <x v="0"/>
    <n v="47851"/>
    <x v="1"/>
    <n v="124"/>
  </r>
  <r>
    <n v="2004"/>
    <x v="0"/>
    <x v="5"/>
    <x v="399"/>
    <m/>
    <x v="0"/>
    <n v="37998"/>
    <x v="1"/>
    <n v="602"/>
  </r>
  <r>
    <n v="2005"/>
    <x v="1"/>
    <x v="6"/>
    <x v="382"/>
    <m/>
    <x v="0"/>
    <n v="40887"/>
    <x v="1"/>
    <n v="377"/>
  </r>
  <r>
    <n v="2006"/>
    <x v="2"/>
    <x v="7"/>
    <x v="95"/>
    <m/>
    <x v="0"/>
    <n v="52377"/>
    <x v="1"/>
    <n v="146"/>
  </r>
  <r>
    <n v="2007"/>
    <x v="0"/>
    <x v="0"/>
    <x v="33"/>
    <d v="2016-07-22T00:00:00"/>
    <x v="1"/>
    <n v="12341"/>
    <x v="0"/>
    <n v="80"/>
  </r>
  <r>
    <n v="2008"/>
    <x v="1"/>
    <x v="1"/>
    <x v="448"/>
    <m/>
    <x v="2"/>
    <n v="16836"/>
    <x v="0"/>
    <n v="269"/>
  </r>
  <r>
    <n v="2009"/>
    <x v="2"/>
    <x v="2"/>
    <x v="100"/>
    <m/>
    <x v="0"/>
    <n v="53128"/>
    <x v="0"/>
    <n v="262"/>
  </r>
  <r>
    <n v="2010"/>
    <x v="0"/>
    <x v="3"/>
    <x v="570"/>
    <m/>
    <x v="0"/>
    <n v="21896"/>
    <x v="0"/>
    <n v="153"/>
  </r>
  <r>
    <n v="2011"/>
    <x v="1"/>
    <x v="4"/>
    <x v="210"/>
    <m/>
    <x v="0"/>
    <n v="30103"/>
    <x v="1"/>
    <n v="448"/>
  </r>
  <r>
    <n v="2012"/>
    <x v="2"/>
    <x v="5"/>
    <x v="49"/>
    <m/>
    <x v="0"/>
    <n v="48805"/>
    <x v="1"/>
    <n v="338"/>
  </r>
  <r>
    <n v="2013"/>
    <x v="0"/>
    <x v="6"/>
    <x v="594"/>
    <m/>
    <x v="0"/>
    <n v="10146"/>
    <x v="1"/>
    <n v="277"/>
  </r>
  <r>
    <n v="2014"/>
    <x v="1"/>
    <x v="7"/>
    <x v="495"/>
    <m/>
    <x v="0"/>
    <n v="13637"/>
    <x v="1"/>
    <n v="382"/>
  </r>
  <r>
    <n v="2015"/>
    <x v="2"/>
    <x v="0"/>
    <x v="441"/>
    <m/>
    <x v="0"/>
    <n v="58848"/>
    <x v="0"/>
    <n v="283"/>
  </r>
  <r>
    <n v="2016"/>
    <x v="0"/>
    <x v="1"/>
    <x v="112"/>
    <m/>
    <x v="0"/>
    <n v="25648"/>
    <x v="0"/>
    <n v="98"/>
  </r>
  <r>
    <n v="2017"/>
    <x v="1"/>
    <x v="2"/>
    <x v="577"/>
    <m/>
    <x v="0"/>
    <n v="6717"/>
    <x v="0"/>
    <n v="328"/>
  </r>
  <r>
    <n v="2018"/>
    <x v="2"/>
    <x v="3"/>
    <x v="395"/>
    <m/>
    <x v="0"/>
    <n v="46459"/>
    <x v="0"/>
    <n v="568"/>
  </r>
  <r>
    <n v="2019"/>
    <x v="0"/>
    <x v="4"/>
    <x v="196"/>
    <m/>
    <x v="0"/>
    <n v="59653"/>
    <x v="1"/>
    <n v="309"/>
  </r>
  <r>
    <n v="2020"/>
    <x v="1"/>
    <x v="5"/>
    <x v="539"/>
    <d v="2018-02-11T00:00:00"/>
    <x v="1"/>
    <n v="22282"/>
    <x v="1"/>
    <n v="53"/>
  </r>
  <r>
    <n v="2021"/>
    <x v="2"/>
    <x v="6"/>
    <x v="541"/>
    <m/>
    <x v="2"/>
    <n v="51007"/>
    <x v="1"/>
    <n v="349"/>
  </r>
  <r>
    <n v="2022"/>
    <x v="0"/>
    <x v="7"/>
    <x v="9"/>
    <m/>
    <x v="0"/>
    <n v="4473"/>
    <x v="1"/>
    <n v="598"/>
  </r>
  <r>
    <n v="2023"/>
    <x v="1"/>
    <x v="0"/>
    <x v="421"/>
    <m/>
    <x v="0"/>
    <n v="25191"/>
    <x v="0"/>
    <n v="487"/>
  </r>
  <r>
    <n v="2024"/>
    <x v="2"/>
    <x v="1"/>
    <x v="499"/>
    <m/>
    <x v="0"/>
    <n v="49650"/>
    <x v="0"/>
    <n v="444"/>
  </r>
  <r>
    <n v="2025"/>
    <x v="0"/>
    <x v="2"/>
    <x v="243"/>
    <m/>
    <x v="0"/>
    <n v="32706"/>
    <x v="0"/>
    <n v="486"/>
  </r>
  <r>
    <n v="2026"/>
    <x v="1"/>
    <x v="3"/>
    <x v="636"/>
    <m/>
    <x v="0"/>
    <n v="46795"/>
    <x v="0"/>
    <n v="452"/>
  </r>
  <r>
    <n v="2027"/>
    <x v="2"/>
    <x v="4"/>
    <x v="246"/>
    <m/>
    <x v="0"/>
    <n v="10281"/>
    <x v="1"/>
    <n v="131"/>
  </r>
  <r>
    <n v="2028"/>
    <x v="0"/>
    <x v="5"/>
    <x v="244"/>
    <m/>
    <x v="0"/>
    <n v="21582"/>
    <x v="1"/>
    <n v="132"/>
  </r>
  <r>
    <n v="2029"/>
    <x v="1"/>
    <x v="6"/>
    <x v="594"/>
    <m/>
    <x v="0"/>
    <n v="25749"/>
    <x v="1"/>
    <n v="277"/>
  </r>
  <r>
    <n v="2030"/>
    <x v="2"/>
    <x v="7"/>
    <x v="54"/>
    <m/>
    <x v="0"/>
    <n v="15632"/>
    <x v="1"/>
    <n v="614"/>
  </r>
  <r>
    <n v="2031"/>
    <x v="0"/>
    <x v="0"/>
    <x v="100"/>
    <m/>
    <x v="0"/>
    <n v="46855"/>
    <x v="0"/>
    <n v="262"/>
  </r>
  <r>
    <n v="2032"/>
    <x v="1"/>
    <x v="1"/>
    <x v="356"/>
    <m/>
    <x v="0"/>
    <n v="5444"/>
    <x v="0"/>
    <n v="324"/>
  </r>
  <r>
    <n v="2033"/>
    <x v="2"/>
    <x v="2"/>
    <x v="299"/>
    <d v="2016-06-04T00:00:00"/>
    <x v="1"/>
    <n v="18563"/>
    <x v="0"/>
    <n v="48"/>
  </r>
  <r>
    <n v="2034"/>
    <x v="0"/>
    <x v="3"/>
    <x v="178"/>
    <m/>
    <x v="2"/>
    <n v="30469"/>
    <x v="0"/>
    <n v="222"/>
  </r>
  <r>
    <n v="2035"/>
    <x v="1"/>
    <x v="4"/>
    <x v="407"/>
    <m/>
    <x v="0"/>
    <n v="3898"/>
    <x v="1"/>
    <n v="218"/>
  </r>
  <r>
    <n v="2036"/>
    <x v="2"/>
    <x v="5"/>
    <x v="146"/>
    <m/>
    <x v="0"/>
    <n v="50869"/>
    <x v="1"/>
    <n v="158"/>
  </r>
  <r>
    <n v="2037"/>
    <x v="0"/>
    <x v="6"/>
    <x v="382"/>
    <m/>
    <x v="0"/>
    <n v="58551"/>
    <x v="1"/>
    <n v="377"/>
  </r>
  <r>
    <n v="2038"/>
    <x v="1"/>
    <x v="7"/>
    <x v="401"/>
    <m/>
    <x v="0"/>
    <n v="59193"/>
    <x v="1"/>
    <n v="392"/>
  </r>
  <r>
    <n v="2039"/>
    <x v="2"/>
    <x v="0"/>
    <x v="618"/>
    <m/>
    <x v="0"/>
    <n v="35375"/>
    <x v="0"/>
    <n v="186"/>
  </r>
  <r>
    <n v="2040"/>
    <x v="0"/>
    <x v="1"/>
    <x v="422"/>
    <m/>
    <x v="0"/>
    <n v="7829"/>
    <x v="0"/>
    <n v="286"/>
  </r>
  <r>
    <n v="2041"/>
    <x v="1"/>
    <x v="2"/>
    <x v="617"/>
    <m/>
    <x v="0"/>
    <n v="49078"/>
    <x v="0"/>
    <n v="447"/>
  </r>
  <r>
    <n v="2042"/>
    <x v="2"/>
    <x v="3"/>
    <x v="322"/>
    <m/>
    <x v="0"/>
    <n v="23215"/>
    <x v="0"/>
    <n v="612"/>
  </r>
  <r>
    <n v="2043"/>
    <x v="0"/>
    <x v="4"/>
    <x v="354"/>
    <m/>
    <x v="0"/>
    <n v="40056"/>
    <x v="1"/>
    <n v="323"/>
  </r>
  <r>
    <n v="2044"/>
    <x v="1"/>
    <x v="5"/>
    <x v="47"/>
    <m/>
    <x v="0"/>
    <n v="35672"/>
    <x v="1"/>
    <n v="112"/>
  </r>
  <r>
    <n v="2045"/>
    <x v="2"/>
    <x v="6"/>
    <x v="373"/>
    <m/>
    <x v="0"/>
    <n v="41667"/>
    <x v="1"/>
    <n v="195"/>
  </r>
  <r>
    <n v="2046"/>
    <x v="0"/>
    <x v="7"/>
    <x v="318"/>
    <d v="2017-09-05T00:00:00"/>
    <x v="1"/>
    <n v="45418"/>
    <x v="1"/>
    <n v="40"/>
  </r>
  <r>
    <n v="2047"/>
    <x v="1"/>
    <x v="0"/>
    <x v="360"/>
    <m/>
    <x v="2"/>
    <n v="39591"/>
    <x v="0"/>
    <n v="164"/>
  </r>
  <r>
    <n v="2048"/>
    <x v="2"/>
    <x v="1"/>
    <x v="10"/>
    <m/>
    <x v="0"/>
    <n v="26240"/>
    <x v="0"/>
    <n v="225"/>
  </r>
  <r>
    <n v="2049"/>
    <x v="0"/>
    <x v="2"/>
    <x v="201"/>
    <m/>
    <x v="0"/>
    <n v="11814"/>
    <x v="0"/>
    <n v="166"/>
  </r>
  <r>
    <n v="2050"/>
    <x v="1"/>
    <x v="3"/>
    <x v="527"/>
    <m/>
    <x v="0"/>
    <n v="9388"/>
    <x v="0"/>
    <n v="426"/>
  </r>
  <r>
    <n v="2051"/>
    <x v="2"/>
    <x v="4"/>
    <x v="688"/>
    <m/>
    <x v="0"/>
    <n v="50742"/>
    <x v="1"/>
    <n v="133"/>
  </r>
  <r>
    <n v="2052"/>
    <x v="0"/>
    <x v="5"/>
    <x v="660"/>
    <m/>
    <x v="0"/>
    <n v="9653"/>
    <x v="1"/>
    <n v="171"/>
  </r>
  <r>
    <n v="2053"/>
    <x v="1"/>
    <x v="6"/>
    <x v="343"/>
    <m/>
    <x v="0"/>
    <n v="26441"/>
    <x v="1"/>
    <n v="521"/>
  </r>
  <r>
    <n v="2054"/>
    <x v="2"/>
    <x v="7"/>
    <x v="458"/>
    <m/>
    <x v="0"/>
    <n v="1179"/>
    <x v="1"/>
    <n v="130"/>
  </r>
  <r>
    <n v="2055"/>
    <x v="0"/>
    <x v="0"/>
    <x v="539"/>
    <m/>
    <x v="0"/>
    <n v="52977"/>
    <x v="0"/>
    <n v="120"/>
  </r>
  <r>
    <n v="2056"/>
    <x v="1"/>
    <x v="1"/>
    <x v="559"/>
    <m/>
    <x v="0"/>
    <n v="27295"/>
    <x v="0"/>
    <n v="370"/>
  </r>
  <r>
    <n v="2057"/>
    <x v="2"/>
    <x v="2"/>
    <x v="547"/>
    <m/>
    <x v="0"/>
    <n v="1909"/>
    <x v="0"/>
    <n v="399"/>
  </r>
  <r>
    <n v="2058"/>
    <x v="0"/>
    <x v="3"/>
    <x v="566"/>
    <m/>
    <x v="0"/>
    <n v="21975"/>
    <x v="0"/>
    <n v="346"/>
  </r>
  <r>
    <n v="2059"/>
    <x v="1"/>
    <x v="4"/>
    <x v="174"/>
    <d v="2017-11-14T00:00:00"/>
    <x v="1"/>
    <n v="4586"/>
    <x v="1"/>
    <n v="52"/>
  </r>
  <r>
    <n v="2060"/>
    <x v="2"/>
    <x v="5"/>
    <x v="323"/>
    <m/>
    <x v="2"/>
    <n v="35242"/>
    <x v="1"/>
    <n v="170"/>
  </r>
  <r>
    <n v="2061"/>
    <x v="0"/>
    <x v="6"/>
    <x v="265"/>
    <m/>
    <x v="0"/>
    <n v="14390"/>
    <x v="1"/>
    <n v="102"/>
  </r>
  <r>
    <n v="2062"/>
    <x v="1"/>
    <x v="7"/>
    <x v="400"/>
    <m/>
    <x v="0"/>
    <n v="43882"/>
    <x v="1"/>
    <n v="438"/>
  </r>
  <r>
    <n v="2063"/>
    <x v="2"/>
    <x v="0"/>
    <x v="226"/>
    <m/>
    <x v="0"/>
    <n v="2951"/>
    <x v="0"/>
    <n v="613"/>
  </r>
  <r>
    <n v="2064"/>
    <x v="0"/>
    <x v="1"/>
    <x v="156"/>
    <m/>
    <x v="0"/>
    <n v="22450"/>
    <x v="0"/>
    <n v="300"/>
  </r>
  <r>
    <n v="2065"/>
    <x v="1"/>
    <x v="2"/>
    <x v="494"/>
    <m/>
    <x v="0"/>
    <n v="59371"/>
    <x v="0"/>
    <n v="618"/>
  </r>
  <r>
    <n v="2066"/>
    <x v="2"/>
    <x v="3"/>
    <x v="683"/>
    <m/>
    <x v="0"/>
    <n v="54408"/>
    <x v="0"/>
    <n v="268"/>
  </r>
  <r>
    <n v="2067"/>
    <x v="0"/>
    <x v="4"/>
    <x v="552"/>
    <m/>
    <x v="0"/>
    <n v="35268"/>
    <x v="1"/>
    <n v="611"/>
  </r>
  <r>
    <n v="2068"/>
    <x v="1"/>
    <x v="5"/>
    <x v="104"/>
    <m/>
    <x v="0"/>
    <n v="14980"/>
    <x v="1"/>
    <n v="337"/>
  </r>
  <r>
    <n v="2069"/>
    <x v="2"/>
    <x v="6"/>
    <x v="262"/>
    <m/>
    <x v="0"/>
    <n v="33726"/>
    <x v="1"/>
    <n v="122"/>
  </r>
  <r>
    <n v="2070"/>
    <x v="0"/>
    <x v="7"/>
    <x v="534"/>
    <m/>
    <x v="0"/>
    <n v="7405"/>
    <x v="1"/>
    <n v="319"/>
  </r>
  <r>
    <n v="2071"/>
    <x v="1"/>
    <x v="0"/>
    <x v="650"/>
    <m/>
    <x v="0"/>
    <n v="38165"/>
    <x v="0"/>
    <n v="177"/>
  </r>
  <r>
    <n v="2072"/>
    <x v="2"/>
    <x v="1"/>
    <x v="667"/>
    <d v="2017-03-06T00:00:00"/>
    <x v="1"/>
    <n v="40326"/>
    <x v="0"/>
    <n v="46"/>
  </r>
  <r>
    <n v="2073"/>
    <x v="0"/>
    <x v="2"/>
    <x v="400"/>
    <m/>
    <x v="2"/>
    <n v="10854"/>
    <x v="0"/>
    <n v="438"/>
  </r>
  <r>
    <n v="2074"/>
    <x v="1"/>
    <x v="3"/>
    <x v="491"/>
    <m/>
    <x v="0"/>
    <n v="40227"/>
    <x v="0"/>
    <n v="147"/>
  </r>
  <r>
    <n v="2075"/>
    <x v="2"/>
    <x v="4"/>
    <x v="469"/>
    <m/>
    <x v="0"/>
    <n v="36396"/>
    <x v="1"/>
    <n v="316"/>
  </r>
  <r>
    <n v="2076"/>
    <x v="0"/>
    <x v="5"/>
    <x v="499"/>
    <m/>
    <x v="0"/>
    <n v="55340"/>
    <x v="1"/>
    <n v="444"/>
  </r>
  <r>
    <n v="2077"/>
    <x v="1"/>
    <x v="6"/>
    <x v="418"/>
    <m/>
    <x v="0"/>
    <n v="58145"/>
    <x v="1"/>
    <n v="227"/>
  </r>
  <r>
    <n v="2078"/>
    <x v="2"/>
    <x v="7"/>
    <x v="257"/>
    <m/>
    <x v="0"/>
    <n v="23503"/>
    <x v="1"/>
    <n v="242"/>
  </r>
  <r>
    <n v="2079"/>
    <x v="0"/>
    <x v="0"/>
    <x v="503"/>
    <m/>
    <x v="0"/>
    <n v="57374"/>
    <x v="0"/>
    <n v="157"/>
  </r>
  <r>
    <n v="2080"/>
    <x v="1"/>
    <x v="1"/>
    <x v="446"/>
    <m/>
    <x v="0"/>
    <n v="44014"/>
    <x v="0"/>
    <n v="306"/>
  </r>
  <r>
    <n v="2081"/>
    <x v="2"/>
    <x v="2"/>
    <x v="689"/>
    <m/>
    <x v="0"/>
    <n v="7325"/>
    <x v="0"/>
    <n v="257"/>
  </r>
  <r>
    <n v="2082"/>
    <x v="0"/>
    <x v="3"/>
    <x v="184"/>
    <m/>
    <x v="0"/>
    <n v="30122"/>
    <x v="0"/>
    <n v="412"/>
  </r>
  <r>
    <n v="2083"/>
    <x v="1"/>
    <x v="4"/>
    <x v="233"/>
    <m/>
    <x v="0"/>
    <n v="7187"/>
    <x v="1"/>
    <n v="327"/>
  </r>
  <r>
    <n v="2084"/>
    <x v="2"/>
    <x v="5"/>
    <x v="291"/>
    <m/>
    <x v="0"/>
    <n v="18014"/>
    <x v="1"/>
    <n v="112"/>
  </r>
  <r>
    <n v="2085"/>
    <x v="0"/>
    <x v="6"/>
    <x v="486"/>
    <d v="2016-09-02T00:00:00"/>
    <x v="1"/>
    <n v="29956"/>
    <x v="1"/>
    <n v="55"/>
  </r>
  <r>
    <n v="2086"/>
    <x v="1"/>
    <x v="7"/>
    <x v="205"/>
    <m/>
    <x v="2"/>
    <n v="54730"/>
    <x v="1"/>
    <n v="556"/>
  </r>
  <r>
    <n v="2087"/>
    <x v="2"/>
    <x v="0"/>
    <x v="465"/>
    <m/>
    <x v="0"/>
    <n v="5046"/>
    <x v="0"/>
    <n v="570"/>
  </r>
  <r>
    <n v="2088"/>
    <x v="0"/>
    <x v="1"/>
    <x v="318"/>
    <m/>
    <x v="0"/>
    <n v="39562"/>
    <x v="0"/>
    <n v="220"/>
  </r>
  <r>
    <n v="2089"/>
    <x v="1"/>
    <x v="2"/>
    <x v="376"/>
    <m/>
    <x v="0"/>
    <n v="58225"/>
    <x v="0"/>
    <n v="290"/>
  </r>
  <r>
    <n v="2090"/>
    <x v="2"/>
    <x v="3"/>
    <x v="13"/>
    <m/>
    <x v="0"/>
    <n v="48748"/>
    <x v="0"/>
    <n v="192"/>
  </r>
  <r>
    <n v="2091"/>
    <x v="0"/>
    <x v="4"/>
    <x v="144"/>
    <m/>
    <x v="0"/>
    <n v="5356"/>
    <x v="1"/>
    <n v="478"/>
  </r>
  <r>
    <n v="2092"/>
    <x v="1"/>
    <x v="5"/>
    <x v="258"/>
    <m/>
    <x v="0"/>
    <n v="30153"/>
    <x v="1"/>
    <n v="115"/>
  </r>
  <r>
    <n v="2093"/>
    <x v="2"/>
    <x v="6"/>
    <x v="7"/>
    <m/>
    <x v="0"/>
    <n v="6139"/>
    <x v="1"/>
    <n v="375"/>
  </r>
  <r>
    <n v="2094"/>
    <x v="0"/>
    <x v="7"/>
    <x v="508"/>
    <m/>
    <x v="0"/>
    <n v="35047"/>
    <x v="1"/>
    <n v="157"/>
  </r>
  <r>
    <n v="2095"/>
    <x v="1"/>
    <x v="0"/>
    <x v="621"/>
    <m/>
    <x v="0"/>
    <n v="19736"/>
    <x v="0"/>
    <n v="223"/>
  </r>
  <r>
    <n v="2096"/>
    <x v="2"/>
    <x v="1"/>
    <x v="690"/>
    <m/>
    <x v="0"/>
    <n v="6394"/>
    <x v="0"/>
    <n v="373"/>
  </r>
  <r>
    <n v="2097"/>
    <x v="0"/>
    <x v="2"/>
    <x v="196"/>
    <m/>
    <x v="0"/>
    <n v="22557"/>
    <x v="0"/>
    <n v="309"/>
  </r>
  <r>
    <n v="2098"/>
    <x v="1"/>
    <x v="3"/>
    <x v="4"/>
    <d v="2017-06-28T00:00:00"/>
    <x v="1"/>
    <n v="47239"/>
    <x v="0"/>
    <n v="33"/>
  </r>
  <r>
    <n v="2099"/>
    <x v="2"/>
    <x v="4"/>
    <x v="391"/>
    <m/>
    <x v="2"/>
    <n v="55556"/>
    <x v="1"/>
    <n v="512"/>
  </r>
  <r>
    <n v="2100"/>
    <x v="0"/>
    <x v="5"/>
    <x v="470"/>
    <m/>
    <x v="0"/>
    <n v="39594"/>
    <x v="1"/>
    <n v="507"/>
  </r>
  <r>
    <n v="2101"/>
    <x v="1"/>
    <x v="6"/>
    <x v="64"/>
    <m/>
    <x v="0"/>
    <n v="43024"/>
    <x v="1"/>
    <n v="152"/>
  </r>
  <r>
    <n v="2102"/>
    <x v="2"/>
    <x v="7"/>
    <x v="285"/>
    <m/>
    <x v="0"/>
    <n v="38344"/>
    <x v="1"/>
    <n v="245"/>
  </r>
  <r>
    <n v="2103"/>
    <x v="0"/>
    <x v="0"/>
    <x v="8"/>
    <m/>
    <x v="0"/>
    <n v="55661"/>
    <x v="0"/>
    <n v="358"/>
  </r>
  <r>
    <n v="2104"/>
    <x v="1"/>
    <x v="1"/>
    <x v="524"/>
    <m/>
    <x v="0"/>
    <n v="36355"/>
    <x v="0"/>
    <n v="226"/>
  </r>
  <r>
    <n v="2105"/>
    <x v="2"/>
    <x v="2"/>
    <x v="74"/>
    <m/>
    <x v="0"/>
    <n v="36776"/>
    <x v="0"/>
    <n v="597"/>
  </r>
  <r>
    <n v="2106"/>
    <x v="0"/>
    <x v="3"/>
    <x v="691"/>
    <m/>
    <x v="0"/>
    <n v="9075"/>
    <x v="0"/>
    <n v="99"/>
  </r>
  <r>
    <n v="2107"/>
    <x v="1"/>
    <x v="4"/>
    <x v="385"/>
    <m/>
    <x v="0"/>
    <n v="58897"/>
    <x v="1"/>
    <n v="337"/>
  </r>
  <r>
    <n v="2108"/>
    <x v="2"/>
    <x v="5"/>
    <x v="344"/>
    <m/>
    <x v="0"/>
    <n v="47108"/>
    <x v="1"/>
    <n v="573"/>
  </r>
  <r>
    <n v="2109"/>
    <x v="0"/>
    <x v="6"/>
    <x v="266"/>
    <m/>
    <x v="0"/>
    <n v="55677"/>
    <x v="1"/>
    <n v="548"/>
  </r>
  <r>
    <n v="2110"/>
    <x v="1"/>
    <x v="7"/>
    <x v="267"/>
    <m/>
    <x v="0"/>
    <n v="46234"/>
    <x v="1"/>
    <n v="228"/>
  </r>
  <r>
    <n v="2111"/>
    <x v="2"/>
    <x v="0"/>
    <x v="477"/>
    <d v="2016-06-13T00:00:00"/>
    <x v="1"/>
    <n v="31034"/>
    <x v="0"/>
    <n v="36"/>
  </r>
  <r>
    <n v="2112"/>
    <x v="0"/>
    <x v="1"/>
    <x v="627"/>
    <m/>
    <x v="2"/>
    <n v="30364"/>
    <x v="0"/>
    <n v="585"/>
  </r>
  <r>
    <n v="2113"/>
    <x v="1"/>
    <x v="2"/>
    <x v="381"/>
    <m/>
    <x v="0"/>
    <n v="20072"/>
    <x v="0"/>
    <n v="156"/>
  </r>
  <r>
    <n v="2114"/>
    <x v="2"/>
    <x v="3"/>
    <x v="176"/>
    <m/>
    <x v="0"/>
    <n v="21965"/>
    <x v="0"/>
    <n v="500"/>
  </r>
  <r>
    <n v="2115"/>
    <x v="0"/>
    <x v="4"/>
    <x v="451"/>
    <m/>
    <x v="0"/>
    <n v="11175"/>
    <x v="1"/>
    <n v="178"/>
  </r>
  <r>
    <n v="2116"/>
    <x v="1"/>
    <x v="5"/>
    <x v="416"/>
    <m/>
    <x v="0"/>
    <n v="6151"/>
    <x v="1"/>
    <n v="107"/>
  </r>
  <r>
    <n v="2117"/>
    <x v="2"/>
    <x v="6"/>
    <x v="692"/>
    <m/>
    <x v="0"/>
    <n v="29732"/>
    <x v="1"/>
    <n v="542"/>
  </r>
  <r>
    <n v="2118"/>
    <x v="0"/>
    <x v="7"/>
    <x v="99"/>
    <m/>
    <x v="0"/>
    <n v="23180"/>
    <x v="1"/>
    <n v="559"/>
  </r>
  <r>
    <n v="2119"/>
    <x v="1"/>
    <x v="0"/>
    <x v="68"/>
    <m/>
    <x v="0"/>
    <n v="1245"/>
    <x v="0"/>
    <n v="379"/>
  </r>
  <r>
    <n v="2120"/>
    <x v="2"/>
    <x v="1"/>
    <x v="156"/>
    <m/>
    <x v="0"/>
    <n v="49763"/>
    <x v="0"/>
    <n v="300"/>
  </r>
  <r>
    <n v="2121"/>
    <x v="0"/>
    <x v="2"/>
    <x v="289"/>
    <m/>
    <x v="0"/>
    <n v="44885"/>
    <x v="0"/>
    <n v="237"/>
  </r>
  <r>
    <n v="2122"/>
    <x v="1"/>
    <x v="3"/>
    <x v="286"/>
    <m/>
    <x v="0"/>
    <n v="15350"/>
    <x v="0"/>
    <n v="322"/>
  </r>
  <r>
    <n v="2123"/>
    <x v="2"/>
    <x v="4"/>
    <x v="88"/>
    <m/>
    <x v="0"/>
    <n v="35035"/>
    <x v="1"/>
    <n v="322"/>
  </r>
  <r>
    <n v="2124"/>
    <x v="0"/>
    <x v="5"/>
    <x v="167"/>
    <d v="2016-08-15T00:00:00"/>
    <x v="1"/>
    <n v="27913"/>
    <x v="1"/>
    <n v="46"/>
  </r>
  <r>
    <n v="2125"/>
    <x v="1"/>
    <x v="6"/>
    <x v="67"/>
    <m/>
    <x v="2"/>
    <n v="57459"/>
    <x v="1"/>
    <n v="402"/>
  </r>
  <r>
    <n v="2126"/>
    <x v="2"/>
    <x v="7"/>
    <x v="42"/>
    <m/>
    <x v="0"/>
    <n v="50659"/>
    <x v="1"/>
    <n v="472"/>
  </r>
  <r>
    <n v="2127"/>
    <x v="0"/>
    <x v="0"/>
    <x v="335"/>
    <m/>
    <x v="0"/>
    <n v="49662"/>
    <x v="0"/>
    <n v="183"/>
  </r>
  <r>
    <n v="2128"/>
    <x v="1"/>
    <x v="1"/>
    <x v="175"/>
    <m/>
    <x v="0"/>
    <n v="32690"/>
    <x v="0"/>
    <n v="523"/>
  </r>
  <r>
    <n v="2129"/>
    <x v="2"/>
    <x v="2"/>
    <x v="456"/>
    <m/>
    <x v="0"/>
    <n v="59915"/>
    <x v="0"/>
    <n v="377"/>
  </r>
  <r>
    <n v="2130"/>
    <x v="0"/>
    <x v="3"/>
    <x v="347"/>
    <m/>
    <x v="0"/>
    <n v="26824"/>
    <x v="0"/>
    <n v="475"/>
  </r>
  <r>
    <n v="2131"/>
    <x v="1"/>
    <x v="4"/>
    <x v="353"/>
    <m/>
    <x v="0"/>
    <n v="25714"/>
    <x v="1"/>
    <n v="532"/>
  </r>
  <r>
    <n v="2132"/>
    <x v="2"/>
    <x v="5"/>
    <x v="140"/>
    <m/>
    <x v="0"/>
    <n v="27105"/>
    <x v="1"/>
    <n v="588"/>
  </r>
  <r>
    <n v="2133"/>
    <x v="0"/>
    <x v="6"/>
    <x v="679"/>
    <m/>
    <x v="0"/>
    <n v="3118"/>
    <x v="1"/>
    <n v="198"/>
  </r>
  <r>
    <n v="2134"/>
    <x v="1"/>
    <x v="7"/>
    <x v="514"/>
    <m/>
    <x v="0"/>
    <n v="18974"/>
    <x v="1"/>
    <n v="285"/>
  </r>
  <r>
    <n v="2135"/>
    <x v="2"/>
    <x v="0"/>
    <x v="307"/>
    <m/>
    <x v="0"/>
    <n v="29681"/>
    <x v="0"/>
    <n v="561"/>
  </r>
  <r>
    <n v="2136"/>
    <x v="0"/>
    <x v="1"/>
    <x v="234"/>
    <m/>
    <x v="0"/>
    <n v="51397"/>
    <x v="0"/>
    <n v="97"/>
  </r>
  <r>
    <n v="2137"/>
    <x v="1"/>
    <x v="2"/>
    <x v="693"/>
    <d v="2016-09-27T00:00:00"/>
    <x v="1"/>
    <n v="48411"/>
    <x v="0"/>
    <n v="38"/>
  </r>
  <r>
    <n v="2138"/>
    <x v="2"/>
    <x v="3"/>
    <x v="86"/>
    <m/>
    <x v="2"/>
    <n v="55356"/>
    <x v="0"/>
    <n v="282"/>
  </r>
  <r>
    <n v="2139"/>
    <x v="0"/>
    <x v="4"/>
    <x v="664"/>
    <m/>
    <x v="0"/>
    <n v="3758"/>
    <x v="1"/>
    <n v="202"/>
  </r>
  <r>
    <n v="2140"/>
    <x v="1"/>
    <x v="5"/>
    <x v="428"/>
    <m/>
    <x v="0"/>
    <n v="52348"/>
    <x v="1"/>
    <n v="150"/>
  </r>
  <r>
    <n v="2141"/>
    <x v="2"/>
    <x v="6"/>
    <x v="299"/>
    <m/>
    <x v="0"/>
    <n v="18561"/>
    <x v="1"/>
    <n v="555"/>
  </r>
  <r>
    <n v="2142"/>
    <x v="0"/>
    <x v="7"/>
    <x v="678"/>
    <m/>
    <x v="0"/>
    <n v="7336"/>
    <x v="1"/>
    <n v="534"/>
  </r>
  <r>
    <n v="2143"/>
    <x v="1"/>
    <x v="0"/>
    <x v="479"/>
    <m/>
    <x v="0"/>
    <n v="49723"/>
    <x v="0"/>
    <n v="432"/>
  </r>
  <r>
    <n v="2144"/>
    <x v="2"/>
    <x v="1"/>
    <x v="571"/>
    <m/>
    <x v="0"/>
    <n v="15469"/>
    <x v="0"/>
    <n v="123"/>
  </r>
  <r>
    <n v="2145"/>
    <x v="0"/>
    <x v="2"/>
    <x v="385"/>
    <m/>
    <x v="0"/>
    <n v="612"/>
    <x v="0"/>
    <n v="337"/>
  </r>
  <r>
    <n v="2146"/>
    <x v="1"/>
    <x v="3"/>
    <x v="180"/>
    <m/>
    <x v="0"/>
    <n v="7952"/>
    <x v="0"/>
    <n v="258"/>
  </r>
  <r>
    <n v="2147"/>
    <x v="2"/>
    <x v="4"/>
    <x v="423"/>
    <m/>
    <x v="0"/>
    <n v="50026"/>
    <x v="1"/>
    <n v="605"/>
  </r>
  <r>
    <n v="2148"/>
    <x v="0"/>
    <x v="5"/>
    <x v="694"/>
    <m/>
    <x v="0"/>
    <n v="15284"/>
    <x v="1"/>
    <n v="408"/>
  </r>
  <r>
    <n v="2149"/>
    <x v="1"/>
    <x v="6"/>
    <x v="94"/>
    <m/>
    <x v="0"/>
    <n v="9974"/>
    <x v="1"/>
    <n v="396"/>
  </r>
  <r>
    <n v="2150"/>
    <x v="2"/>
    <x v="7"/>
    <x v="29"/>
    <d v="2017-06-15T00:00:00"/>
    <x v="1"/>
    <n v="29817"/>
    <x v="1"/>
    <n v="34"/>
  </r>
  <r>
    <n v="2151"/>
    <x v="0"/>
    <x v="0"/>
    <x v="236"/>
    <m/>
    <x v="2"/>
    <n v="20030"/>
    <x v="0"/>
    <n v="364"/>
  </r>
  <r>
    <n v="2152"/>
    <x v="1"/>
    <x v="1"/>
    <x v="244"/>
    <m/>
    <x v="0"/>
    <n v="1557"/>
    <x v="0"/>
    <n v="132"/>
  </r>
  <r>
    <n v="2153"/>
    <x v="2"/>
    <x v="2"/>
    <x v="377"/>
    <m/>
    <x v="0"/>
    <n v="6717"/>
    <x v="0"/>
    <n v="205"/>
  </r>
  <r>
    <n v="2154"/>
    <x v="0"/>
    <x v="3"/>
    <x v="407"/>
    <m/>
    <x v="0"/>
    <n v="55773"/>
    <x v="0"/>
    <n v="218"/>
  </r>
  <r>
    <n v="2155"/>
    <x v="1"/>
    <x v="4"/>
    <x v="530"/>
    <m/>
    <x v="0"/>
    <n v="52246"/>
    <x v="1"/>
    <n v="592"/>
  </r>
  <r>
    <n v="2156"/>
    <x v="2"/>
    <x v="5"/>
    <x v="409"/>
    <m/>
    <x v="0"/>
    <n v="36110"/>
    <x v="1"/>
    <n v="576"/>
  </r>
  <r>
    <n v="2157"/>
    <x v="0"/>
    <x v="6"/>
    <x v="207"/>
    <m/>
    <x v="0"/>
    <n v="21239"/>
    <x v="1"/>
    <n v="169"/>
  </r>
  <r>
    <n v="2158"/>
    <x v="1"/>
    <x v="7"/>
    <x v="644"/>
    <m/>
    <x v="0"/>
    <n v="31124"/>
    <x v="1"/>
    <n v="527"/>
  </r>
  <r>
    <n v="2159"/>
    <x v="2"/>
    <x v="0"/>
    <x v="39"/>
    <m/>
    <x v="0"/>
    <n v="7632"/>
    <x v="0"/>
    <n v="569"/>
  </r>
  <r>
    <n v="2160"/>
    <x v="0"/>
    <x v="1"/>
    <x v="23"/>
    <m/>
    <x v="0"/>
    <n v="30779"/>
    <x v="0"/>
    <n v="232"/>
  </r>
  <r>
    <n v="2161"/>
    <x v="1"/>
    <x v="2"/>
    <x v="692"/>
    <m/>
    <x v="0"/>
    <n v="3247"/>
    <x v="0"/>
    <n v="542"/>
  </r>
  <r>
    <n v="2162"/>
    <x v="2"/>
    <x v="3"/>
    <x v="171"/>
    <m/>
    <x v="0"/>
    <n v="27136"/>
    <x v="0"/>
    <n v="227"/>
  </r>
  <r>
    <n v="2163"/>
    <x v="0"/>
    <x v="4"/>
    <x v="181"/>
    <d v="2017-12-12T00:00:00"/>
    <x v="1"/>
    <n v="12071"/>
    <x v="1"/>
    <n v="86"/>
  </r>
  <r>
    <n v="2164"/>
    <x v="1"/>
    <x v="5"/>
    <x v="164"/>
    <m/>
    <x v="2"/>
    <n v="4330"/>
    <x v="1"/>
    <n v="190"/>
  </r>
  <r>
    <n v="2165"/>
    <x v="2"/>
    <x v="6"/>
    <x v="378"/>
    <m/>
    <x v="0"/>
    <n v="33671"/>
    <x v="1"/>
    <n v="467"/>
  </r>
  <r>
    <n v="2166"/>
    <x v="0"/>
    <x v="7"/>
    <x v="580"/>
    <m/>
    <x v="0"/>
    <n v="10238"/>
    <x v="1"/>
    <n v="401"/>
  </r>
  <r>
    <n v="2167"/>
    <x v="1"/>
    <x v="0"/>
    <x v="58"/>
    <m/>
    <x v="0"/>
    <n v="36245"/>
    <x v="0"/>
    <n v="385"/>
  </r>
  <r>
    <n v="2168"/>
    <x v="2"/>
    <x v="1"/>
    <x v="201"/>
    <m/>
    <x v="0"/>
    <n v="56880"/>
    <x v="0"/>
    <n v="166"/>
  </r>
  <r>
    <n v="2169"/>
    <x v="0"/>
    <x v="2"/>
    <x v="622"/>
    <m/>
    <x v="0"/>
    <n v="22059"/>
    <x v="0"/>
    <n v="157"/>
  </r>
  <r>
    <n v="2170"/>
    <x v="1"/>
    <x v="3"/>
    <x v="354"/>
    <m/>
    <x v="0"/>
    <n v="25794"/>
    <x v="0"/>
    <n v="323"/>
  </r>
  <r>
    <n v="2171"/>
    <x v="2"/>
    <x v="4"/>
    <x v="69"/>
    <m/>
    <x v="0"/>
    <n v="5810"/>
    <x v="1"/>
    <n v="547"/>
  </r>
  <r>
    <n v="2172"/>
    <x v="0"/>
    <x v="5"/>
    <x v="37"/>
    <m/>
    <x v="0"/>
    <n v="18705"/>
    <x v="1"/>
    <n v="163"/>
  </r>
  <r>
    <n v="2173"/>
    <x v="1"/>
    <x v="6"/>
    <x v="553"/>
    <m/>
    <x v="0"/>
    <n v="39572"/>
    <x v="1"/>
    <n v="506"/>
  </r>
  <r>
    <n v="2174"/>
    <x v="2"/>
    <x v="7"/>
    <x v="102"/>
    <m/>
    <x v="0"/>
    <n v="1364"/>
    <x v="1"/>
    <n v="515"/>
  </r>
  <r>
    <n v="2175"/>
    <x v="0"/>
    <x v="0"/>
    <x v="465"/>
    <m/>
    <x v="0"/>
    <n v="51739"/>
    <x v="0"/>
    <n v="570"/>
  </r>
  <r>
    <n v="2176"/>
    <x v="1"/>
    <x v="1"/>
    <x v="636"/>
    <d v="2016-10-03T00:00:00"/>
    <x v="1"/>
    <n v="45971"/>
    <x v="0"/>
    <n v="31"/>
  </r>
  <r>
    <n v="2177"/>
    <x v="2"/>
    <x v="2"/>
    <x v="395"/>
    <m/>
    <x v="2"/>
    <n v="24207"/>
    <x v="0"/>
    <n v="568"/>
  </r>
  <r>
    <n v="2178"/>
    <x v="0"/>
    <x v="3"/>
    <x v="138"/>
    <m/>
    <x v="0"/>
    <n v="39000"/>
    <x v="0"/>
    <n v="143"/>
  </r>
  <r>
    <n v="2179"/>
    <x v="1"/>
    <x v="4"/>
    <x v="694"/>
    <m/>
    <x v="0"/>
    <n v="37914"/>
    <x v="1"/>
    <n v="408"/>
  </r>
  <r>
    <n v="2180"/>
    <x v="2"/>
    <x v="5"/>
    <x v="186"/>
    <m/>
    <x v="0"/>
    <n v="50832"/>
    <x v="1"/>
    <n v="257"/>
  </r>
  <r>
    <n v="2181"/>
    <x v="0"/>
    <x v="6"/>
    <x v="389"/>
    <m/>
    <x v="0"/>
    <n v="8504"/>
    <x v="1"/>
    <n v="435"/>
  </r>
  <r>
    <n v="2182"/>
    <x v="1"/>
    <x v="7"/>
    <x v="387"/>
    <m/>
    <x v="0"/>
    <n v="59249"/>
    <x v="1"/>
    <n v="321"/>
  </r>
  <r>
    <n v="2183"/>
    <x v="2"/>
    <x v="0"/>
    <x v="695"/>
    <m/>
    <x v="0"/>
    <n v="15392"/>
    <x v="0"/>
    <n v="600"/>
  </r>
  <r>
    <n v="2184"/>
    <x v="0"/>
    <x v="1"/>
    <x v="461"/>
    <m/>
    <x v="0"/>
    <n v="4925"/>
    <x v="0"/>
    <n v="615"/>
  </r>
  <r>
    <n v="2185"/>
    <x v="1"/>
    <x v="2"/>
    <x v="583"/>
    <m/>
    <x v="0"/>
    <n v="17765"/>
    <x v="0"/>
    <n v="554"/>
  </r>
  <r>
    <n v="2186"/>
    <x v="2"/>
    <x v="3"/>
    <x v="194"/>
    <m/>
    <x v="0"/>
    <n v="16438"/>
    <x v="0"/>
    <n v="499"/>
  </r>
  <r>
    <n v="2187"/>
    <x v="0"/>
    <x v="4"/>
    <x v="139"/>
    <m/>
    <x v="0"/>
    <n v="50064"/>
    <x v="1"/>
    <n v="545"/>
  </r>
  <r>
    <n v="2188"/>
    <x v="1"/>
    <x v="5"/>
    <x v="304"/>
    <m/>
    <x v="0"/>
    <n v="59767"/>
    <x v="1"/>
    <n v="147"/>
  </r>
  <r>
    <n v="2189"/>
    <x v="2"/>
    <x v="6"/>
    <x v="228"/>
    <d v="2016-02-24T00:00:00"/>
    <x v="1"/>
    <n v="42787"/>
    <x v="1"/>
    <n v="38"/>
  </r>
  <r>
    <n v="2190"/>
    <x v="0"/>
    <x v="7"/>
    <x v="364"/>
    <m/>
    <x v="2"/>
    <n v="26576"/>
    <x v="1"/>
    <n v="407"/>
  </r>
  <r>
    <n v="2191"/>
    <x v="1"/>
    <x v="0"/>
    <x v="275"/>
    <m/>
    <x v="0"/>
    <n v="59344"/>
    <x v="0"/>
    <n v="142"/>
  </r>
  <r>
    <n v="2192"/>
    <x v="2"/>
    <x v="1"/>
    <x v="535"/>
    <m/>
    <x v="0"/>
    <n v="48149"/>
    <x v="0"/>
    <n v="279"/>
  </r>
  <r>
    <n v="2193"/>
    <x v="0"/>
    <x v="2"/>
    <x v="363"/>
    <m/>
    <x v="0"/>
    <n v="47184"/>
    <x v="0"/>
    <n v="137"/>
  </r>
  <r>
    <n v="2194"/>
    <x v="1"/>
    <x v="3"/>
    <x v="15"/>
    <m/>
    <x v="0"/>
    <n v="41673"/>
    <x v="0"/>
    <n v="496"/>
  </r>
  <r>
    <n v="2195"/>
    <x v="2"/>
    <x v="4"/>
    <x v="151"/>
    <m/>
    <x v="0"/>
    <n v="54602"/>
    <x v="1"/>
    <n v="445"/>
  </r>
  <r>
    <n v="2196"/>
    <x v="0"/>
    <x v="5"/>
    <x v="423"/>
    <m/>
    <x v="0"/>
    <n v="1635"/>
    <x v="1"/>
    <n v="605"/>
  </r>
  <r>
    <n v="2197"/>
    <x v="1"/>
    <x v="6"/>
    <x v="485"/>
    <m/>
    <x v="0"/>
    <n v="12975"/>
    <x v="1"/>
    <n v="357"/>
  </r>
  <r>
    <n v="2198"/>
    <x v="2"/>
    <x v="7"/>
    <x v="293"/>
    <m/>
    <x v="0"/>
    <n v="41742"/>
    <x v="1"/>
    <n v="516"/>
  </r>
  <r>
    <n v="2199"/>
    <x v="0"/>
    <x v="0"/>
    <x v="164"/>
    <m/>
    <x v="0"/>
    <n v="41297"/>
    <x v="0"/>
    <n v="190"/>
  </r>
  <r>
    <n v="2200"/>
    <x v="1"/>
    <x v="1"/>
    <x v="647"/>
    <m/>
    <x v="0"/>
    <n v="8835"/>
    <x v="0"/>
    <n v="197"/>
  </r>
  <r>
    <n v="2201"/>
    <x v="2"/>
    <x v="2"/>
    <x v="139"/>
    <m/>
    <x v="0"/>
    <n v="36556"/>
    <x v="0"/>
    <n v="545"/>
  </r>
  <r>
    <n v="2202"/>
    <x v="0"/>
    <x v="3"/>
    <x v="17"/>
    <d v="2016-06-11T00:00:00"/>
    <x v="1"/>
    <n v="45572"/>
    <x v="0"/>
    <n v="33"/>
  </r>
  <r>
    <n v="2203"/>
    <x v="1"/>
    <x v="4"/>
    <x v="289"/>
    <m/>
    <x v="2"/>
    <n v="19471"/>
    <x v="1"/>
    <n v="237"/>
  </r>
  <r>
    <n v="2204"/>
    <x v="2"/>
    <x v="5"/>
    <x v="499"/>
    <m/>
    <x v="0"/>
    <n v="40630"/>
    <x v="1"/>
    <n v="444"/>
  </r>
  <r>
    <n v="2205"/>
    <x v="0"/>
    <x v="6"/>
    <x v="35"/>
    <m/>
    <x v="0"/>
    <n v="2786"/>
    <x v="1"/>
    <n v="503"/>
  </r>
  <r>
    <n v="2206"/>
    <x v="1"/>
    <x v="7"/>
    <x v="345"/>
    <m/>
    <x v="0"/>
    <n v="25069"/>
    <x v="1"/>
    <n v="116"/>
  </r>
  <r>
    <n v="2207"/>
    <x v="2"/>
    <x v="0"/>
    <x v="252"/>
    <m/>
    <x v="0"/>
    <n v="5994"/>
    <x v="0"/>
    <n v="560"/>
  </r>
  <r>
    <n v="2208"/>
    <x v="0"/>
    <x v="1"/>
    <x v="324"/>
    <m/>
    <x v="0"/>
    <n v="56013"/>
    <x v="0"/>
    <n v="456"/>
  </r>
  <r>
    <n v="2209"/>
    <x v="1"/>
    <x v="2"/>
    <x v="677"/>
    <m/>
    <x v="0"/>
    <n v="43273"/>
    <x v="0"/>
    <n v="214"/>
  </r>
  <r>
    <n v="2210"/>
    <x v="2"/>
    <x v="3"/>
    <x v="531"/>
    <m/>
    <x v="0"/>
    <n v="51408"/>
    <x v="0"/>
    <n v="527"/>
  </r>
  <r>
    <n v="2211"/>
    <x v="0"/>
    <x v="4"/>
    <x v="201"/>
    <m/>
    <x v="0"/>
    <n v="14965"/>
    <x v="1"/>
    <n v="166"/>
  </r>
  <r>
    <n v="2212"/>
    <x v="1"/>
    <x v="5"/>
    <x v="534"/>
    <m/>
    <x v="0"/>
    <n v="43914"/>
    <x v="1"/>
    <n v="319"/>
  </r>
  <r>
    <n v="2213"/>
    <x v="2"/>
    <x v="6"/>
    <x v="342"/>
    <m/>
    <x v="0"/>
    <n v="50728"/>
    <x v="1"/>
    <n v="519"/>
  </r>
  <r>
    <n v="2214"/>
    <x v="0"/>
    <x v="7"/>
    <x v="84"/>
    <m/>
    <x v="0"/>
    <n v="5983"/>
    <x v="1"/>
    <n v="137"/>
  </r>
  <r>
    <n v="2215"/>
    <x v="1"/>
    <x v="0"/>
    <x v="145"/>
    <d v="2016-07-10T00:00:00"/>
    <x v="1"/>
    <n v="21916"/>
    <x v="0"/>
    <n v="119"/>
  </r>
  <r>
    <n v="2216"/>
    <x v="2"/>
    <x v="1"/>
    <x v="386"/>
    <m/>
    <x v="2"/>
    <n v="10619"/>
    <x v="0"/>
    <n v="442"/>
  </r>
  <r>
    <n v="2217"/>
    <x v="0"/>
    <x v="2"/>
    <x v="320"/>
    <m/>
    <x v="0"/>
    <n v="37644"/>
    <x v="0"/>
    <n v="419"/>
  </r>
  <r>
    <n v="2218"/>
    <x v="1"/>
    <x v="3"/>
    <x v="510"/>
    <m/>
    <x v="0"/>
    <n v="46627"/>
    <x v="0"/>
    <n v="212"/>
  </r>
  <r>
    <n v="2219"/>
    <x v="2"/>
    <x v="4"/>
    <x v="305"/>
    <m/>
    <x v="0"/>
    <n v="1129"/>
    <x v="1"/>
    <n v="404"/>
  </r>
  <r>
    <n v="2220"/>
    <x v="0"/>
    <x v="5"/>
    <x v="648"/>
    <m/>
    <x v="0"/>
    <n v="29058"/>
    <x v="1"/>
    <n v="102"/>
  </r>
  <r>
    <n v="2221"/>
    <x v="1"/>
    <x v="6"/>
    <x v="374"/>
    <m/>
    <x v="0"/>
    <n v="55350"/>
    <x v="1"/>
    <n v="104"/>
  </r>
  <r>
    <n v="2222"/>
    <x v="2"/>
    <x v="7"/>
    <x v="124"/>
    <m/>
    <x v="0"/>
    <n v="8658"/>
    <x v="1"/>
    <n v="352"/>
  </r>
  <r>
    <n v="2223"/>
    <x v="0"/>
    <x v="0"/>
    <x v="597"/>
    <m/>
    <x v="0"/>
    <n v="42667"/>
    <x v="0"/>
    <n v="442"/>
  </r>
  <r>
    <n v="2224"/>
    <x v="1"/>
    <x v="1"/>
    <x v="252"/>
    <m/>
    <x v="0"/>
    <n v="8731"/>
    <x v="0"/>
    <n v="560"/>
  </r>
  <r>
    <n v="2225"/>
    <x v="2"/>
    <x v="2"/>
    <x v="635"/>
    <m/>
    <x v="0"/>
    <n v="52140"/>
    <x v="0"/>
    <n v="340"/>
  </r>
  <r>
    <n v="2226"/>
    <x v="0"/>
    <x v="3"/>
    <x v="376"/>
    <m/>
    <x v="0"/>
    <n v="39452"/>
    <x v="0"/>
    <n v="290"/>
  </r>
  <r>
    <n v="2227"/>
    <x v="1"/>
    <x v="4"/>
    <x v="497"/>
    <m/>
    <x v="0"/>
    <n v="16534"/>
    <x v="1"/>
    <n v="498"/>
  </r>
  <r>
    <n v="2228"/>
    <x v="2"/>
    <x v="5"/>
    <x v="435"/>
    <d v="2016-10-24T00:00:00"/>
    <x v="1"/>
    <n v="21923"/>
    <x v="1"/>
    <n v="46"/>
  </r>
  <r>
    <n v="2229"/>
    <x v="0"/>
    <x v="6"/>
    <x v="382"/>
    <m/>
    <x v="2"/>
    <n v="44321"/>
    <x v="1"/>
    <n v="377"/>
  </r>
  <r>
    <n v="2230"/>
    <x v="1"/>
    <x v="7"/>
    <x v="103"/>
    <m/>
    <x v="0"/>
    <n v="49914"/>
    <x v="1"/>
    <n v="557"/>
  </r>
  <r>
    <n v="2231"/>
    <x v="2"/>
    <x v="0"/>
    <x v="304"/>
    <m/>
    <x v="0"/>
    <n v="9012"/>
    <x v="0"/>
    <n v="147"/>
  </r>
  <r>
    <n v="2232"/>
    <x v="0"/>
    <x v="1"/>
    <x v="50"/>
    <m/>
    <x v="0"/>
    <n v="38691"/>
    <x v="0"/>
    <n v="360"/>
  </r>
  <r>
    <n v="2233"/>
    <x v="1"/>
    <x v="2"/>
    <x v="570"/>
    <m/>
    <x v="0"/>
    <n v="41845"/>
    <x v="0"/>
    <n v="153"/>
  </r>
  <r>
    <n v="2234"/>
    <x v="2"/>
    <x v="3"/>
    <x v="19"/>
    <m/>
    <x v="0"/>
    <n v="22564"/>
    <x v="0"/>
    <n v="327"/>
  </r>
  <r>
    <n v="2235"/>
    <x v="0"/>
    <x v="4"/>
    <x v="523"/>
    <m/>
    <x v="0"/>
    <n v="6640"/>
    <x v="1"/>
    <n v="252"/>
  </r>
  <r>
    <n v="2236"/>
    <x v="1"/>
    <x v="5"/>
    <x v="212"/>
    <m/>
    <x v="0"/>
    <n v="43506"/>
    <x v="1"/>
    <n v="152"/>
  </r>
  <r>
    <n v="2237"/>
    <x v="2"/>
    <x v="6"/>
    <x v="607"/>
    <m/>
    <x v="0"/>
    <n v="6750"/>
    <x v="1"/>
    <n v="234"/>
  </r>
  <r>
    <n v="2238"/>
    <x v="0"/>
    <x v="7"/>
    <x v="326"/>
    <m/>
    <x v="0"/>
    <n v="14305"/>
    <x v="1"/>
    <n v="606"/>
  </r>
  <r>
    <n v="2239"/>
    <x v="1"/>
    <x v="0"/>
    <x v="26"/>
    <m/>
    <x v="0"/>
    <n v="704"/>
    <x v="0"/>
    <n v="202"/>
  </r>
  <r>
    <n v="2240"/>
    <x v="2"/>
    <x v="1"/>
    <x v="624"/>
    <m/>
    <x v="0"/>
    <n v="12595"/>
    <x v="0"/>
    <n v="491"/>
  </r>
  <r>
    <n v="2241"/>
    <x v="0"/>
    <x v="2"/>
    <x v="158"/>
    <d v="2016-09-24T00:00:00"/>
    <x v="1"/>
    <n v="29760"/>
    <x v="0"/>
    <n v="30"/>
  </r>
  <r>
    <n v="2242"/>
    <x v="1"/>
    <x v="3"/>
    <x v="47"/>
    <m/>
    <x v="2"/>
    <n v="3588"/>
    <x v="0"/>
    <n v="112"/>
  </r>
  <r>
    <n v="2243"/>
    <x v="2"/>
    <x v="4"/>
    <x v="373"/>
    <m/>
    <x v="0"/>
    <n v="15587"/>
    <x v="1"/>
    <n v="195"/>
  </r>
  <r>
    <n v="2244"/>
    <x v="0"/>
    <x v="5"/>
    <x v="687"/>
    <m/>
    <x v="0"/>
    <n v="57051"/>
    <x v="1"/>
    <n v="135"/>
  </r>
  <r>
    <n v="2245"/>
    <x v="1"/>
    <x v="6"/>
    <x v="68"/>
    <m/>
    <x v="0"/>
    <n v="21442"/>
    <x v="1"/>
    <n v="379"/>
  </r>
  <r>
    <n v="2246"/>
    <x v="2"/>
    <x v="7"/>
    <x v="669"/>
    <m/>
    <x v="0"/>
    <n v="43857"/>
    <x v="1"/>
    <n v="517"/>
  </r>
  <r>
    <n v="2247"/>
    <x v="0"/>
    <x v="0"/>
    <x v="561"/>
    <m/>
    <x v="0"/>
    <n v="29004"/>
    <x v="0"/>
    <n v="582"/>
  </r>
  <r>
    <n v="2248"/>
    <x v="1"/>
    <x v="1"/>
    <x v="348"/>
    <m/>
    <x v="0"/>
    <n v="59433"/>
    <x v="0"/>
    <n v="278"/>
  </r>
  <r>
    <n v="2249"/>
    <x v="2"/>
    <x v="2"/>
    <x v="696"/>
    <m/>
    <x v="0"/>
    <n v="15120"/>
    <x v="0"/>
    <n v="492"/>
  </r>
  <r>
    <n v="2250"/>
    <x v="0"/>
    <x v="3"/>
    <x v="199"/>
    <m/>
    <x v="0"/>
    <n v="49366"/>
    <x v="0"/>
    <n v="244"/>
  </r>
  <r>
    <n v="2251"/>
    <x v="1"/>
    <x v="4"/>
    <x v="687"/>
    <m/>
    <x v="0"/>
    <n v="57232"/>
    <x v="1"/>
    <n v="135"/>
  </r>
  <r>
    <n v="2252"/>
    <x v="2"/>
    <x v="5"/>
    <x v="342"/>
    <m/>
    <x v="0"/>
    <n v="36832"/>
    <x v="1"/>
    <n v="519"/>
  </r>
  <r>
    <n v="2253"/>
    <x v="0"/>
    <x v="6"/>
    <x v="233"/>
    <m/>
    <x v="0"/>
    <n v="19840"/>
    <x v="1"/>
    <n v="327"/>
  </r>
  <r>
    <n v="2254"/>
    <x v="1"/>
    <x v="7"/>
    <x v="459"/>
    <d v="2016-08-06T00:00:00"/>
    <x v="1"/>
    <n v="40953"/>
    <x v="1"/>
    <n v="40"/>
  </r>
  <r>
    <n v="2255"/>
    <x v="2"/>
    <x v="0"/>
    <x v="163"/>
    <m/>
    <x v="2"/>
    <n v="49635"/>
    <x v="0"/>
    <n v="287"/>
  </r>
  <r>
    <n v="2256"/>
    <x v="0"/>
    <x v="1"/>
    <x v="697"/>
    <m/>
    <x v="0"/>
    <n v="52241"/>
    <x v="0"/>
    <n v="188"/>
  </r>
  <r>
    <n v="2257"/>
    <x v="1"/>
    <x v="2"/>
    <x v="536"/>
    <m/>
    <x v="0"/>
    <n v="24209"/>
    <x v="0"/>
    <n v="211"/>
  </r>
  <r>
    <n v="2258"/>
    <x v="2"/>
    <x v="3"/>
    <x v="698"/>
    <m/>
    <x v="0"/>
    <n v="23958"/>
    <x v="0"/>
    <n v="172"/>
  </r>
  <r>
    <n v="2259"/>
    <x v="0"/>
    <x v="4"/>
    <x v="307"/>
    <m/>
    <x v="0"/>
    <n v="53035"/>
    <x v="1"/>
    <n v="561"/>
  </r>
  <r>
    <n v="2260"/>
    <x v="1"/>
    <x v="5"/>
    <x v="598"/>
    <m/>
    <x v="0"/>
    <n v="59335"/>
    <x v="1"/>
    <n v="119"/>
  </r>
  <r>
    <n v="2261"/>
    <x v="2"/>
    <x v="6"/>
    <x v="230"/>
    <m/>
    <x v="0"/>
    <n v="3000"/>
    <x v="1"/>
    <n v="312"/>
  </r>
  <r>
    <n v="2262"/>
    <x v="0"/>
    <x v="7"/>
    <x v="254"/>
    <m/>
    <x v="0"/>
    <n v="17778"/>
    <x v="1"/>
    <n v="617"/>
  </r>
  <r>
    <n v="2263"/>
    <x v="1"/>
    <x v="0"/>
    <x v="45"/>
    <m/>
    <x v="0"/>
    <n v="36154"/>
    <x v="0"/>
    <n v="526"/>
  </r>
  <r>
    <n v="2264"/>
    <x v="2"/>
    <x v="1"/>
    <x v="434"/>
    <m/>
    <x v="0"/>
    <n v="15607"/>
    <x v="0"/>
    <n v="267"/>
  </r>
  <r>
    <n v="2265"/>
    <x v="0"/>
    <x v="2"/>
    <x v="669"/>
    <m/>
    <x v="0"/>
    <n v="10452"/>
    <x v="0"/>
    <n v="517"/>
  </r>
  <r>
    <n v="2266"/>
    <x v="1"/>
    <x v="3"/>
    <x v="311"/>
    <m/>
    <x v="0"/>
    <n v="30614"/>
    <x v="0"/>
    <n v="386"/>
  </r>
  <r>
    <n v="2267"/>
    <x v="2"/>
    <x v="4"/>
    <x v="448"/>
    <d v="2017-08-18T00:00:00"/>
    <x v="1"/>
    <n v="40541"/>
    <x v="1"/>
    <n v="77"/>
  </r>
  <r>
    <n v="2268"/>
    <x v="0"/>
    <x v="5"/>
    <x v="366"/>
    <m/>
    <x v="2"/>
    <n v="8356"/>
    <x v="1"/>
    <n v="462"/>
  </r>
  <r>
    <n v="2269"/>
    <x v="1"/>
    <x v="6"/>
    <x v="30"/>
    <m/>
    <x v="0"/>
    <n v="21438"/>
    <x v="1"/>
    <n v="497"/>
  </r>
  <r>
    <n v="2270"/>
    <x v="2"/>
    <x v="7"/>
    <x v="515"/>
    <m/>
    <x v="0"/>
    <n v="16756"/>
    <x v="1"/>
    <n v="292"/>
  </r>
  <r>
    <n v="2271"/>
    <x v="0"/>
    <x v="0"/>
    <x v="42"/>
    <m/>
    <x v="0"/>
    <n v="14194"/>
    <x v="0"/>
    <n v="472"/>
  </r>
  <r>
    <n v="2272"/>
    <x v="1"/>
    <x v="1"/>
    <x v="253"/>
    <m/>
    <x v="0"/>
    <n v="29387"/>
    <x v="0"/>
    <n v="197"/>
  </r>
  <r>
    <n v="2273"/>
    <x v="2"/>
    <x v="2"/>
    <x v="377"/>
    <m/>
    <x v="0"/>
    <n v="51495"/>
    <x v="0"/>
    <n v="205"/>
  </r>
  <r>
    <n v="2274"/>
    <x v="0"/>
    <x v="3"/>
    <x v="621"/>
    <m/>
    <x v="0"/>
    <n v="57643"/>
    <x v="0"/>
    <n v="223"/>
  </r>
  <r>
    <n v="2275"/>
    <x v="1"/>
    <x v="4"/>
    <x v="67"/>
    <m/>
    <x v="0"/>
    <n v="42686"/>
    <x v="1"/>
    <n v="402"/>
  </r>
  <r>
    <n v="2276"/>
    <x v="2"/>
    <x v="5"/>
    <x v="323"/>
    <m/>
    <x v="0"/>
    <n v="4749"/>
    <x v="1"/>
    <n v="170"/>
  </r>
  <r>
    <n v="2277"/>
    <x v="0"/>
    <x v="6"/>
    <x v="323"/>
    <m/>
    <x v="0"/>
    <n v="35301"/>
    <x v="1"/>
    <n v="170"/>
  </r>
  <r>
    <n v="2278"/>
    <x v="1"/>
    <x v="7"/>
    <x v="265"/>
    <m/>
    <x v="0"/>
    <n v="25663"/>
    <x v="1"/>
    <n v="102"/>
  </r>
  <r>
    <n v="2279"/>
    <x v="2"/>
    <x v="0"/>
    <x v="698"/>
    <m/>
    <x v="0"/>
    <n v="27880"/>
    <x v="0"/>
    <n v="172"/>
  </r>
  <r>
    <n v="2280"/>
    <x v="0"/>
    <x v="1"/>
    <x v="269"/>
    <d v="2017-10-09T00:00:00"/>
    <x v="1"/>
    <n v="27492"/>
    <x v="0"/>
    <n v="52"/>
  </r>
  <r>
    <n v="2281"/>
    <x v="1"/>
    <x v="2"/>
    <x v="369"/>
    <m/>
    <x v="2"/>
    <n v="57549"/>
    <x v="0"/>
    <n v="509"/>
  </r>
  <r>
    <n v="2282"/>
    <x v="2"/>
    <x v="3"/>
    <x v="399"/>
    <m/>
    <x v="0"/>
    <n v="4064"/>
    <x v="0"/>
    <n v="602"/>
  </r>
  <r>
    <n v="2283"/>
    <x v="0"/>
    <x v="4"/>
    <x v="334"/>
    <m/>
    <x v="0"/>
    <n v="33912"/>
    <x v="1"/>
    <n v="347"/>
  </r>
  <r>
    <n v="2284"/>
    <x v="1"/>
    <x v="5"/>
    <x v="58"/>
    <m/>
    <x v="0"/>
    <n v="35418"/>
    <x v="1"/>
    <n v="385"/>
  </r>
  <r>
    <n v="2285"/>
    <x v="2"/>
    <x v="6"/>
    <x v="384"/>
    <m/>
    <x v="0"/>
    <n v="8089"/>
    <x v="1"/>
    <n v="591"/>
  </r>
  <r>
    <n v="2286"/>
    <x v="0"/>
    <x v="7"/>
    <x v="28"/>
    <m/>
    <x v="0"/>
    <n v="45161"/>
    <x v="1"/>
    <n v="124"/>
  </r>
  <r>
    <n v="2287"/>
    <x v="1"/>
    <x v="0"/>
    <x v="283"/>
    <m/>
    <x v="0"/>
    <n v="18083"/>
    <x v="0"/>
    <n v="125"/>
  </r>
  <r>
    <n v="2288"/>
    <x v="2"/>
    <x v="1"/>
    <x v="385"/>
    <m/>
    <x v="0"/>
    <n v="24930"/>
    <x v="0"/>
    <n v="337"/>
  </r>
  <r>
    <n v="2289"/>
    <x v="0"/>
    <x v="2"/>
    <x v="676"/>
    <m/>
    <x v="0"/>
    <n v="40967"/>
    <x v="0"/>
    <n v="185"/>
  </r>
  <r>
    <n v="2290"/>
    <x v="1"/>
    <x v="3"/>
    <x v="534"/>
    <m/>
    <x v="0"/>
    <n v="30567"/>
    <x v="0"/>
    <n v="319"/>
  </r>
  <r>
    <n v="2291"/>
    <x v="2"/>
    <x v="4"/>
    <x v="561"/>
    <m/>
    <x v="0"/>
    <n v="33724"/>
    <x v="1"/>
    <n v="582"/>
  </r>
  <r>
    <n v="2292"/>
    <x v="0"/>
    <x v="5"/>
    <x v="584"/>
    <m/>
    <x v="0"/>
    <n v="13530"/>
    <x v="1"/>
    <n v="465"/>
  </r>
  <r>
    <n v="2293"/>
    <x v="1"/>
    <x v="6"/>
    <x v="28"/>
    <d v="2018-02-09T00:00:00"/>
    <x v="1"/>
    <n v="23961"/>
    <x v="1"/>
    <n v="57"/>
  </r>
  <r>
    <n v="2294"/>
    <x v="2"/>
    <x v="7"/>
    <x v="339"/>
    <m/>
    <x v="2"/>
    <n v="3515"/>
    <x v="1"/>
    <n v="263"/>
  </r>
  <r>
    <n v="2295"/>
    <x v="0"/>
    <x v="0"/>
    <x v="517"/>
    <m/>
    <x v="0"/>
    <n v="44034"/>
    <x v="0"/>
    <n v="295"/>
  </r>
  <r>
    <n v="2296"/>
    <x v="1"/>
    <x v="1"/>
    <x v="108"/>
    <m/>
    <x v="0"/>
    <n v="1711"/>
    <x v="0"/>
    <n v="148"/>
  </r>
  <r>
    <n v="2297"/>
    <x v="2"/>
    <x v="2"/>
    <x v="235"/>
    <m/>
    <x v="0"/>
    <n v="39303"/>
    <x v="0"/>
    <n v="255"/>
  </r>
  <r>
    <n v="2298"/>
    <x v="0"/>
    <x v="3"/>
    <x v="627"/>
    <m/>
    <x v="0"/>
    <n v="50918"/>
    <x v="0"/>
    <n v="585"/>
  </r>
  <r>
    <n v="2299"/>
    <x v="1"/>
    <x v="4"/>
    <x v="383"/>
    <m/>
    <x v="0"/>
    <n v="3020"/>
    <x v="1"/>
    <n v="173"/>
  </r>
  <r>
    <n v="2300"/>
    <x v="2"/>
    <x v="5"/>
    <x v="267"/>
    <m/>
    <x v="0"/>
    <n v="23314"/>
    <x v="1"/>
    <n v="228"/>
  </r>
  <r>
    <n v="2301"/>
    <x v="0"/>
    <x v="6"/>
    <x v="666"/>
    <m/>
    <x v="0"/>
    <n v="53272"/>
    <x v="1"/>
    <n v="97"/>
  </r>
  <r>
    <n v="2302"/>
    <x v="1"/>
    <x v="7"/>
    <x v="545"/>
    <m/>
    <x v="0"/>
    <n v="6629"/>
    <x v="1"/>
    <n v="527"/>
  </r>
  <r>
    <n v="2303"/>
    <x v="2"/>
    <x v="0"/>
    <x v="478"/>
    <m/>
    <x v="0"/>
    <n v="5731"/>
    <x v="0"/>
    <n v="327"/>
  </r>
  <r>
    <n v="2304"/>
    <x v="0"/>
    <x v="1"/>
    <x v="29"/>
    <m/>
    <x v="0"/>
    <n v="35542"/>
    <x v="0"/>
    <n v="272"/>
  </r>
  <r>
    <n v="2305"/>
    <x v="1"/>
    <x v="2"/>
    <x v="184"/>
    <m/>
    <x v="0"/>
    <n v="29940"/>
    <x v="0"/>
    <n v="412"/>
  </r>
  <r>
    <n v="2306"/>
    <x v="2"/>
    <x v="3"/>
    <x v="170"/>
    <d v="2016-07-11T00:00:00"/>
    <x v="1"/>
    <n v="29024"/>
    <x v="0"/>
    <n v="81"/>
  </r>
  <r>
    <n v="2307"/>
    <x v="0"/>
    <x v="4"/>
    <x v="332"/>
    <m/>
    <x v="2"/>
    <n v="30714"/>
    <x v="1"/>
    <n v="239"/>
  </r>
  <r>
    <n v="2308"/>
    <x v="1"/>
    <x v="5"/>
    <x v="205"/>
    <m/>
    <x v="0"/>
    <n v="36702"/>
    <x v="1"/>
    <n v="556"/>
  </r>
  <r>
    <n v="2309"/>
    <x v="2"/>
    <x v="6"/>
    <x v="525"/>
    <m/>
    <x v="0"/>
    <n v="15447"/>
    <x v="1"/>
    <n v="466"/>
  </r>
  <r>
    <n v="2310"/>
    <x v="0"/>
    <x v="7"/>
    <x v="521"/>
    <m/>
    <x v="0"/>
    <n v="33029"/>
    <x v="1"/>
    <n v="531"/>
  </r>
  <r>
    <n v="2311"/>
    <x v="1"/>
    <x v="0"/>
    <x v="501"/>
    <m/>
    <x v="0"/>
    <n v="4695"/>
    <x v="0"/>
    <n v="342"/>
  </r>
  <r>
    <n v="2312"/>
    <x v="2"/>
    <x v="1"/>
    <x v="182"/>
    <m/>
    <x v="0"/>
    <n v="57995"/>
    <x v="0"/>
    <n v="241"/>
  </r>
  <r>
    <n v="2313"/>
    <x v="0"/>
    <x v="2"/>
    <x v="643"/>
    <m/>
    <x v="0"/>
    <n v="43332"/>
    <x v="0"/>
    <n v="132"/>
  </r>
  <r>
    <n v="2314"/>
    <x v="1"/>
    <x v="3"/>
    <x v="694"/>
    <m/>
    <x v="0"/>
    <n v="44751"/>
    <x v="0"/>
    <n v="408"/>
  </r>
  <r>
    <n v="2315"/>
    <x v="2"/>
    <x v="4"/>
    <x v="596"/>
    <m/>
    <x v="0"/>
    <n v="1501"/>
    <x v="1"/>
    <n v="422"/>
  </r>
  <r>
    <n v="2316"/>
    <x v="0"/>
    <x v="5"/>
    <x v="104"/>
    <m/>
    <x v="0"/>
    <n v="3025"/>
    <x v="1"/>
    <n v="337"/>
  </r>
  <r>
    <n v="2317"/>
    <x v="1"/>
    <x v="6"/>
    <x v="494"/>
    <m/>
    <x v="0"/>
    <n v="38158"/>
    <x v="1"/>
    <n v="618"/>
  </r>
  <r>
    <n v="2318"/>
    <x v="2"/>
    <x v="7"/>
    <x v="461"/>
    <m/>
    <x v="0"/>
    <n v="9015"/>
    <x v="1"/>
    <n v="615"/>
  </r>
  <r>
    <n v="2319"/>
    <x v="0"/>
    <x v="0"/>
    <x v="4"/>
    <d v="2017-07-30T00:00:00"/>
    <x v="1"/>
    <n v="40147"/>
    <x v="0"/>
    <n v="55"/>
  </r>
  <r>
    <n v="2320"/>
    <x v="1"/>
    <x v="1"/>
    <x v="515"/>
    <m/>
    <x v="2"/>
    <n v="4121"/>
    <x v="0"/>
    <n v="292"/>
  </r>
  <r>
    <n v="2321"/>
    <x v="2"/>
    <x v="2"/>
    <x v="516"/>
    <m/>
    <x v="0"/>
    <n v="20081"/>
    <x v="0"/>
    <n v="477"/>
  </r>
  <r>
    <n v="2322"/>
    <x v="0"/>
    <x v="3"/>
    <x v="375"/>
    <m/>
    <x v="0"/>
    <n v="29456"/>
    <x v="0"/>
    <n v="604"/>
  </r>
  <r>
    <n v="2323"/>
    <x v="1"/>
    <x v="4"/>
    <x v="214"/>
    <m/>
    <x v="0"/>
    <n v="20179"/>
    <x v="1"/>
    <n v="510"/>
  </r>
  <r>
    <n v="2324"/>
    <x v="2"/>
    <x v="5"/>
    <x v="453"/>
    <m/>
    <x v="0"/>
    <n v="50296"/>
    <x v="1"/>
    <n v="437"/>
  </r>
  <r>
    <n v="2325"/>
    <x v="0"/>
    <x v="6"/>
    <x v="666"/>
    <m/>
    <x v="0"/>
    <n v="1153"/>
    <x v="1"/>
    <n v="97"/>
  </r>
  <r>
    <n v="2326"/>
    <x v="1"/>
    <x v="7"/>
    <x v="285"/>
    <m/>
    <x v="0"/>
    <n v="13653"/>
    <x v="1"/>
    <n v="245"/>
  </r>
  <r>
    <n v="2327"/>
    <x v="2"/>
    <x v="0"/>
    <x v="292"/>
    <m/>
    <x v="0"/>
    <n v="14969"/>
    <x v="0"/>
    <n v="427"/>
  </r>
  <r>
    <n v="2328"/>
    <x v="0"/>
    <x v="1"/>
    <x v="113"/>
    <m/>
    <x v="0"/>
    <n v="57909"/>
    <x v="0"/>
    <n v="607"/>
  </r>
  <r>
    <n v="2329"/>
    <x v="1"/>
    <x v="2"/>
    <x v="521"/>
    <m/>
    <x v="0"/>
    <n v="24139"/>
    <x v="0"/>
    <n v="531"/>
  </r>
  <r>
    <n v="2330"/>
    <x v="2"/>
    <x v="3"/>
    <x v="221"/>
    <m/>
    <x v="0"/>
    <n v="14726"/>
    <x v="0"/>
    <n v="387"/>
  </r>
  <r>
    <n v="2331"/>
    <x v="0"/>
    <x v="4"/>
    <x v="331"/>
    <m/>
    <x v="0"/>
    <n v="12549"/>
    <x v="1"/>
    <n v="525"/>
  </r>
  <r>
    <n v="2332"/>
    <x v="1"/>
    <x v="5"/>
    <x v="344"/>
    <d v="2016-05-04T00:00:00"/>
    <x v="1"/>
    <n v="50113"/>
    <x v="1"/>
    <n v="44"/>
  </r>
  <r>
    <n v="2333"/>
    <x v="2"/>
    <x v="6"/>
    <x v="392"/>
    <m/>
    <x v="2"/>
    <n v="47774"/>
    <x v="1"/>
    <n v="248"/>
  </r>
  <r>
    <n v="2334"/>
    <x v="0"/>
    <x v="7"/>
    <x v="250"/>
    <m/>
    <x v="0"/>
    <n v="17278"/>
    <x v="1"/>
    <n v="542"/>
  </r>
  <r>
    <n v="2335"/>
    <x v="1"/>
    <x v="0"/>
    <x v="400"/>
    <m/>
    <x v="0"/>
    <n v="10572"/>
    <x v="0"/>
    <n v="438"/>
  </r>
  <r>
    <n v="2336"/>
    <x v="2"/>
    <x v="1"/>
    <x v="506"/>
    <m/>
    <x v="0"/>
    <n v="53002"/>
    <x v="0"/>
    <n v="609"/>
  </r>
  <r>
    <n v="2337"/>
    <x v="0"/>
    <x v="2"/>
    <x v="699"/>
    <m/>
    <x v="0"/>
    <n v="3028"/>
    <x v="0"/>
    <n v="586"/>
  </r>
  <r>
    <n v="2338"/>
    <x v="1"/>
    <x v="3"/>
    <x v="372"/>
    <m/>
    <x v="0"/>
    <n v="7952"/>
    <x v="0"/>
    <n v="342"/>
  </r>
  <r>
    <n v="2339"/>
    <x v="2"/>
    <x v="4"/>
    <x v="317"/>
    <m/>
    <x v="0"/>
    <n v="35691"/>
    <x v="1"/>
    <n v="447"/>
  </r>
  <r>
    <n v="2340"/>
    <x v="0"/>
    <x v="5"/>
    <x v="294"/>
    <m/>
    <x v="0"/>
    <n v="20670"/>
    <x v="1"/>
    <n v="174"/>
  </r>
  <r>
    <n v="2341"/>
    <x v="1"/>
    <x v="6"/>
    <x v="470"/>
    <m/>
    <x v="0"/>
    <n v="33919"/>
    <x v="1"/>
    <n v="507"/>
  </r>
  <r>
    <n v="2342"/>
    <x v="2"/>
    <x v="7"/>
    <x v="594"/>
    <m/>
    <x v="0"/>
    <n v="47268"/>
    <x v="1"/>
    <n v="277"/>
  </r>
  <r>
    <n v="2343"/>
    <x v="0"/>
    <x v="0"/>
    <x v="23"/>
    <m/>
    <x v="0"/>
    <n v="11517"/>
    <x v="0"/>
    <n v="232"/>
  </r>
  <r>
    <n v="2344"/>
    <x v="1"/>
    <x v="1"/>
    <x v="466"/>
    <m/>
    <x v="0"/>
    <n v="6330"/>
    <x v="0"/>
    <n v="391"/>
  </r>
  <r>
    <n v="2345"/>
    <x v="2"/>
    <x v="2"/>
    <x v="577"/>
    <d v="2017-06-27T00:00:00"/>
    <x v="1"/>
    <n v="57855"/>
    <x v="0"/>
    <n v="98"/>
  </r>
  <r>
    <n v="2346"/>
    <x v="0"/>
    <x v="3"/>
    <x v="584"/>
    <m/>
    <x v="2"/>
    <n v="32646"/>
    <x v="0"/>
    <n v="465"/>
  </r>
  <r>
    <n v="2347"/>
    <x v="1"/>
    <x v="4"/>
    <x v="82"/>
    <m/>
    <x v="0"/>
    <n v="45383"/>
    <x v="1"/>
    <n v="192"/>
  </r>
  <r>
    <n v="2348"/>
    <x v="2"/>
    <x v="5"/>
    <x v="87"/>
    <m/>
    <x v="0"/>
    <n v="4863"/>
    <x v="1"/>
    <n v="405"/>
  </r>
  <r>
    <n v="2349"/>
    <x v="0"/>
    <x v="6"/>
    <x v="207"/>
    <m/>
    <x v="0"/>
    <n v="45403"/>
    <x v="1"/>
    <n v="169"/>
  </r>
  <r>
    <n v="2350"/>
    <x v="1"/>
    <x v="7"/>
    <x v="465"/>
    <m/>
    <x v="0"/>
    <n v="47222"/>
    <x v="1"/>
    <n v="570"/>
  </r>
  <r>
    <n v="2351"/>
    <x v="2"/>
    <x v="0"/>
    <x v="33"/>
    <m/>
    <x v="0"/>
    <n v="27349"/>
    <x v="0"/>
    <n v="552"/>
  </r>
  <r>
    <n v="2352"/>
    <x v="0"/>
    <x v="1"/>
    <x v="140"/>
    <m/>
    <x v="0"/>
    <n v="27324"/>
    <x v="0"/>
    <n v="588"/>
  </r>
  <r>
    <n v="2353"/>
    <x v="1"/>
    <x v="2"/>
    <x v="331"/>
    <m/>
    <x v="0"/>
    <n v="59862"/>
    <x v="0"/>
    <n v="525"/>
  </r>
  <r>
    <n v="2354"/>
    <x v="2"/>
    <x v="3"/>
    <x v="382"/>
    <m/>
    <x v="0"/>
    <n v="46004"/>
    <x v="0"/>
    <n v="377"/>
  </r>
  <r>
    <n v="2355"/>
    <x v="0"/>
    <x v="4"/>
    <x v="121"/>
    <m/>
    <x v="0"/>
    <n v="31438"/>
    <x v="1"/>
    <n v="322"/>
  </r>
  <r>
    <n v="2356"/>
    <x v="1"/>
    <x v="5"/>
    <x v="316"/>
    <m/>
    <x v="0"/>
    <n v="48934"/>
    <x v="1"/>
    <n v="207"/>
  </r>
  <r>
    <n v="2357"/>
    <x v="2"/>
    <x v="6"/>
    <x v="604"/>
    <m/>
    <x v="0"/>
    <n v="2374"/>
    <x v="1"/>
    <n v="421"/>
  </r>
  <r>
    <n v="2358"/>
    <x v="0"/>
    <x v="7"/>
    <x v="636"/>
    <d v="2016-10-26T00:00:00"/>
    <x v="1"/>
    <n v="21345"/>
    <x v="1"/>
    <n v="48"/>
  </r>
  <r>
    <n v="2359"/>
    <x v="1"/>
    <x v="0"/>
    <x v="424"/>
    <m/>
    <x v="2"/>
    <n v="42661"/>
    <x v="0"/>
    <n v="454"/>
  </r>
  <r>
    <n v="2360"/>
    <x v="2"/>
    <x v="1"/>
    <x v="309"/>
    <m/>
    <x v="0"/>
    <n v="28228"/>
    <x v="0"/>
    <n v="577"/>
  </r>
  <r>
    <n v="2361"/>
    <x v="0"/>
    <x v="2"/>
    <x v="622"/>
    <m/>
    <x v="0"/>
    <n v="40854"/>
    <x v="0"/>
    <n v="157"/>
  </r>
  <r>
    <n v="2362"/>
    <x v="1"/>
    <x v="3"/>
    <x v="379"/>
    <m/>
    <x v="0"/>
    <n v="4182"/>
    <x v="0"/>
    <n v="204"/>
  </r>
  <r>
    <n v="2363"/>
    <x v="2"/>
    <x v="4"/>
    <x v="55"/>
    <m/>
    <x v="0"/>
    <n v="54750"/>
    <x v="1"/>
    <n v="288"/>
  </r>
  <r>
    <n v="2364"/>
    <x v="0"/>
    <x v="5"/>
    <x v="202"/>
    <m/>
    <x v="0"/>
    <n v="29005"/>
    <x v="1"/>
    <n v="413"/>
  </r>
  <r>
    <n v="2365"/>
    <x v="1"/>
    <x v="6"/>
    <x v="519"/>
    <m/>
    <x v="0"/>
    <n v="2170"/>
    <x v="1"/>
    <n v="530"/>
  </r>
  <r>
    <n v="2366"/>
    <x v="2"/>
    <x v="7"/>
    <x v="201"/>
    <m/>
    <x v="0"/>
    <n v="8514"/>
    <x v="1"/>
    <n v="166"/>
  </r>
  <r>
    <n v="2367"/>
    <x v="0"/>
    <x v="0"/>
    <x v="3"/>
    <m/>
    <x v="0"/>
    <n v="52812"/>
    <x v="0"/>
    <n v="567"/>
  </r>
  <r>
    <n v="2368"/>
    <x v="1"/>
    <x v="1"/>
    <x v="607"/>
    <m/>
    <x v="0"/>
    <n v="51946"/>
    <x v="0"/>
    <n v="234"/>
  </r>
  <r>
    <n v="2369"/>
    <x v="2"/>
    <x v="2"/>
    <x v="180"/>
    <m/>
    <x v="0"/>
    <n v="12470"/>
    <x v="0"/>
    <n v="258"/>
  </r>
  <r>
    <n v="2370"/>
    <x v="0"/>
    <x v="3"/>
    <x v="700"/>
    <m/>
    <x v="0"/>
    <n v="18178"/>
    <x v="0"/>
    <n v="280"/>
  </r>
  <r>
    <n v="2371"/>
    <x v="1"/>
    <x v="4"/>
    <x v="208"/>
    <d v="2016-07-13T00:00:00"/>
    <x v="1"/>
    <n v="2602"/>
    <x v="1"/>
    <n v="54"/>
  </r>
  <r>
    <n v="2372"/>
    <x v="2"/>
    <x v="5"/>
    <x v="407"/>
    <m/>
    <x v="2"/>
    <n v="6002"/>
    <x v="1"/>
    <n v="218"/>
  </r>
  <r>
    <n v="2373"/>
    <x v="0"/>
    <x v="6"/>
    <x v="325"/>
    <m/>
    <x v="0"/>
    <n v="38379"/>
    <x v="1"/>
    <n v="473"/>
  </r>
  <r>
    <n v="2374"/>
    <x v="1"/>
    <x v="7"/>
    <x v="420"/>
    <m/>
    <x v="0"/>
    <n v="20524"/>
    <x v="1"/>
    <n v="159"/>
  </r>
  <r>
    <n v="2375"/>
    <x v="2"/>
    <x v="0"/>
    <x v="368"/>
    <m/>
    <x v="0"/>
    <n v="17928"/>
    <x v="0"/>
    <n v="547"/>
  </r>
  <r>
    <n v="2376"/>
    <x v="0"/>
    <x v="1"/>
    <x v="588"/>
    <m/>
    <x v="0"/>
    <n v="1218"/>
    <x v="0"/>
    <n v="487"/>
  </r>
  <r>
    <n v="2377"/>
    <x v="1"/>
    <x v="2"/>
    <x v="457"/>
    <m/>
    <x v="0"/>
    <n v="32744"/>
    <x v="0"/>
    <n v="539"/>
  </r>
  <r>
    <n v="2378"/>
    <x v="2"/>
    <x v="3"/>
    <x v="542"/>
    <m/>
    <x v="0"/>
    <n v="37897"/>
    <x v="0"/>
    <n v="562"/>
  </r>
  <r>
    <n v="2379"/>
    <x v="0"/>
    <x v="4"/>
    <x v="272"/>
    <m/>
    <x v="0"/>
    <n v="22626"/>
    <x v="1"/>
    <n v="356"/>
  </r>
  <r>
    <n v="2380"/>
    <x v="1"/>
    <x v="5"/>
    <x v="533"/>
    <m/>
    <x v="0"/>
    <n v="6420"/>
    <x v="1"/>
    <n v="367"/>
  </r>
  <r>
    <n v="2381"/>
    <x v="2"/>
    <x v="6"/>
    <x v="165"/>
    <m/>
    <x v="0"/>
    <n v="2813"/>
    <x v="1"/>
    <n v="222"/>
  </r>
  <r>
    <n v="2382"/>
    <x v="0"/>
    <x v="7"/>
    <x v="72"/>
    <m/>
    <x v="0"/>
    <n v="59251"/>
    <x v="1"/>
    <n v="352"/>
  </r>
  <r>
    <n v="2383"/>
    <x v="1"/>
    <x v="0"/>
    <x v="215"/>
    <m/>
    <x v="0"/>
    <n v="29788"/>
    <x v="0"/>
    <n v="147"/>
  </r>
  <r>
    <n v="2384"/>
    <x v="2"/>
    <x v="1"/>
    <x v="264"/>
    <d v="2017-01-23T00:00:00"/>
    <x v="1"/>
    <n v="9032"/>
    <x v="0"/>
    <n v="53"/>
  </r>
  <r>
    <n v="2385"/>
    <x v="0"/>
    <x v="2"/>
    <x v="701"/>
    <m/>
    <x v="2"/>
    <n v="36971"/>
    <x v="0"/>
    <n v="372"/>
  </r>
  <r>
    <n v="2386"/>
    <x v="1"/>
    <x v="3"/>
    <x v="335"/>
    <m/>
    <x v="0"/>
    <n v="1829"/>
    <x v="0"/>
    <n v="183"/>
  </r>
  <r>
    <n v="2387"/>
    <x v="2"/>
    <x v="4"/>
    <x v="702"/>
    <m/>
    <x v="0"/>
    <n v="42083"/>
    <x v="1"/>
    <n v="579"/>
  </r>
  <r>
    <n v="2388"/>
    <x v="0"/>
    <x v="5"/>
    <x v="273"/>
    <m/>
    <x v="0"/>
    <n v="35793"/>
    <x v="1"/>
    <n v="247"/>
  </r>
  <r>
    <n v="2389"/>
    <x v="1"/>
    <x v="6"/>
    <x v="208"/>
    <m/>
    <x v="0"/>
    <n v="10221"/>
    <x v="1"/>
    <n v="533"/>
  </r>
  <r>
    <n v="2390"/>
    <x v="2"/>
    <x v="7"/>
    <x v="279"/>
    <m/>
    <x v="0"/>
    <n v="47741"/>
    <x v="1"/>
    <n v="102"/>
  </r>
  <r>
    <n v="2391"/>
    <x v="0"/>
    <x v="0"/>
    <x v="51"/>
    <m/>
    <x v="0"/>
    <n v="7686"/>
    <x v="0"/>
    <n v="202"/>
  </r>
  <r>
    <n v="2392"/>
    <x v="1"/>
    <x v="1"/>
    <x v="389"/>
    <m/>
    <x v="0"/>
    <n v="12684"/>
    <x v="0"/>
    <n v="435"/>
  </r>
  <r>
    <n v="2393"/>
    <x v="2"/>
    <x v="2"/>
    <x v="176"/>
    <m/>
    <x v="0"/>
    <n v="59015"/>
    <x v="0"/>
    <n v="500"/>
  </r>
  <r>
    <n v="2394"/>
    <x v="0"/>
    <x v="3"/>
    <x v="24"/>
    <m/>
    <x v="0"/>
    <n v="7344"/>
    <x v="0"/>
    <n v="382"/>
  </r>
  <r>
    <n v="2395"/>
    <x v="1"/>
    <x v="4"/>
    <x v="310"/>
    <m/>
    <x v="0"/>
    <n v="33507"/>
    <x v="1"/>
    <n v="307"/>
  </r>
  <r>
    <n v="2396"/>
    <x v="2"/>
    <x v="5"/>
    <x v="337"/>
    <m/>
    <x v="0"/>
    <n v="34265"/>
    <x v="1"/>
    <n v="114"/>
  </r>
  <r>
    <n v="2397"/>
    <x v="0"/>
    <x v="6"/>
    <x v="639"/>
    <d v="2017-04-20T00:00:00"/>
    <x v="1"/>
    <n v="20268"/>
    <x v="1"/>
    <n v="34"/>
  </r>
  <r>
    <n v="2398"/>
    <x v="1"/>
    <x v="7"/>
    <x v="272"/>
    <m/>
    <x v="2"/>
    <n v="58473"/>
    <x v="1"/>
    <n v="356"/>
  </r>
  <r>
    <n v="2399"/>
    <x v="2"/>
    <x v="0"/>
    <x v="414"/>
    <m/>
    <x v="0"/>
    <n v="7453"/>
    <x v="0"/>
    <n v="371"/>
  </r>
  <r>
    <n v="2400"/>
    <x v="0"/>
    <x v="1"/>
    <x v="607"/>
    <m/>
    <x v="0"/>
    <n v="26889"/>
    <x v="0"/>
    <n v="234"/>
  </r>
  <r>
    <n v="2401"/>
    <x v="1"/>
    <x v="2"/>
    <x v="466"/>
    <m/>
    <x v="0"/>
    <n v="40484"/>
    <x v="0"/>
    <n v="391"/>
  </r>
  <r>
    <n v="2402"/>
    <x v="2"/>
    <x v="3"/>
    <x v="396"/>
    <m/>
    <x v="0"/>
    <n v="50303"/>
    <x v="0"/>
    <n v="472"/>
  </r>
  <r>
    <n v="2403"/>
    <x v="0"/>
    <x v="4"/>
    <x v="400"/>
    <m/>
    <x v="0"/>
    <n v="49188"/>
    <x v="1"/>
    <n v="438"/>
  </r>
  <r>
    <n v="2404"/>
    <x v="1"/>
    <x v="5"/>
    <x v="630"/>
    <m/>
    <x v="0"/>
    <n v="17037"/>
    <x v="1"/>
    <n v="117"/>
  </r>
  <r>
    <n v="2405"/>
    <x v="2"/>
    <x v="6"/>
    <x v="241"/>
    <m/>
    <x v="0"/>
    <n v="25758"/>
    <x v="1"/>
    <n v="177"/>
  </r>
  <r>
    <n v="2406"/>
    <x v="0"/>
    <x v="7"/>
    <x v="375"/>
    <m/>
    <x v="0"/>
    <n v="10477"/>
    <x v="1"/>
    <n v="604"/>
  </r>
  <r>
    <n v="2407"/>
    <x v="1"/>
    <x v="0"/>
    <x v="451"/>
    <m/>
    <x v="0"/>
    <n v="36379"/>
    <x v="0"/>
    <n v="178"/>
  </r>
  <r>
    <n v="2408"/>
    <x v="2"/>
    <x v="1"/>
    <x v="494"/>
    <m/>
    <x v="0"/>
    <n v="47708"/>
    <x v="0"/>
    <n v="618"/>
  </r>
  <r>
    <n v="2409"/>
    <x v="0"/>
    <x v="2"/>
    <x v="329"/>
    <m/>
    <x v="0"/>
    <n v="12299"/>
    <x v="0"/>
    <n v="291"/>
  </r>
  <r>
    <n v="2410"/>
    <x v="1"/>
    <x v="3"/>
    <x v="470"/>
    <d v="2016-07-24T00:00:00"/>
    <x v="1"/>
    <n v="20732"/>
    <x v="0"/>
    <n v="35"/>
  </r>
  <r>
    <n v="2411"/>
    <x v="2"/>
    <x v="4"/>
    <x v="230"/>
    <m/>
    <x v="2"/>
    <n v="27342"/>
    <x v="1"/>
    <n v="312"/>
  </r>
  <r>
    <n v="2412"/>
    <x v="0"/>
    <x v="5"/>
    <x v="164"/>
    <m/>
    <x v="0"/>
    <n v="10913"/>
    <x v="1"/>
    <n v="190"/>
  </r>
  <r>
    <n v="2413"/>
    <x v="1"/>
    <x v="6"/>
    <x v="703"/>
    <m/>
    <x v="0"/>
    <n v="59393"/>
    <x v="1"/>
    <n v="587"/>
  </r>
  <r>
    <n v="2414"/>
    <x v="2"/>
    <x v="7"/>
    <x v="64"/>
    <m/>
    <x v="0"/>
    <n v="51358"/>
    <x v="1"/>
    <n v="152"/>
  </r>
  <r>
    <n v="2415"/>
    <x v="0"/>
    <x v="0"/>
    <x v="143"/>
    <m/>
    <x v="0"/>
    <n v="35096"/>
    <x v="0"/>
    <n v="431"/>
  </r>
  <r>
    <n v="2416"/>
    <x v="1"/>
    <x v="1"/>
    <x v="356"/>
    <m/>
    <x v="0"/>
    <n v="44210"/>
    <x v="0"/>
    <n v="324"/>
  </r>
  <r>
    <n v="2417"/>
    <x v="2"/>
    <x v="2"/>
    <x v="320"/>
    <m/>
    <x v="0"/>
    <n v="41349"/>
    <x v="0"/>
    <n v="419"/>
  </r>
  <r>
    <n v="2418"/>
    <x v="0"/>
    <x v="3"/>
    <x v="478"/>
    <m/>
    <x v="0"/>
    <n v="46443"/>
    <x v="0"/>
    <n v="327"/>
  </r>
  <r>
    <n v="2419"/>
    <x v="1"/>
    <x v="4"/>
    <x v="117"/>
    <m/>
    <x v="0"/>
    <n v="50496"/>
    <x v="1"/>
    <n v="389"/>
  </r>
  <r>
    <n v="2420"/>
    <x v="2"/>
    <x v="5"/>
    <x v="661"/>
    <m/>
    <x v="0"/>
    <n v="30677"/>
    <x v="1"/>
    <n v="167"/>
  </r>
  <r>
    <n v="2421"/>
    <x v="0"/>
    <x v="6"/>
    <x v="235"/>
    <m/>
    <x v="0"/>
    <n v="998"/>
    <x v="1"/>
    <n v="255"/>
  </r>
  <r>
    <n v="2422"/>
    <x v="1"/>
    <x v="7"/>
    <x v="398"/>
    <m/>
    <x v="0"/>
    <n v="19823"/>
    <x v="1"/>
    <n v="468"/>
  </r>
  <r>
    <n v="2423"/>
    <x v="2"/>
    <x v="0"/>
    <x v="225"/>
    <d v="2016-05-06T00:00:00"/>
    <x v="1"/>
    <n v="21572"/>
    <x v="0"/>
    <n v="40"/>
  </r>
  <r>
    <n v="2424"/>
    <x v="0"/>
    <x v="1"/>
    <x v="189"/>
    <m/>
    <x v="2"/>
    <n v="40927"/>
    <x v="0"/>
    <n v="517"/>
  </r>
  <r>
    <n v="2425"/>
    <x v="1"/>
    <x v="2"/>
    <x v="395"/>
    <m/>
    <x v="0"/>
    <n v="17645"/>
    <x v="0"/>
    <n v="568"/>
  </r>
  <r>
    <n v="2426"/>
    <x v="2"/>
    <x v="3"/>
    <x v="288"/>
    <m/>
    <x v="0"/>
    <n v="19909"/>
    <x v="0"/>
    <n v="334"/>
  </r>
  <r>
    <n v="2427"/>
    <x v="0"/>
    <x v="4"/>
    <x v="692"/>
    <m/>
    <x v="0"/>
    <n v="14111"/>
    <x v="1"/>
    <n v="542"/>
  </r>
  <r>
    <n v="2428"/>
    <x v="1"/>
    <x v="5"/>
    <x v="59"/>
    <m/>
    <x v="0"/>
    <n v="7525"/>
    <x v="1"/>
    <n v="617"/>
  </r>
  <r>
    <n v="2429"/>
    <x v="2"/>
    <x v="6"/>
    <x v="355"/>
    <m/>
    <x v="0"/>
    <n v="20145"/>
    <x v="1"/>
    <n v="315"/>
  </r>
  <r>
    <n v="2430"/>
    <x v="0"/>
    <x v="7"/>
    <x v="595"/>
    <m/>
    <x v="0"/>
    <n v="36443"/>
    <x v="1"/>
    <n v="127"/>
  </r>
  <r>
    <n v="2431"/>
    <x v="1"/>
    <x v="0"/>
    <x v="20"/>
    <m/>
    <x v="0"/>
    <n v="13748"/>
    <x v="0"/>
    <n v="367"/>
  </r>
  <r>
    <n v="2432"/>
    <x v="2"/>
    <x v="1"/>
    <x v="471"/>
    <m/>
    <x v="0"/>
    <n v="18605"/>
    <x v="0"/>
    <n v="142"/>
  </r>
  <r>
    <n v="2433"/>
    <x v="0"/>
    <x v="2"/>
    <x v="538"/>
    <m/>
    <x v="0"/>
    <n v="50309"/>
    <x v="0"/>
    <n v="458"/>
  </r>
  <r>
    <n v="2434"/>
    <x v="1"/>
    <x v="3"/>
    <x v="230"/>
    <m/>
    <x v="0"/>
    <n v="17748"/>
    <x v="0"/>
    <n v="312"/>
  </r>
  <r>
    <n v="2435"/>
    <x v="2"/>
    <x v="4"/>
    <x v="79"/>
    <m/>
    <x v="0"/>
    <n v="36969"/>
    <x v="1"/>
    <n v="451"/>
  </r>
  <r>
    <n v="2436"/>
    <x v="0"/>
    <x v="5"/>
    <x v="4"/>
    <d v="2017-08-12T00:00:00"/>
    <x v="1"/>
    <n v="58252"/>
    <x v="1"/>
    <n v="65"/>
  </r>
  <r>
    <n v="2437"/>
    <x v="1"/>
    <x v="6"/>
    <x v="596"/>
    <m/>
    <x v="2"/>
    <n v="19716"/>
    <x v="1"/>
    <n v="422"/>
  </r>
  <r>
    <n v="2438"/>
    <x v="2"/>
    <x v="7"/>
    <x v="318"/>
    <m/>
    <x v="0"/>
    <n v="7193"/>
    <x v="1"/>
    <n v="220"/>
  </r>
  <r>
    <n v="2439"/>
    <x v="0"/>
    <x v="0"/>
    <x v="321"/>
    <m/>
    <x v="0"/>
    <n v="21978"/>
    <x v="0"/>
    <n v="238"/>
  </r>
  <r>
    <n v="2440"/>
    <x v="1"/>
    <x v="1"/>
    <x v="548"/>
    <m/>
    <x v="0"/>
    <n v="39878"/>
    <x v="0"/>
    <n v="232"/>
  </r>
  <r>
    <n v="2441"/>
    <x v="2"/>
    <x v="2"/>
    <x v="377"/>
    <m/>
    <x v="0"/>
    <n v="50694"/>
    <x v="0"/>
    <n v="205"/>
  </r>
  <r>
    <n v="2442"/>
    <x v="0"/>
    <x v="3"/>
    <x v="394"/>
    <m/>
    <x v="0"/>
    <n v="6256"/>
    <x v="0"/>
    <n v="367"/>
  </r>
  <r>
    <n v="2443"/>
    <x v="1"/>
    <x v="4"/>
    <x v="565"/>
    <m/>
    <x v="0"/>
    <n v="49110"/>
    <x v="1"/>
    <n v="209"/>
  </r>
  <r>
    <n v="2444"/>
    <x v="2"/>
    <x v="5"/>
    <x v="618"/>
    <m/>
    <x v="0"/>
    <n v="48993"/>
    <x v="1"/>
    <n v="186"/>
  </r>
  <r>
    <n v="2445"/>
    <x v="0"/>
    <x v="6"/>
    <x v="704"/>
    <m/>
    <x v="0"/>
    <n v="55138"/>
    <x v="1"/>
    <n v="407"/>
  </r>
  <r>
    <n v="2446"/>
    <x v="1"/>
    <x v="7"/>
    <x v="303"/>
    <m/>
    <x v="0"/>
    <n v="17965"/>
    <x v="1"/>
    <n v="317"/>
  </r>
  <r>
    <n v="2447"/>
    <x v="2"/>
    <x v="0"/>
    <x v="432"/>
    <m/>
    <x v="0"/>
    <n v="46345"/>
    <x v="0"/>
    <n v="264"/>
  </r>
  <r>
    <n v="2448"/>
    <x v="0"/>
    <x v="1"/>
    <x v="705"/>
    <m/>
    <x v="0"/>
    <n v="1904"/>
    <x v="0"/>
    <n v="138"/>
  </r>
  <r>
    <n v="2449"/>
    <x v="1"/>
    <x v="2"/>
    <x v="131"/>
    <d v="2017-05-08T00:00:00"/>
    <x v="1"/>
    <n v="45973"/>
    <x v="0"/>
    <n v="71"/>
  </r>
  <r>
    <n v="2450"/>
    <x v="2"/>
    <x v="3"/>
    <x v="512"/>
    <m/>
    <x v="2"/>
    <n v="33624"/>
    <x v="0"/>
    <n v="184"/>
  </r>
  <r>
    <n v="2451"/>
    <x v="0"/>
    <x v="4"/>
    <x v="567"/>
    <m/>
    <x v="0"/>
    <n v="17465"/>
    <x v="1"/>
    <n v="342"/>
  </r>
  <r>
    <n v="2452"/>
    <x v="1"/>
    <x v="5"/>
    <x v="484"/>
    <m/>
    <x v="0"/>
    <n v="27227"/>
    <x v="1"/>
    <n v="332"/>
  </r>
  <r>
    <n v="2453"/>
    <x v="2"/>
    <x v="6"/>
    <x v="633"/>
    <m/>
    <x v="0"/>
    <n v="3873"/>
    <x v="1"/>
    <n v="277"/>
  </r>
  <r>
    <n v="2454"/>
    <x v="0"/>
    <x v="7"/>
    <x v="698"/>
    <m/>
    <x v="0"/>
    <n v="45674"/>
    <x v="1"/>
    <n v="172"/>
  </r>
  <r>
    <n v="2455"/>
    <x v="1"/>
    <x v="0"/>
    <x v="628"/>
    <m/>
    <x v="0"/>
    <n v="30855"/>
    <x v="0"/>
    <n v="392"/>
  </r>
  <r>
    <n v="2456"/>
    <x v="2"/>
    <x v="1"/>
    <x v="679"/>
    <m/>
    <x v="0"/>
    <n v="33422"/>
    <x v="0"/>
    <n v="198"/>
  </r>
  <r>
    <n v="2457"/>
    <x v="0"/>
    <x v="2"/>
    <x v="612"/>
    <m/>
    <x v="0"/>
    <n v="38762"/>
    <x v="0"/>
    <n v="326"/>
  </r>
  <r>
    <n v="2458"/>
    <x v="1"/>
    <x v="3"/>
    <x v="207"/>
    <m/>
    <x v="0"/>
    <n v="8844"/>
    <x v="0"/>
    <n v="169"/>
  </r>
  <r>
    <n v="2459"/>
    <x v="2"/>
    <x v="4"/>
    <x v="351"/>
    <m/>
    <x v="0"/>
    <n v="3381"/>
    <x v="1"/>
    <n v="273"/>
  </r>
  <r>
    <n v="2460"/>
    <x v="0"/>
    <x v="5"/>
    <x v="317"/>
    <m/>
    <x v="0"/>
    <n v="48152"/>
    <x v="1"/>
    <n v="447"/>
  </r>
  <r>
    <n v="2461"/>
    <x v="1"/>
    <x v="6"/>
    <x v="478"/>
    <m/>
    <x v="0"/>
    <n v="29424"/>
    <x v="1"/>
    <n v="327"/>
  </r>
  <r>
    <n v="2462"/>
    <x v="2"/>
    <x v="7"/>
    <x v="191"/>
    <d v="2016-03-12T00:00:00"/>
    <x v="1"/>
    <n v="41734"/>
    <x v="1"/>
    <n v="25"/>
  </r>
  <r>
    <n v="2463"/>
    <x v="0"/>
    <x v="0"/>
    <x v="590"/>
    <m/>
    <x v="2"/>
    <n v="59466"/>
    <x v="0"/>
    <n v="580"/>
  </r>
  <r>
    <n v="2464"/>
    <x v="1"/>
    <x v="1"/>
    <x v="183"/>
    <m/>
    <x v="0"/>
    <n v="56717"/>
    <x v="0"/>
    <n v="109"/>
  </r>
  <r>
    <n v="2465"/>
    <x v="2"/>
    <x v="2"/>
    <x v="478"/>
    <m/>
    <x v="0"/>
    <n v="44798"/>
    <x v="0"/>
    <n v="327"/>
  </r>
  <r>
    <n v="2466"/>
    <x v="0"/>
    <x v="3"/>
    <x v="621"/>
    <m/>
    <x v="0"/>
    <n v="27970"/>
    <x v="0"/>
    <n v="223"/>
  </r>
  <r>
    <n v="2467"/>
    <x v="1"/>
    <x v="4"/>
    <x v="410"/>
    <m/>
    <x v="0"/>
    <n v="13671"/>
    <x v="1"/>
    <n v="302"/>
  </r>
  <r>
    <n v="2468"/>
    <x v="2"/>
    <x v="5"/>
    <x v="317"/>
    <m/>
    <x v="0"/>
    <n v="48232"/>
    <x v="1"/>
    <n v="447"/>
  </r>
  <r>
    <n v="2469"/>
    <x v="0"/>
    <x v="6"/>
    <x v="112"/>
    <m/>
    <x v="0"/>
    <n v="20369"/>
    <x v="1"/>
    <n v="98"/>
  </r>
  <r>
    <n v="2470"/>
    <x v="1"/>
    <x v="7"/>
    <x v="574"/>
    <m/>
    <x v="0"/>
    <n v="33913"/>
    <x v="1"/>
    <n v="428"/>
  </r>
  <r>
    <n v="2471"/>
    <x v="2"/>
    <x v="0"/>
    <x v="632"/>
    <m/>
    <x v="0"/>
    <n v="43119"/>
    <x v="0"/>
    <n v="369"/>
  </r>
  <r>
    <n v="2472"/>
    <x v="0"/>
    <x v="1"/>
    <x v="239"/>
    <m/>
    <x v="0"/>
    <n v="35241"/>
    <x v="0"/>
    <n v="441"/>
  </r>
  <r>
    <n v="2473"/>
    <x v="1"/>
    <x v="2"/>
    <x v="164"/>
    <m/>
    <x v="0"/>
    <n v="48084"/>
    <x v="0"/>
    <n v="190"/>
  </r>
  <r>
    <n v="2474"/>
    <x v="2"/>
    <x v="3"/>
    <x v="553"/>
    <m/>
    <x v="0"/>
    <n v="51000"/>
    <x v="0"/>
    <n v="506"/>
  </r>
  <r>
    <n v="2475"/>
    <x v="0"/>
    <x v="4"/>
    <x v="313"/>
    <d v="2016-04-22T00:00:00"/>
    <x v="1"/>
    <n v="33699"/>
    <x v="1"/>
    <n v="56"/>
  </r>
  <r>
    <n v="2476"/>
    <x v="1"/>
    <x v="5"/>
    <x v="92"/>
    <m/>
    <x v="2"/>
    <n v="23760"/>
    <x v="1"/>
    <n v="572"/>
  </r>
  <r>
    <n v="2477"/>
    <x v="2"/>
    <x v="6"/>
    <x v="689"/>
    <m/>
    <x v="0"/>
    <n v="54239"/>
    <x v="1"/>
    <n v="257"/>
  </r>
  <r>
    <n v="2478"/>
    <x v="0"/>
    <x v="7"/>
    <x v="529"/>
    <m/>
    <x v="0"/>
    <n v="30506"/>
    <x v="1"/>
    <n v="517"/>
  </r>
  <r>
    <n v="2479"/>
    <x v="1"/>
    <x v="0"/>
    <x v="34"/>
    <m/>
    <x v="0"/>
    <n v="8693"/>
    <x v="0"/>
    <n v="271"/>
  </r>
  <r>
    <n v="2480"/>
    <x v="2"/>
    <x v="1"/>
    <x v="420"/>
    <m/>
    <x v="0"/>
    <n v="48291"/>
    <x v="0"/>
    <n v="159"/>
  </r>
  <r>
    <n v="2481"/>
    <x v="0"/>
    <x v="2"/>
    <x v="244"/>
    <m/>
    <x v="0"/>
    <n v="15858"/>
    <x v="0"/>
    <n v="132"/>
  </r>
  <r>
    <n v="2482"/>
    <x v="1"/>
    <x v="3"/>
    <x v="190"/>
    <m/>
    <x v="0"/>
    <n v="2937"/>
    <x v="0"/>
    <n v="427"/>
  </r>
  <r>
    <n v="2483"/>
    <x v="2"/>
    <x v="4"/>
    <x v="487"/>
    <m/>
    <x v="0"/>
    <n v="32639"/>
    <x v="1"/>
    <n v="347"/>
  </r>
  <r>
    <n v="2484"/>
    <x v="0"/>
    <x v="5"/>
    <x v="624"/>
    <m/>
    <x v="0"/>
    <n v="35269"/>
    <x v="1"/>
    <n v="491"/>
  </r>
  <r>
    <n v="2485"/>
    <x v="1"/>
    <x v="6"/>
    <x v="585"/>
    <m/>
    <x v="0"/>
    <n v="36148"/>
    <x v="1"/>
    <n v="382"/>
  </r>
  <r>
    <n v="2486"/>
    <x v="2"/>
    <x v="7"/>
    <x v="688"/>
    <m/>
    <x v="0"/>
    <n v="14895"/>
    <x v="1"/>
    <n v="133"/>
  </r>
  <r>
    <n v="2487"/>
    <x v="0"/>
    <x v="0"/>
    <x v="575"/>
    <m/>
    <x v="0"/>
    <n v="5248"/>
    <x v="0"/>
    <n v="589"/>
  </r>
  <r>
    <n v="2488"/>
    <x v="1"/>
    <x v="1"/>
    <x v="47"/>
    <d v="2018-01-17T00:00:00"/>
    <x v="1"/>
    <n v="52063"/>
    <x v="0"/>
    <n v="28"/>
  </r>
  <r>
    <n v="2489"/>
    <x v="2"/>
    <x v="2"/>
    <x v="91"/>
    <m/>
    <x v="2"/>
    <n v="32573"/>
    <x v="0"/>
    <n v="302"/>
  </r>
  <r>
    <n v="2490"/>
    <x v="0"/>
    <x v="3"/>
    <x v="251"/>
    <m/>
    <x v="0"/>
    <n v="47538"/>
    <x v="0"/>
    <n v="359"/>
  </r>
  <r>
    <n v="2491"/>
    <x v="1"/>
    <x v="4"/>
    <x v="374"/>
    <m/>
    <x v="0"/>
    <n v="27753"/>
    <x v="1"/>
    <n v="104"/>
  </r>
  <r>
    <n v="2492"/>
    <x v="2"/>
    <x v="5"/>
    <x v="332"/>
    <m/>
    <x v="0"/>
    <n v="11933"/>
    <x v="1"/>
    <n v="239"/>
  </r>
  <r>
    <n v="2493"/>
    <x v="0"/>
    <x v="6"/>
    <x v="554"/>
    <m/>
    <x v="0"/>
    <n v="53965"/>
    <x v="1"/>
    <n v="299"/>
  </r>
  <r>
    <n v="2494"/>
    <x v="1"/>
    <x v="7"/>
    <x v="386"/>
    <m/>
    <x v="0"/>
    <n v="13538"/>
    <x v="1"/>
    <n v="442"/>
  </r>
  <r>
    <n v="2495"/>
    <x v="2"/>
    <x v="0"/>
    <x v="314"/>
    <m/>
    <x v="0"/>
    <n v="58588"/>
    <x v="0"/>
    <n v="395"/>
  </r>
  <r>
    <n v="2496"/>
    <x v="0"/>
    <x v="1"/>
    <x v="694"/>
    <m/>
    <x v="0"/>
    <n v="29805"/>
    <x v="0"/>
    <n v="408"/>
  </r>
  <r>
    <n v="2497"/>
    <x v="1"/>
    <x v="2"/>
    <x v="185"/>
    <m/>
    <x v="0"/>
    <n v="17410"/>
    <x v="0"/>
    <n v="325"/>
  </r>
  <r>
    <n v="2498"/>
    <x v="2"/>
    <x v="3"/>
    <x v="491"/>
    <m/>
    <x v="0"/>
    <n v="43306"/>
    <x v="0"/>
    <n v="147"/>
  </r>
  <r>
    <n v="2499"/>
    <x v="0"/>
    <x v="4"/>
    <x v="4"/>
    <m/>
    <x v="0"/>
    <n v="45922"/>
    <x v="1"/>
    <n v="262"/>
  </r>
  <r>
    <n v="2500"/>
    <x v="1"/>
    <x v="5"/>
    <x v="97"/>
    <m/>
    <x v="0"/>
    <n v="41280"/>
    <x v="1"/>
    <n v="298"/>
  </r>
  <r>
    <n v="2501"/>
    <x v="2"/>
    <x v="6"/>
    <x v="202"/>
    <d v="2016-12-14T00:00:00"/>
    <x v="1"/>
    <n v="32677"/>
    <x v="1"/>
    <n v="44"/>
  </r>
  <r>
    <n v="2502"/>
    <x v="0"/>
    <x v="7"/>
    <x v="120"/>
    <m/>
    <x v="2"/>
    <n v="52375"/>
    <x v="1"/>
    <n v="528"/>
  </r>
  <r>
    <n v="2503"/>
    <x v="1"/>
    <x v="0"/>
    <x v="297"/>
    <m/>
    <x v="0"/>
    <n v="35093"/>
    <x v="0"/>
    <n v="432"/>
  </r>
  <r>
    <n v="2504"/>
    <x v="2"/>
    <x v="1"/>
    <x v="40"/>
    <m/>
    <x v="0"/>
    <n v="58248"/>
    <x v="0"/>
    <n v="434"/>
  </r>
  <r>
    <n v="2505"/>
    <x v="0"/>
    <x v="2"/>
    <x v="278"/>
    <m/>
    <x v="0"/>
    <n v="10202"/>
    <x v="0"/>
    <n v="187"/>
  </r>
  <r>
    <n v="2506"/>
    <x v="1"/>
    <x v="3"/>
    <x v="95"/>
    <m/>
    <x v="0"/>
    <n v="7036"/>
    <x v="0"/>
    <n v="146"/>
  </r>
  <r>
    <n v="2507"/>
    <x v="2"/>
    <x v="4"/>
    <x v="165"/>
    <m/>
    <x v="0"/>
    <n v="37666"/>
    <x v="1"/>
    <n v="222"/>
  </r>
  <r>
    <n v="2508"/>
    <x v="0"/>
    <x v="5"/>
    <x v="276"/>
    <m/>
    <x v="0"/>
    <n v="38010"/>
    <x v="1"/>
    <n v="250"/>
  </r>
  <r>
    <n v="2509"/>
    <x v="1"/>
    <x v="6"/>
    <x v="387"/>
    <m/>
    <x v="0"/>
    <n v="49604"/>
    <x v="1"/>
    <n v="321"/>
  </r>
  <r>
    <n v="2510"/>
    <x v="2"/>
    <x v="7"/>
    <x v="183"/>
    <m/>
    <x v="0"/>
    <n v="11270"/>
    <x v="1"/>
    <n v="109"/>
  </r>
  <r>
    <n v="2511"/>
    <x v="0"/>
    <x v="0"/>
    <x v="342"/>
    <m/>
    <x v="0"/>
    <n v="34629"/>
    <x v="0"/>
    <n v="519"/>
  </r>
  <r>
    <n v="2512"/>
    <x v="1"/>
    <x v="1"/>
    <x v="677"/>
    <m/>
    <x v="0"/>
    <n v="29375"/>
    <x v="0"/>
    <n v="214"/>
  </r>
  <r>
    <n v="2513"/>
    <x v="2"/>
    <x v="2"/>
    <x v="213"/>
    <m/>
    <x v="0"/>
    <n v="1722"/>
    <x v="0"/>
    <n v="437"/>
  </r>
  <r>
    <n v="2514"/>
    <x v="0"/>
    <x v="3"/>
    <x v="288"/>
    <d v="2017-03-21T00:00:00"/>
    <x v="1"/>
    <n v="8022"/>
    <x v="0"/>
    <n v="34"/>
  </r>
  <r>
    <n v="2515"/>
    <x v="1"/>
    <x v="4"/>
    <x v="638"/>
    <m/>
    <x v="2"/>
    <n v="29351"/>
    <x v="1"/>
    <n v="107"/>
  </r>
  <r>
    <n v="2516"/>
    <x v="2"/>
    <x v="5"/>
    <x v="670"/>
    <m/>
    <x v="0"/>
    <n v="18242"/>
    <x v="1"/>
    <n v="187"/>
  </r>
  <r>
    <n v="2517"/>
    <x v="0"/>
    <x v="6"/>
    <x v="158"/>
    <m/>
    <x v="0"/>
    <n v="49008"/>
    <x v="1"/>
    <n v="457"/>
  </r>
  <r>
    <n v="2518"/>
    <x v="1"/>
    <x v="7"/>
    <x v="247"/>
    <m/>
    <x v="0"/>
    <n v="6192"/>
    <x v="1"/>
    <n v="446"/>
  </r>
  <r>
    <n v="2519"/>
    <x v="2"/>
    <x v="0"/>
    <x v="454"/>
    <m/>
    <x v="0"/>
    <n v="59778"/>
    <x v="0"/>
    <n v="127"/>
  </r>
  <r>
    <n v="2520"/>
    <x v="0"/>
    <x v="1"/>
    <x v="620"/>
    <m/>
    <x v="0"/>
    <n v="41129"/>
    <x v="0"/>
    <n v="318"/>
  </r>
  <r>
    <n v="2521"/>
    <x v="1"/>
    <x v="2"/>
    <x v="198"/>
    <m/>
    <x v="0"/>
    <n v="38441"/>
    <x v="0"/>
    <n v="549"/>
  </r>
  <r>
    <n v="2522"/>
    <x v="2"/>
    <x v="3"/>
    <x v="706"/>
    <m/>
    <x v="0"/>
    <n v="45358"/>
    <x v="0"/>
    <n v="430"/>
  </r>
  <r>
    <n v="2523"/>
    <x v="0"/>
    <x v="4"/>
    <x v="295"/>
    <m/>
    <x v="0"/>
    <n v="30479"/>
    <x v="1"/>
    <n v="590"/>
  </r>
  <r>
    <n v="2524"/>
    <x v="1"/>
    <x v="5"/>
    <x v="149"/>
    <m/>
    <x v="0"/>
    <n v="11856"/>
    <x v="1"/>
    <n v="320"/>
  </r>
  <r>
    <n v="2525"/>
    <x v="2"/>
    <x v="6"/>
    <x v="396"/>
    <m/>
    <x v="0"/>
    <n v="1441"/>
    <x v="1"/>
    <n v="472"/>
  </r>
  <r>
    <n v="2526"/>
    <x v="0"/>
    <x v="7"/>
    <x v="114"/>
    <m/>
    <x v="0"/>
    <n v="58599"/>
    <x v="1"/>
    <n v="532"/>
  </r>
  <r>
    <n v="2527"/>
    <x v="1"/>
    <x v="0"/>
    <x v="473"/>
    <d v="2017-07-15T00:00:00"/>
    <x v="1"/>
    <n v="39311"/>
    <x v="0"/>
    <n v="44"/>
  </r>
  <r>
    <n v="2528"/>
    <x v="2"/>
    <x v="1"/>
    <x v="707"/>
    <m/>
    <x v="2"/>
    <n v="55227"/>
    <x v="0"/>
    <n v="302"/>
  </r>
  <r>
    <n v="2529"/>
    <x v="0"/>
    <x v="2"/>
    <x v="168"/>
    <m/>
    <x v="0"/>
    <n v="46177"/>
    <x v="0"/>
    <n v="352"/>
  </r>
  <r>
    <n v="2530"/>
    <x v="1"/>
    <x v="3"/>
    <x v="67"/>
    <m/>
    <x v="0"/>
    <n v="46601"/>
    <x v="0"/>
    <n v="402"/>
  </r>
  <r>
    <n v="2531"/>
    <x v="2"/>
    <x v="4"/>
    <x v="708"/>
    <m/>
    <x v="0"/>
    <n v="13333"/>
    <x v="1"/>
    <n v="505"/>
  </r>
  <r>
    <n v="2532"/>
    <x v="0"/>
    <x v="5"/>
    <x v="379"/>
    <m/>
    <x v="0"/>
    <n v="29236"/>
    <x v="1"/>
    <n v="204"/>
  </r>
  <r>
    <n v="2533"/>
    <x v="1"/>
    <x v="6"/>
    <x v="234"/>
    <m/>
    <x v="0"/>
    <n v="15538"/>
    <x v="1"/>
    <n v="97"/>
  </r>
  <r>
    <n v="2534"/>
    <x v="2"/>
    <x v="7"/>
    <x v="265"/>
    <m/>
    <x v="0"/>
    <n v="38541"/>
    <x v="1"/>
    <n v="102"/>
  </r>
  <r>
    <n v="2535"/>
    <x v="0"/>
    <x v="0"/>
    <x v="444"/>
    <m/>
    <x v="0"/>
    <n v="26147"/>
    <x v="0"/>
    <n v="610"/>
  </r>
  <r>
    <n v="2536"/>
    <x v="1"/>
    <x v="1"/>
    <x v="585"/>
    <m/>
    <x v="0"/>
    <n v="28650"/>
    <x v="0"/>
    <n v="382"/>
  </r>
  <r>
    <n v="2537"/>
    <x v="2"/>
    <x v="2"/>
    <x v="634"/>
    <m/>
    <x v="0"/>
    <n v="33522"/>
    <x v="0"/>
    <n v="398"/>
  </r>
  <r>
    <n v="2538"/>
    <x v="0"/>
    <x v="3"/>
    <x v="507"/>
    <m/>
    <x v="0"/>
    <n v="49286"/>
    <x v="0"/>
    <n v="427"/>
  </r>
  <r>
    <n v="2539"/>
    <x v="1"/>
    <x v="4"/>
    <x v="13"/>
    <m/>
    <x v="0"/>
    <n v="32994"/>
    <x v="1"/>
    <n v="192"/>
  </r>
  <r>
    <n v="2540"/>
    <x v="2"/>
    <x v="5"/>
    <x v="274"/>
    <d v="2017-05-07T00:00:00"/>
    <x v="1"/>
    <n v="698"/>
    <x v="1"/>
    <n v="26"/>
  </r>
  <r>
    <n v="2541"/>
    <x v="0"/>
    <x v="6"/>
    <x v="24"/>
    <m/>
    <x v="2"/>
    <n v="33228"/>
    <x v="1"/>
    <n v="382"/>
  </r>
  <r>
    <n v="2542"/>
    <x v="1"/>
    <x v="7"/>
    <x v="87"/>
    <m/>
    <x v="0"/>
    <n v="7767"/>
    <x v="1"/>
    <n v="405"/>
  </r>
  <r>
    <n v="2543"/>
    <x v="2"/>
    <x v="0"/>
    <x v="650"/>
    <m/>
    <x v="0"/>
    <n v="4370"/>
    <x v="0"/>
    <n v="177"/>
  </r>
  <r>
    <n v="2544"/>
    <x v="0"/>
    <x v="1"/>
    <x v="299"/>
    <m/>
    <x v="0"/>
    <n v="26113"/>
    <x v="0"/>
    <n v="555"/>
  </r>
  <r>
    <n v="2545"/>
    <x v="1"/>
    <x v="2"/>
    <x v="196"/>
    <m/>
    <x v="0"/>
    <n v="48304"/>
    <x v="0"/>
    <n v="309"/>
  </r>
  <r>
    <n v="2546"/>
    <x v="2"/>
    <x v="3"/>
    <x v="649"/>
    <m/>
    <x v="0"/>
    <n v="9840"/>
    <x v="0"/>
    <n v="275"/>
  </r>
  <r>
    <n v="2547"/>
    <x v="0"/>
    <x v="4"/>
    <x v="316"/>
    <m/>
    <x v="0"/>
    <n v="41689"/>
    <x v="1"/>
    <n v="207"/>
  </r>
  <r>
    <n v="2548"/>
    <x v="1"/>
    <x v="5"/>
    <x v="102"/>
    <m/>
    <x v="0"/>
    <n v="18373"/>
    <x v="1"/>
    <n v="515"/>
  </r>
  <r>
    <n v="2549"/>
    <x v="2"/>
    <x v="6"/>
    <x v="467"/>
    <m/>
    <x v="0"/>
    <n v="54960"/>
    <x v="1"/>
    <n v="215"/>
  </r>
  <r>
    <n v="2550"/>
    <x v="0"/>
    <x v="7"/>
    <x v="584"/>
    <m/>
    <x v="0"/>
    <n v="52696"/>
    <x v="1"/>
    <n v="465"/>
  </r>
  <r>
    <n v="2551"/>
    <x v="1"/>
    <x v="0"/>
    <x v="49"/>
    <m/>
    <x v="0"/>
    <n v="7252"/>
    <x v="0"/>
    <n v="338"/>
  </r>
  <r>
    <n v="2552"/>
    <x v="2"/>
    <x v="1"/>
    <x v="489"/>
    <m/>
    <x v="0"/>
    <n v="13532"/>
    <x v="0"/>
    <n v="132"/>
  </r>
  <r>
    <n v="2553"/>
    <x v="0"/>
    <x v="2"/>
    <x v="595"/>
    <d v="2018-04-09T00:00:00"/>
    <x v="1"/>
    <n v="45664"/>
    <x v="0"/>
    <n v="101"/>
  </r>
  <r>
    <n v="2554"/>
    <x v="1"/>
    <x v="3"/>
    <x v="247"/>
    <m/>
    <x v="2"/>
    <n v="57436"/>
    <x v="0"/>
    <n v="446"/>
  </r>
  <r>
    <n v="2555"/>
    <x v="2"/>
    <x v="4"/>
    <x v="275"/>
    <m/>
    <x v="0"/>
    <n v="18775"/>
    <x v="1"/>
    <n v="142"/>
  </r>
  <r>
    <n v="2556"/>
    <x v="0"/>
    <x v="5"/>
    <x v="314"/>
    <m/>
    <x v="0"/>
    <n v="20004"/>
    <x v="1"/>
    <n v="395"/>
  </r>
  <r>
    <n v="2557"/>
    <x v="1"/>
    <x v="6"/>
    <x v="46"/>
    <m/>
    <x v="0"/>
    <n v="12126"/>
    <x v="1"/>
    <n v="583"/>
  </r>
  <r>
    <n v="2558"/>
    <x v="2"/>
    <x v="7"/>
    <x v="269"/>
    <m/>
    <x v="0"/>
    <n v="22096"/>
    <x v="1"/>
    <n v="208"/>
  </r>
  <r>
    <n v="2559"/>
    <x v="0"/>
    <x v="0"/>
    <x v="132"/>
    <m/>
    <x v="0"/>
    <n v="21409"/>
    <x v="0"/>
    <n v="167"/>
  </r>
  <r>
    <n v="2560"/>
    <x v="1"/>
    <x v="1"/>
    <x v="298"/>
    <m/>
    <x v="0"/>
    <n v="46950"/>
    <x v="0"/>
    <n v="237"/>
  </r>
  <r>
    <n v="2561"/>
    <x v="2"/>
    <x v="2"/>
    <x v="349"/>
    <m/>
    <x v="0"/>
    <n v="31842"/>
    <x v="0"/>
    <n v="281"/>
  </r>
  <r>
    <n v="2562"/>
    <x v="0"/>
    <x v="3"/>
    <x v="448"/>
    <m/>
    <x v="0"/>
    <n v="47111"/>
    <x v="0"/>
    <n v="269"/>
  </r>
  <r>
    <n v="2563"/>
    <x v="1"/>
    <x v="4"/>
    <x v="53"/>
    <m/>
    <x v="0"/>
    <n v="32048"/>
    <x v="1"/>
    <n v="481"/>
  </r>
  <r>
    <n v="2564"/>
    <x v="2"/>
    <x v="5"/>
    <x v="223"/>
    <m/>
    <x v="0"/>
    <n v="59237"/>
    <x v="1"/>
    <n v="597"/>
  </r>
  <r>
    <n v="2565"/>
    <x v="0"/>
    <x v="6"/>
    <x v="373"/>
    <m/>
    <x v="0"/>
    <n v="36500"/>
    <x v="1"/>
    <n v="195"/>
  </r>
  <r>
    <n v="2566"/>
    <x v="1"/>
    <x v="7"/>
    <x v="455"/>
    <d v="2017-02-08T00:00:00"/>
    <x v="1"/>
    <n v="15313"/>
    <x v="1"/>
    <n v="33"/>
  </r>
  <r>
    <n v="2567"/>
    <x v="2"/>
    <x v="0"/>
    <x v="680"/>
    <m/>
    <x v="2"/>
    <n v="26559"/>
    <x v="0"/>
    <n v="564"/>
  </r>
  <r>
    <n v="2568"/>
    <x v="0"/>
    <x v="1"/>
    <x v="673"/>
    <m/>
    <x v="0"/>
    <n v="25759"/>
    <x v="0"/>
    <n v="222"/>
  </r>
  <r>
    <n v="2569"/>
    <x v="1"/>
    <x v="2"/>
    <x v="283"/>
    <m/>
    <x v="0"/>
    <n v="37290"/>
    <x v="0"/>
    <n v="125"/>
  </r>
  <r>
    <n v="2570"/>
    <x v="2"/>
    <x v="3"/>
    <x v="188"/>
    <m/>
    <x v="0"/>
    <n v="18681"/>
    <x v="0"/>
    <n v="276"/>
  </r>
  <r>
    <n v="2571"/>
    <x v="0"/>
    <x v="4"/>
    <x v="155"/>
    <m/>
    <x v="0"/>
    <n v="8583"/>
    <x v="1"/>
    <n v="514"/>
  </r>
  <r>
    <n v="2572"/>
    <x v="1"/>
    <x v="5"/>
    <x v="589"/>
    <m/>
    <x v="0"/>
    <n v="21404"/>
    <x v="1"/>
    <n v="160"/>
  </r>
  <r>
    <n v="2573"/>
    <x v="2"/>
    <x v="6"/>
    <x v="330"/>
    <m/>
    <x v="0"/>
    <n v="42768"/>
    <x v="1"/>
    <n v="490"/>
  </r>
  <r>
    <n v="2574"/>
    <x v="0"/>
    <x v="7"/>
    <x v="597"/>
    <m/>
    <x v="0"/>
    <n v="13063"/>
    <x v="1"/>
    <n v="442"/>
  </r>
  <r>
    <n v="2575"/>
    <x v="1"/>
    <x v="0"/>
    <x v="204"/>
    <m/>
    <x v="0"/>
    <n v="51989"/>
    <x v="0"/>
    <n v="357"/>
  </r>
  <r>
    <n v="2576"/>
    <x v="2"/>
    <x v="1"/>
    <x v="15"/>
    <m/>
    <x v="0"/>
    <n v="52098"/>
    <x v="0"/>
    <n v="496"/>
  </r>
  <r>
    <n v="2577"/>
    <x v="0"/>
    <x v="2"/>
    <x v="542"/>
    <m/>
    <x v="0"/>
    <n v="12590"/>
    <x v="0"/>
    <n v="562"/>
  </r>
  <r>
    <n v="2578"/>
    <x v="1"/>
    <x v="3"/>
    <x v="522"/>
    <m/>
    <x v="0"/>
    <n v="15046"/>
    <x v="0"/>
    <n v="108"/>
  </r>
  <r>
    <n v="2579"/>
    <x v="2"/>
    <x v="4"/>
    <x v="495"/>
    <d v="2017-02-14T00:00:00"/>
    <x v="1"/>
    <n v="1982"/>
    <x v="1"/>
    <n v="57"/>
  </r>
  <r>
    <n v="2580"/>
    <x v="0"/>
    <x v="5"/>
    <x v="234"/>
    <m/>
    <x v="2"/>
    <n v="2258"/>
    <x v="1"/>
    <n v="97"/>
  </r>
  <r>
    <n v="2581"/>
    <x v="1"/>
    <x v="6"/>
    <x v="435"/>
    <m/>
    <x v="0"/>
    <n v="27766"/>
    <x v="1"/>
    <n v="452"/>
  </r>
  <r>
    <n v="2582"/>
    <x v="2"/>
    <x v="7"/>
    <x v="611"/>
    <m/>
    <x v="0"/>
    <n v="20661"/>
    <x v="1"/>
    <n v="406"/>
  </r>
  <r>
    <n v="2583"/>
    <x v="0"/>
    <x v="0"/>
    <x v="401"/>
    <m/>
    <x v="0"/>
    <n v="12229"/>
    <x v="0"/>
    <n v="392"/>
  </r>
  <r>
    <n v="2584"/>
    <x v="1"/>
    <x v="1"/>
    <x v="180"/>
    <m/>
    <x v="0"/>
    <n v="2677"/>
    <x v="0"/>
    <n v="258"/>
  </r>
  <r>
    <n v="2585"/>
    <x v="2"/>
    <x v="2"/>
    <x v="171"/>
    <m/>
    <x v="0"/>
    <n v="17258"/>
    <x v="0"/>
    <n v="227"/>
  </r>
  <r>
    <n v="2586"/>
    <x v="0"/>
    <x v="3"/>
    <x v="637"/>
    <m/>
    <x v="0"/>
    <n v="59319"/>
    <x v="0"/>
    <n v="106"/>
  </r>
  <r>
    <n v="2587"/>
    <x v="1"/>
    <x v="4"/>
    <x v="426"/>
    <m/>
    <x v="0"/>
    <n v="36295"/>
    <x v="1"/>
    <n v="176"/>
  </r>
  <r>
    <n v="2588"/>
    <x v="2"/>
    <x v="5"/>
    <x v="476"/>
    <m/>
    <x v="0"/>
    <n v="40032"/>
    <x v="1"/>
    <n v="1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7" cacheId="7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outline="1" outlineData="1" multipleFieldFilters="0" rowHeaderCaption="Status">
  <location ref="I10:J11" firstHeaderRow="1" firstDataRow="1" firstDataCol="1"/>
  <pivotFields count="11">
    <pivotField dataField="1"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showAll="0" defaultSubtota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1">
    <i>
      <x v="4"/>
    </i>
  </rowItems>
  <colItems count="1">
    <i/>
  </colItems>
  <dataFields count="1">
    <dataField name="Qtd" fld="0" subtotal="count" baseField="1" baseItem="0"/>
  </dataFields>
  <formats count="5">
    <format dxfId="2023">
      <pivotArea type="all" dataOnly="0" outline="0" fieldPosition="0"/>
    </format>
    <format dxfId="2024">
      <pivotArea outline="0" collapsedLevelsAreSubtotals="1" fieldPosition="0"/>
    </format>
    <format dxfId="2025">
      <pivotArea field="5" type="button" dataOnly="0" labelOnly="1" outline="0" axis="axisRow" fieldPosition="0"/>
    </format>
    <format dxfId="2026">
      <pivotArea dataOnly="0" labelOnly="1" outline="0" axis="axisValues" fieldPosition="0"/>
    </format>
    <format dxfId="2027">
      <pivotArea dataOnly="0" labelOnly="1" fieldPosition="0">
        <references count="1">
          <reference field="5" count="0"/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" rowHeaderCaption="Departamento">
  <location ref="E20:F23" firstHeaderRow="1" firstDataRow="1" firstDataCol="1" rowPageCount="1" colPageCount="1"/>
  <pivotFields count="11"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7">
        <item h="1" m="1" x="4"/>
        <item h="1" m="1" x="3"/>
        <item h="1" m="1" x="5"/>
        <item x="1"/>
        <item h="1" x="0"/>
        <item h="1" x="2"/>
        <item t="default"/>
      </items>
    </pivotField>
    <pivotField dataField="1" numFmtId="44" showAll="0"/>
    <pivotField axis="axisRow" showAll="0" defaultSubtotal="0">
      <items count="2">
        <item x="0"/>
        <item x="1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Soma de Valor" fld="6" baseField="1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1" rowHeaderCaption="Departamento">
  <location ref="B20:C24" firstHeaderRow="1" firstDataRow="1" firstDataCol="1" rowPageCount="1" colPageCount="1"/>
  <pivotFields count="11">
    <pivotField showAll="0"/>
    <pivotField axis="axisRow" showAll="0">
      <items count="5">
        <item x="1"/>
        <item m="1" x="3"/>
        <item x="2"/>
        <item x="0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7">
        <item h="1" m="1" x="4"/>
        <item h="1" m="1" x="3"/>
        <item h="1" m="1" x="5"/>
        <item x="1"/>
        <item h="1" x="0"/>
        <item h="1" x="2"/>
        <item t="default"/>
      </items>
    </pivotField>
    <pivotField dataField="1" numFmtId="44" showAll="0"/>
    <pivotField showAll="0" defaultSubtota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1"/>
  </rowFields>
  <rowItems count="4">
    <i>
      <x/>
    </i>
    <i>
      <x v="2"/>
    </i>
    <i>
      <x v="3"/>
    </i>
    <i t="grand">
      <x/>
    </i>
  </rowItems>
  <colItems count="1">
    <i/>
  </colItems>
  <pageFields count="1">
    <pageField fld="5" hier="-1"/>
  </pageFields>
  <dataFields count="1">
    <dataField name="Soma de Valor" fld="6" baseField="1" baseItem="3" numFmtId="165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8" rowHeaderCaption="Departamento">
  <location ref="B4:C8" firstHeaderRow="1" firstDataRow="1" firstDataCol="1"/>
  <pivotFields count="11">
    <pivotField dataField="1" showAll="0"/>
    <pivotField axis="axisRow" showAll="0">
      <items count="5">
        <item x="1"/>
        <item m="1" x="3"/>
        <item x="2"/>
        <item x="0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showAll="0" defaultSubtota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1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Qtd" fld="0" subtotal="count" baseField="1" baseItem="0"/>
  </dataFields>
  <chartFormats count="4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3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 rowHeaderCaption="Gestor">
  <location ref="I4:J7" firstHeaderRow="1" firstDataRow="1" firstDataCol="1"/>
  <pivotFields count="11">
    <pivotField dataField="1"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axis="axisRow" showAll="0" defaultSubtotal="0">
      <items count="2">
        <item x="0"/>
        <item x="1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Qtd" fld="0" subtotal="count" baseField="1" baseItem="0"/>
  </dataFields>
  <chartFormats count="3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0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9" rowHeaderCaption="Gestor">
  <location ref="E37:F40" firstHeaderRow="1" firstDataRow="1" firstDataCol="1" rowPageCount="1" colPageCount="1"/>
  <pivotFields count="11"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axis="axisRow" showAll="0" defaultSubtotal="0">
      <items count="2">
        <item x="0"/>
        <item x="1"/>
      </items>
    </pivotField>
    <pivotField dataField="1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Média de Tempo" fld="8" subtotal="average" baseField="1" baseItem="0" numFmtId="1"/>
  </dataFields>
  <chartFormats count="7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2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dvogados">
  <location ref="S3:T12" firstHeaderRow="1" firstDataRow="1" firstDataCol="1"/>
  <pivotFields count="11">
    <pivotField dataField="1" showAll="0"/>
    <pivotField showAll="0"/>
    <pivotField axis="axisRow" showAll="0">
      <items count="10">
        <item x="2"/>
        <item x="5"/>
        <item x="3"/>
        <item x="4"/>
        <item m="1" x="8"/>
        <item x="1"/>
        <item x="6"/>
        <item x="7"/>
        <item x="0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showAll="0" defaultSubtota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Processos" fld="0" subtotal="count" baseField="1" baseItem="0"/>
  </dataFields>
  <formats count="26">
    <format dxfId="2028">
      <pivotArea type="all" dataOnly="0" outline="0" fieldPosition="0"/>
    </format>
    <format dxfId="2029">
      <pivotArea field="2" type="button" dataOnly="0" labelOnly="1" outline="0" axis="axisRow" fieldPosition="0"/>
    </format>
    <format dxfId="2030">
      <pivotArea dataOnly="0" labelOnly="1" outline="0" axis="axisValues" fieldPosition="0"/>
    </format>
    <format dxfId="2031">
      <pivotArea field="2" type="button" dataOnly="0" labelOnly="1" outline="0" axis="axisRow" fieldPosition="0"/>
    </format>
    <format dxfId="2032">
      <pivotArea dataOnly="0" labelOnly="1" outline="0" axis="axisValues" fieldPosition="0"/>
    </format>
    <format dxfId="2033">
      <pivotArea type="all" dataOnly="0" outline="0" fieldPosition="0"/>
    </format>
    <format dxfId="2034">
      <pivotArea outline="0" collapsedLevelsAreSubtotals="1" fieldPosition="0"/>
    </format>
    <format dxfId="2035">
      <pivotArea type="all" dataOnly="0" outline="0" fieldPosition="0"/>
    </format>
    <format dxfId="2036">
      <pivotArea outline="0" collapsedLevelsAreSubtotals="1" fieldPosition="0"/>
    </format>
    <format dxfId="2037">
      <pivotArea field="2" type="button" dataOnly="0" labelOnly="1" outline="0" axis="axisRow" fieldPosition="0"/>
    </format>
    <format dxfId="2038">
      <pivotArea dataOnly="0" labelOnly="1" outline="0" axis="axisValues" fieldPosition="0"/>
    </format>
    <format dxfId="2039">
      <pivotArea dataOnly="0" labelOnly="1" fieldPosition="0">
        <references count="1">
          <reference field="2" count="0"/>
        </references>
      </pivotArea>
    </format>
    <format dxfId="2040">
      <pivotArea dataOnly="0" labelOnly="1" grandRow="1" outline="0" fieldPosition="0"/>
    </format>
    <format dxfId="2041">
      <pivotArea outline="0" collapsedLevelsAreSubtotals="1" fieldPosition="0"/>
    </format>
    <format dxfId="2042">
      <pivotArea type="all" dataOnly="0" outline="0" fieldPosition="0"/>
    </format>
    <format dxfId="2043">
      <pivotArea outline="0" collapsedLevelsAreSubtotals="1" fieldPosition="0"/>
    </format>
    <format dxfId="2044">
      <pivotArea field="2" type="button" dataOnly="0" labelOnly="1" outline="0" axis="axisRow" fieldPosition="0"/>
    </format>
    <format dxfId="2045">
      <pivotArea dataOnly="0" labelOnly="1" outline="0" axis="axisValues" fieldPosition="0"/>
    </format>
    <format dxfId="2046">
      <pivotArea dataOnly="0" labelOnly="1" fieldPosition="0">
        <references count="1">
          <reference field="2" count="0"/>
        </references>
      </pivotArea>
    </format>
    <format dxfId="2047">
      <pivotArea dataOnly="0" labelOnly="1" grandRow="1" outline="0" fieldPosition="0"/>
    </format>
    <format dxfId="2048">
      <pivotArea type="all" dataOnly="0" outline="0" fieldPosition="0"/>
    </format>
    <format dxfId="2049">
      <pivotArea outline="0" collapsedLevelsAreSubtotals="1" fieldPosition="0"/>
    </format>
    <format dxfId="2050">
      <pivotArea field="2" type="button" dataOnly="0" labelOnly="1" outline="0" axis="axisRow" fieldPosition="0"/>
    </format>
    <format dxfId="2051">
      <pivotArea dataOnly="0" labelOnly="1" outline="0" axis="axisValues" fieldPosition="0"/>
    </format>
    <format dxfId="2052">
      <pivotArea dataOnly="0" labelOnly="1" fieldPosition="0">
        <references count="1">
          <reference field="2" count="0"/>
        </references>
      </pivotArea>
    </format>
    <format dxfId="2053">
      <pivotArea dataOnly="0" labelOnly="1" grandRow="1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9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7" rowHeaderCaption="Gestor">
  <location ref="B37:C41" firstHeaderRow="1" firstDataRow="1" firstDataCol="1" rowPageCount="1" colPageCount="1"/>
  <pivotFields count="11">
    <pivotField showAll="0"/>
    <pivotField axis="axisRow" showAll="0">
      <items count="5">
        <item x="1"/>
        <item m="1" x="3"/>
        <item x="2"/>
        <item x="0"/>
        <item t="default"/>
      </items>
    </pivotField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numFmtId="44" showAll="0"/>
    <pivotField showAll="0" defaultSubtotal="0"/>
    <pivotField dataField="1"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5">
        <item x="0"/>
        <item x="1"/>
        <item x="2"/>
        <item x="3"/>
        <item x="4"/>
      </items>
    </pivotField>
  </pivotFields>
  <rowFields count="1">
    <field x="1"/>
  </rowFields>
  <rowItems count="4">
    <i>
      <x/>
    </i>
    <i>
      <x v="2"/>
    </i>
    <i>
      <x v="3"/>
    </i>
    <i t="grand">
      <x/>
    </i>
  </rowItems>
  <colItems count="1">
    <i/>
  </colItems>
  <pageFields count="1">
    <pageField fld="5" hier="-1"/>
  </pageFields>
  <dataFields count="1">
    <dataField name="Média de Tempo" fld="8" subtotal="average" baseField="1" baseItem="0" numFmtId="1"/>
  </dataFields>
  <chartFormats count="3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8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8" rowHeaderCaption="Advogado">
  <location ref="N27:O30" firstHeaderRow="1" firstDataRow="1" firstDataCol="1"/>
  <pivotFields count="11">
    <pivotField showAll="0"/>
    <pivotField showAll="0"/>
    <pivotField showAll="0">
      <items count="10">
        <item x="2"/>
        <item x="5"/>
        <item x="3"/>
        <item x="4"/>
        <item m="1" x="8"/>
        <item x="1"/>
        <item x="6"/>
        <item x="7"/>
        <item x="0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7">
        <item h="1" x="2"/>
        <item h="1" m="1" x="4"/>
        <item h="1" m="1" x="3"/>
        <item h="1" m="1" x="5"/>
        <item x="1"/>
        <item h="1" x="0"/>
        <item t="default"/>
      </items>
    </pivotField>
    <pivotField dataField="1" numFmtId="44" showAll="0"/>
    <pivotField showAll="0" defaultSubtotal="0"/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5">
        <item x="0"/>
        <item x="1"/>
        <item x="2"/>
        <item x="3"/>
        <item x="4"/>
      </items>
    </pivotField>
  </pivotFields>
  <rowFields count="1">
    <field x="10"/>
  </rowFields>
  <rowItems count="3">
    <i>
      <x v="1"/>
    </i>
    <i>
      <x v="2"/>
    </i>
    <i t="grand">
      <x/>
    </i>
  </rowItems>
  <colItems count="1">
    <i/>
  </colItems>
  <dataFields count="1">
    <dataField name="Soma de Valor" fld="6" baseField="10" baseItem="1" numFmtId="44"/>
  </dataFields>
  <formats count="17">
    <format dxfId="2006">
      <pivotArea type="all" dataOnly="0" outline="0" fieldPosition="0"/>
    </format>
    <format dxfId="2007">
      <pivotArea field="2" type="button" dataOnly="0" labelOnly="1" outline="0"/>
    </format>
    <format dxfId="2008">
      <pivotArea dataOnly="0" labelOnly="1" outline="0" axis="axisValues" fieldPosition="0"/>
    </format>
    <format dxfId="2009">
      <pivotArea field="2" type="button" dataOnly="0" labelOnly="1" outline="0"/>
    </format>
    <format dxfId="2010">
      <pivotArea dataOnly="0" labelOnly="1" outline="0" axis="axisValues" fieldPosition="0"/>
    </format>
    <format dxfId="2011">
      <pivotArea type="all" dataOnly="0" outline="0" fieldPosition="0"/>
    </format>
    <format dxfId="2012">
      <pivotArea outline="0" collapsedLevelsAreSubtotals="1" fieldPosition="0"/>
    </format>
    <format dxfId="2013">
      <pivotArea field="2" type="button" dataOnly="0" labelOnly="1" outline="0"/>
    </format>
    <format dxfId="2014">
      <pivotArea dataOnly="0" labelOnly="1" outline="0" axis="axisValues" fieldPosition="0"/>
    </format>
    <format dxfId="2015">
      <pivotArea dataOnly="0" labelOnly="1" grandRow="1" outline="0" fieldPosition="0"/>
    </format>
    <format dxfId="2016">
      <pivotArea type="all" dataOnly="0" outline="0" fieldPosition="0"/>
    </format>
    <format dxfId="2017">
      <pivotArea outline="0" collapsedLevelsAreSubtotals="1" fieldPosition="0"/>
    </format>
    <format dxfId="2018">
      <pivotArea field="2" type="button" dataOnly="0" labelOnly="1" outline="0"/>
    </format>
    <format dxfId="2019">
      <pivotArea dataOnly="0" labelOnly="1" outline="0" axis="axisValues" fieldPosition="0"/>
    </format>
    <format dxfId="2020">
      <pivotArea dataOnly="0" labelOnly="1" grandRow="1" outline="0" fieldPosition="0"/>
    </format>
    <format dxfId="2021">
      <pivotArea outline="0" collapsedLevelsAreSubtotals="1" fieldPosition="0"/>
    </format>
    <format dxfId="202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s" sourceName="Anos">
  <pivotTables>
    <pivotTable tabId="2" name="Tabela dinâmica2"/>
    <pivotTable tabId="2" name="Tabela dinâmica1"/>
    <pivotTable tabId="2" name="Tabela dinâmica3"/>
    <pivotTable tabId="2" name="Tabela dinâmica4"/>
    <pivotTable tabId="2" name="Tabela dinâmica5"/>
    <pivotTable tabId="2" name="Tabela dinâmica7"/>
    <pivotTable tabId="2" name="Tabela dinâmica8"/>
    <pivotTable tabId="2" name="Tabela dinâmica9"/>
    <pivotTable tabId="2" name="Tabela dinâmica10"/>
  </pivotTables>
  <data>
    <tabular pivotCacheId="1">
      <items count="5">
        <i x="1" s="1"/>
        <i x="2" s="1"/>
        <i x="0" s="1" nd="1"/>
        <i x="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" sourceName="Status">
  <pivotTables>
    <pivotTable tabId="2" name="Tabela dinâmica2"/>
    <pivotTable tabId="2" name="Tabela dinâmica1"/>
    <pivotTable tabId="2" name="Tabela dinâmica10"/>
    <pivotTable tabId="2" name="Tabela dinâmica3"/>
    <pivotTable tabId="2" name="Tabela dinâmica4"/>
    <pivotTable tabId="2" name="Tabela dinâmica5"/>
    <pivotTable tabId="2" name="Tabela dinâmica7"/>
    <pivotTable tabId="2" name="Tabela dinâmica8"/>
    <pivotTable tabId="2" name="Tabela dinâmica9"/>
  </pivotTables>
  <data>
    <tabular pivotCacheId="1">
      <items count="6">
        <i x="2"/>
        <i x="1" s="1"/>
        <i x="0"/>
        <i x="4" nd="1"/>
        <i x="3" nd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2" name="Tabela dinâmica2"/>
    <pivotTable tabId="2" name="Tabela dinâmica1"/>
    <pivotTable tabId="2" name="Tabela dinâmica3"/>
    <pivotTable tabId="2" name="Tabela dinâmica4"/>
    <pivotTable tabId="2" name="Tabela dinâmica5"/>
    <pivotTable tabId="2" name="Tabela dinâmica7"/>
    <pivotTable tabId="2" name="Tabela dinâmica8"/>
    <pivotTable tabId="2" name="Tabela dinâmica9"/>
    <pivotTable tabId="2" name="Tabela dinâmica10"/>
  </pivotTables>
  <data>
    <tabular pivotCacheId="1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nos" cache="SegmentaçãodeDados_Anos" caption="Anos" columnCount="2" rowHeight="257175"/>
  <slicer name="Status" cache="SegmentaçãodeDados_Status" caption="Status" rowHeight="257175"/>
  <slicer name="Meses" cache="SegmentaçãodeDados_Meses" caption="Meses" columnCount="12" rowHeight="252000"/>
</slicers>
</file>

<file path=xl/tables/table1.xml><?xml version="1.0" encoding="utf-8"?>
<table xmlns="http://schemas.openxmlformats.org/spreadsheetml/2006/main" id="1" name="Tabela1" displayName="Tabela1" ref="B3:J2481" totalsRowShown="0" headerRowDxfId="3987" dataDxfId="3986">
  <autoFilter ref="B3:J2481"/>
  <tableColumns count="9">
    <tableColumn id="1" name="Processo" dataDxfId="3985"/>
    <tableColumn id="2" name="Departamento" dataDxfId="3984"/>
    <tableColumn id="3" name="Advogado" dataDxfId="3983"/>
    <tableColumn id="4" name="Data de entrada" dataDxfId="3982"/>
    <tableColumn id="5" name="Data de conclusão" dataDxfId="3981"/>
    <tableColumn id="6" name="Status" dataDxfId="3980"/>
    <tableColumn id="7" name="Valor" dataDxfId="3979" dataCellStyle="Moeda"/>
    <tableColumn id="8" name="Gestor" dataDxfId="3978">
      <calculatedColumnFormula>VLOOKUP(Tabela1[[#This Row],[Advogado]],Tabela2[],2,FALSE)</calculatedColumnFormula>
    </tableColumn>
    <tableColumn id="9" name="Tempo" dataDxfId="3977">
      <calculatedColumnFormula>IF(Tabela1[[#This Row],[Data de conclusão]]="",NETWORKDAYS(Tabela1[[#This Row],[Data de entrada]],$J$2),NETWORKDAYS(Tabela1[[#This Row],[Data de entrada]],Tabela1[[#This Row],[Data de conclusão]]))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L3:M11" totalsRowShown="0">
  <autoFilter ref="L3:M11"/>
  <tableColumns count="2">
    <tableColumn id="1" name="Advogado"/>
    <tableColumn id="2" name="Gesto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P2481"/>
  <sheetViews>
    <sheetView zoomScale="110" zoomScaleNormal="110" workbookViewId="0">
      <selection activeCell="G7" sqref="G7"/>
    </sheetView>
  </sheetViews>
  <sheetFormatPr defaultRowHeight="15" x14ac:dyDescent="0.25"/>
  <cols>
    <col min="2" max="2" width="11.140625" style="1" bestFit="1" customWidth="1"/>
    <col min="3" max="3" width="16.28515625" style="1" bestFit="1" customWidth="1"/>
    <col min="4" max="4" width="15.7109375" style="1" bestFit="1" customWidth="1"/>
    <col min="5" max="5" width="16.42578125" style="2" customWidth="1"/>
    <col min="6" max="6" width="19.28515625" style="2" bestFit="1" customWidth="1"/>
    <col min="7" max="7" width="25.28515625" style="1" bestFit="1" customWidth="1"/>
    <col min="8" max="8" width="10.7109375" style="6" bestFit="1" customWidth="1"/>
    <col min="9" max="9" width="11.85546875" style="1" bestFit="1" customWidth="1"/>
    <col min="10" max="10" width="15.7109375" style="1" bestFit="1" customWidth="1"/>
    <col min="11" max="11" width="15.7109375" bestFit="1" customWidth="1"/>
    <col min="12" max="13" width="14.85546875" bestFit="1" customWidth="1"/>
  </cols>
  <sheetData>
    <row r="2" spans="2:16" x14ac:dyDescent="0.25">
      <c r="J2" s="2">
        <v>43235</v>
      </c>
    </row>
    <row r="3" spans="2:16" x14ac:dyDescent="0.25">
      <c r="B3" s="3" t="s">
        <v>0</v>
      </c>
      <c r="C3" s="3" t="s">
        <v>1</v>
      </c>
      <c r="D3" s="3" t="s">
        <v>4</v>
      </c>
      <c r="E3" s="4" t="s">
        <v>20</v>
      </c>
      <c r="F3" s="4" t="s">
        <v>5</v>
      </c>
      <c r="G3" s="3" t="s">
        <v>3</v>
      </c>
      <c r="H3" s="5" t="s">
        <v>6</v>
      </c>
      <c r="I3" s="3" t="s">
        <v>2</v>
      </c>
      <c r="J3" s="3" t="s">
        <v>30</v>
      </c>
      <c r="K3" s="1"/>
      <c r="L3" t="s">
        <v>4</v>
      </c>
      <c r="M3" t="s">
        <v>2</v>
      </c>
    </row>
    <row r="4" spans="2:16" x14ac:dyDescent="0.25">
      <c r="B4" s="3">
        <v>111</v>
      </c>
      <c r="C4" s="3" t="s">
        <v>7</v>
      </c>
      <c r="D4" s="3" t="s">
        <v>10</v>
      </c>
      <c r="E4" s="4">
        <v>42567</v>
      </c>
      <c r="F4" s="4"/>
      <c r="G4" s="3" t="s">
        <v>29</v>
      </c>
      <c r="H4" s="5">
        <v>19175</v>
      </c>
      <c r="I4" s="3" t="str">
        <f>VLOOKUP(Tabela1[[#This Row],[Advogado]],Tabela2[],2,FALSE)</f>
        <v>Caio Brito</v>
      </c>
      <c r="J4" s="17">
        <f>IF(Tabela1[[#This Row],[Data de conclusão]]="",NETWORKDAYS(Tabela1[[#This Row],[Data de entrada]],$J$2),NETWORKDAYS(Tabela1[[#This Row],[Data de entrada]],Tabela1[[#This Row],[Data de conclusão]]))</f>
        <v>477</v>
      </c>
      <c r="K4" s="1"/>
      <c r="L4" t="s">
        <v>10</v>
      </c>
      <c r="M4" t="s">
        <v>18</v>
      </c>
      <c r="O4">
        <v>600</v>
      </c>
    </row>
    <row r="5" spans="2:16" x14ac:dyDescent="0.25">
      <c r="B5" s="3">
        <v>112</v>
      </c>
      <c r="C5" s="3" t="s">
        <v>8</v>
      </c>
      <c r="D5" s="3" t="s">
        <v>11</v>
      </c>
      <c r="E5" s="4">
        <v>42881</v>
      </c>
      <c r="F5" s="4"/>
      <c r="G5" s="3" t="s">
        <v>29</v>
      </c>
      <c r="H5" s="5">
        <v>58611</v>
      </c>
      <c r="I5" s="3" t="str">
        <f>VLOOKUP(Tabela1[[#This Row],[Advogado]],Tabela2[],2,FALSE)</f>
        <v>Caio Brito</v>
      </c>
      <c r="J5" s="17">
        <f>IF(Tabela1[[#This Row],[Data de conclusão]]="",NETWORKDAYS(Tabela1[[#This Row],[Data de entrada]],$J$2),NETWORKDAYS(Tabela1[[#This Row],[Data de entrada]],Tabela1[[#This Row],[Data de conclusão]]))</f>
        <v>253</v>
      </c>
      <c r="K5" s="1"/>
      <c r="L5" t="s">
        <v>11</v>
      </c>
      <c r="M5" t="s">
        <v>18</v>
      </c>
      <c r="O5">
        <v>60000</v>
      </c>
    </row>
    <row r="6" spans="2:16" x14ac:dyDescent="0.25">
      <c r="B6" s="3">
        <v>113</v>
      </c>
      <c r="C6" s="3" t="s">
        <v>9</v>
      </c>
      <c r="D6" s="3" t="s">
        <v>12</v>
      </c>
      <c r="E6" s="4">
        <v>42937</v>
      </c>
      <c r="F6" s="4"/>
      <c r="G6" s="3" t="s">
        <v>29</v>
      </c>
      <c r="H6" s="5">
        <v>35813</v>
      </c>
      <c r="I6" s="3" t="str">
        <f>VLOOKUP(Tabela1[[#This Row],[Advogado]],Tabela2[],2,FALSE)</f>
        <v>Caio Brito</v>
      </c>
      <c r="J6" s="17">
        <f>IF(Tabela1[[#This Row],[Data de conclusão]]="",NETWORKDAYS(Tabela1[[#This Row],[Data de entrada]],$J$2),NETWORKDAYS(Tabela1[[#This Row],[Data de entrada]],Tabela1[[#This Row],[Data de conclusão]]))</f>
        <v>213</v>
      </c>
      <c r="K6" s="1"/>
      <c r="L6" t="s">
        <v>12</v>
      </c>
      <c r="M6" t="s">
        <v>18</v>
      </c>
      <c r="P6">
        <v>0.3</v>
      </c>
    </row>
    <row r="7" spans="2:16" x14ac:dyDescent="0.25">
      <c r="B7" s="3">
        <v>114</v>
      </c>
      <c r="C7" s="3" t="s">
        <v>7</v>
      </c>
      <c r="D7" s="3" t="s">
        <v>13</v>
      </c>
      <c r="E7" s="4">
        <v>42441</v>
      </c>
      <c r="F7" s="4"/>
      <c r="G7" s="3" t="s">
        <v>29</v>
      </c>
      <c r="H7" s="5">
        <v>32114</v>
      </c>
      <c r="I7" s="3" t="str">
        <f>VLOOKUP(Tabela1[[#This Row],[Advogado]],Tabela2[],2,FALSE)</f>
        <v>Caio Brito</v>
      </c>
      <c r="J7" s="17">
        <f>IF(Tabela1[[#This Row],[Data de conclusão]]="",NETWORKDAYS(Tabela1[[#This Row],[Data de entrada]],$J$2),NETWORKDAYS(Tabela1[[#This Row],[Data de entrada]],Tabela1[[#This Row],[Data de conclusão]]))</f>
        <v>567</v>
      </c>
      <c r="K7" s="1"/>
      <c r="L7" t="s">
        <v>13</v>
      </c>
      <c r="M7" t="s">
        <v>18</v>
      </c>
    </row>
    <row r="8" spans="2:16" x14ac:dyDescent="0.25">
      <c r="B8" s="3">
        <v>115</v>
      </c>
      <c r="C8" s="3" t="s">
        <v>8</v>
      </c>
      <c r="D8" s="3" t="s">
        <v>14</v>
      </c>
      <c r="E8" s="4">
        <v>42870</v>
      </c>
      <c r="F8" s="4"/>
      <c r="G8" s="3" t="s">
        <v>29</v>
      </c>
      <c r="H8" s="5">
        <v>35616</v>
      </c>
      <c r="I8" s="3" t="str">
        <f>VLOOKUP(Tabela1[[#This Row],[Advogado]],Tabela2[],2,FALSE)</f>
        <v>Renê Amaranto</v>
      </c>
      <c r="J8" s="17">
        <f>IF(Tabela1[[#This Row],[Data de conclusão]]="",NETWORKDAYS(Tabela1[[#This Row],[Data de entrada]],$J$2),NETWORKDAYS(Tabela1[[#This Row],[Data de entrada]],Tabela1[[#This Row],[Data de conclusão]]))</f>
        <v>262</v>
      </c>
      <c r="K8" s="1"/>
      <c r="L8" t="s">
        <v>14</v>
      </c>
      <c r="M8" t="s">
        <v>19</v>
      </c>
    </row>
    <row r="9" spans="2:16" x14ac:dyDescent="0.25">
      <c r="B9" s="3">
        <v>116</v>
      </c>
      <c r="C9" s="3" t="s">
        <v>9</v>
      </c>
      <c r="D9" s="3" t="s">
        <v>15</v>
      </c>
      <c r="E9" s="4">
        <v>42710</v>
      </c>
      <c r="F9" s="4"/>
      <c r="G9" s="3" t="s">
        <v>29</v>
      </c>
      <c r="H9" s="5">
        <v>3544</v>
      </c>
      <c r="I9" s="3" t="str">
        <f>VLOOKUP(Tabela1[[#This Row],[Advogado]],Tabela2[],2,FALSE)</f>
        <v>Renê Amaranto</v>
      </c>
      <c r="J9" s="17">
        <f>IF(Tabela1[[#This Row],[Data de conclusão]]="",NETWORKDAYS(Tabela1[[#This Row],[Data de entrada]],$J$2),NETWORKDAYS(Tabela1[[#This Row],[Data de entrada]],Tabela1[[#This Row],[Data de conclusão]]))</f>
        <v>376</v>
      </c>
      <c r="K9" s="1"/>
      <c r="L9" t="s">
        <v>15</v>
      </c>
      <c r="M9" t="s">
        <v>19</v>
      </c>
    </row>
    <row r="10" spans="2:16" x14ac:dyDescent="0.25">
      <c r="B10" s="3">
        <v>117</v>
      </c>
      <c r="C10" s="3" t="s">
        <v>7</v>
      </c>
      <c r="D10" s="3" t="s">
        <v>16</v>
      </c>
      <c r="E10" s="4">
        <v>42671</v>
      </c>
      <c r="F10" s="4"/>
      <c r="G10" s="3" t="s">
        <v>29</v>
      </c>
      <c r="H10" s="5">
        <v>44884</v>
      </c>
      <c r="I10" s="3" t="str">
        <f>VLOOKUP(Tabela1[[#This Row],[Advogado]],Tabela2[],2,FALSE)</f>
        <v>Renê Amaranto</v>
      </c>
      <c r="J10" s="17">
        <f>IF(Tabela1[[#This Row],[Data de conclusão]]="",NETWORKDAYS(Tabela1[[#This Row],[Data de entrada]],$J$2),NETWORKDAYS(Tabela1[[#This Row],[Data de entrada]],Tabela1[[#This Row],[Data de conclusão]]))</f>
        <v>403</v>
      </c>
      <c r="K10" s="1"/>
      <c r="L10" t="s">
        <v>16</v>
      </c>
      <c r="M10" t="s">
        <v>19</v>
      </c>
    </row>
    <row r="11" spans="2:16" x14ac:dyDescent="0.25">
      <c r="B11" s="3">
        <v>118</v>
      </c>
      <c r="C11" s="3" t="s">
        <v>8</v>
      </c>
      <c r="D11" s="3" t="s">
        <v>17</v>
      </c>
      <c r="E11" s="4">
        <v>42711</v>
      </c>
      <c r="F11" s="4"/>
      <c r="G11" s="3" t="s">
        <v>29</v>
      </c>
      <c r="H11" s="5">
        <v>22334</v>
      </c>
      <c r="I11" s="3" t="str">
        <f>VLOOKUP(Tabela1[[#This Row],[Advogado]],Tabela2[],2,FALSE)</f>
        <v>Renê Amaranto</v>
      </c>
      <c r="J11" s="17">
        <f>IF(Tabela1[[#This Row],[Data de conclusão]]="",NETWORKDAYS(Tabela1[[#This Row],[Data de entrada]],$J$2),NETWORKDAYS(Tabela1[[#This Row],[Data de entrada]],Tabela1[[#This Row],[Data de conclusão]]))</f>
        <v>375</v>
      </c>
      <c r="K11" s="1"/>
      <c r="L11" t="s">
        <v>17</v>
      </c>
      <c r="M11" t="s">
        <v>19</v>
      </c>
    </row>
    <row r="12" spans="2:16" x14ac:dyDescent="0.25">
      <c r="B12" s="3">
        <v>119</v>
      </c>
      <c r="C12" s="3" t="s">
        <v>9</v>
      </c>
      <c r="D12" s="3" t="s">
        <v>10</v>
      </c>
      <c r="E12" s="4">
        <v>42734</v>
      </c>
      <c r="F12" s="4"/>
      <c r="G12" s="3" t="s">
        <v>29</v>
      </c>
      <c r="H12" s="5">
        <v>54216</v>
      </c>
      <c r="I12" s="3" t="str">
        <f>VLOOKUP(Tabela1[[#This Row],[Advogado]],Tabela2[],2,FALSE)</f>
        <v>Caio Brito</v>
      </c>
      <c r="J12" s="17">
        <f>IF(Tabela1[[#This Row],[Data de conclusão]]="",NETWORKDAYS(Tabela1[[#This Row],[Data de entrada]],$J$2),NETWORKDAYS(Tabela1[[#This Row],[Data de entrada]],Tabela1[[#This Row],[Data de conclusão]]))</f>
        <v>358</v>
      </c>
      <c r="K12" s="1"/>
    </row>
    <row r="13" spans="2:16" ht="15" customHeight="1" x14ac:dyDescent="0.25">
      <c r="B13" s="3">
        <v>120</v>
      </c>
      <c r="C13" s="3" t="s">
        <v>7</v>
      </c>
      <c r="D13" s="3" t="s">
        <v>11</v>
      </c>
      <c r="E13" s="4">
        <v>42398</v>
      </c>
      <c r="F13" s="4"/>
      <c r="G13" s="3" t="s">
        <v>29</v>
      </c>
      <c r="H13" s="5">
        <v>38022</v>
      </c>
      <c r="I13" s="3" t="str">
        <f>VLOOKUP(Tabela1[[#This Row],[Advogado]],Tabela2[],2,FALSE)</f>
        <v>Caio Brito</v>
      </c>
      <c r="J13" s="17">
        <f>IF(Tabela1[[#This Row],[Data de conclusão]]="",NETWORKDAYS(Tabela1[[#This Row],[Data de entrada]],$J$2),NETWORKDAYS(Tabela1[[#This Row],[Data de entrada]],Tabela1[[#This Row],[Data de conclusão]]))</f>
        <v>598</v>
      </c>
      <c r="K13" s="1"/>
      <c r="L13" s="23" t="s">
        <v>21</v>
      </c>
      <c r="M13" s="23"/>
      <c r="N13" s="23"/>
      <c r="O13" s="23"/>
    </row>
    <row r="14" spans="2:16" x14ac:dyDescent="0.25">
      <c r="B14" s="3">
        <v>121</v>
      </c>
      <c r="C14" s="3" t="s">
        <v>8</v>
      </c>
      <c r="D14" s="3" t="s">
        <v>12</v>
      </c>
      <c r="E14" s="4">
        <v>42921</v>
      </c>
      <c r="F14" s="4"/>
      <c r="G14" s="3" t="s">
        <v>29</v>
      </c>
      <c r="H14" s="5">
        <v>43871</v>
      </c>
      <c r="I14" s="3" t="str">
        <f>VLOOKUP(Tabela1[[#This Row],[Advogado]],Tabela2[],2,FALSE)</f>
        <v>Caio Brito</v>
      </c>
      <c r="J14" s="17">
        <f>IF(Tabela1[[#This Row],[Data de conclusão]]="",NETWORKDAYS(Tabela1[[#This Row],[Data de entrada]],$J$2),NETWORKDAYS(Tabela1[[#This Row],[Data de entrada]],Tabela1[[#This Row],[Data de conclusão]]))</f>
        <v>225</v>
      </c>
      <c r="K14" s="1"/>
      <c r="L14" s="23"/>
      <c r="M14" s="23"/>
      <c r="N14" s="23"/>
      <c r="O14" s="23"/>
    </row>
    <row r="15" spans="2:16" x14ac:dyDescent="0.25">
      <c r="B15" s="3">
        <v>122</v>
      </c>
      <c r="C15" s="3" t="s">
        <v>9</v>
      </c>
      <c r="D15" s="3" t="s">
        <v>13</v>
      </c>
      <c r="E15" s="4">
        <v>42530</v>
      </c>
      <c r="F15" s="4">
        <v>42578</v>
      </c>
      <c r="G15" s="3" t="s">
        <v>28</v>
      </c>
      <c r="H15" s="5">
        <v>34162</v>
      </c>
      <c r="I15" s="3" t="str">
        <f>VLOOKUP(Tabela1[[#This Row],[Advogado]],Tabela2[],2,FALSE)</f>
        <v>Caio Brito</v>
      </c>
      <c r="J15" s="17">
        <f>IF(Tabela1[[#This Row],[Data de conclusão]]="",NETWORKDAYS(Tabela1[[#This Row],[Data de entrada]],$J$2),NETWORKDAYS(Tabela1[[#This Row],[Data de entrada]],Tabela1[[#This Row],[Data de conclusão]]))</f>
        <v>35</v>
      </c>
      <c r="K15" s="1"/>
      <c r="L15" s="23"/>
      <c r="M15" s="23"/>
      <c r="N15" s="23"/>
      <c r="O15" s="23"/>
    </row>
    <row r="16" spans="2:16" x14ac:dyDescent="0.25">
      <c r="B16" s="3">
        <v>123</v>
      </c>
      <c r="C16" s="3" t="s">
        <v>7</v>
      </c>
      <c r="D16" s="3" t="s">
        <v>14</v>
      </c>
      <c r="E16" s="4">
        <v>42454</v>
      </c>
      <c r="F16" s="4"/>
      <c r="G16" s="3" t="s">
        <v>27</v>
      </c>
      <c r="H16" s="5">
        <v>43863</v>
      </c>
      <c r="I16" s="3" t="str">
        <f>VLOOKUP(Tabela1[[#This Row],[Advogado]],Tabela2[],2,FALSE)</f>
        <v>Renê Amaranto</v>
      </c>
      <c r="J16" s="17">
        <f>IF(Tabela1[[#This Row],[Data de conclusão]]="",NETWORKDAYS(Tabela1[[#This Row],[Data de entrada]],$J$2),NETWORKDAYS(Tabela1[[#This Row],[Data de entrada]],Tabela1[[#This Row],[Data de conclusão]]))</f>
        <v>558</v>
      </c>
      <c r="K16" s="1"/>
      <c r="L16" s="23"/>
      <c r="M16" s="23"/>
      <c r="N16" s="23"/>
      <c r="O16" s="23"/>
    </row>
    <row r="17" spans="2:15" x14ac:dyDescent="0.25">
      <c r="B17" s="3">
        <v>124</v>
      </c>
      <c r="C17" s="3" t="s">
        <v>8</v>
      </c>
      <c r="D17" s="3" t="s">
        <v>15</v>
      </c>
      <c r="E17" s="4">
        <v>42966</v>
      </c>
      <c r="F17" s="4"/>
      <c r="G17" s="3" t="s">
        <v>29</v>
      </c>
      <c r="H17" s="5">
        <v>1695</v>
      </c>
      <c r="I17" s="3" t="str">
        <f>VLOOKUP(Tabela1[[#This Row],[Advogado]],Tabela2[],2,FALSE)</f>
        <v>Renê Amaranto</v>
      </c>
      <c r="J17" s="17">
        <f>IF(Tabela1[[#This Row],[Data de conclusão]]="",NETWORKDAYS(Tabela1[[#This Row],[Data de entrada]],$J$2),NETWORKDAYS(Tabela1[[#This Row],[Data de entrada]],Tabela1[[#This Row],[Data de conclusão]]))</f>
        <v>192</v>
      </c>
      <c r="K17" s="1"/>
      <c r="L17" s="23"/>
      <c r="M17" s="23"/>
      <c r="N17" s="23"/>
      <c r="O17" s="23"/>
    </row>
    <row r="18" spans="2:15" x14ac:dyDescent="0.25">
      <c r="B18" s="3">
        <v>125</v>
      </c>
      <c r="C18" s="3" t="s">
        <v>9</v>
      </c>
      <c r="D18" s="3" t="s">
        <v>16</v>
      </c>
      <c r="E18" s="4">
        <v>42815</v>
      </c>
      <c r="F18" s="4"/>
      <c r="G18" s="3" t="s">
        <v>29</v>
      </c>
      <c r="H18" s="5">
        <v>24272</v>
      </c>
      <c r="I18" s="3" t="str">
        <f>VLOOKUP(Tabela1[[#This Row],[Advogado]],Tabela2[],2,FALSE)</f>
        <v>Renê Amaranto</v>
      </c>
      <c r="J18" s="17">
        <f>IF(Tabela1[[#This Row],[Data de conclusão]]="",NETWORKDAYS(Tabela1[[#This Row],[Data de entrada]],$J$2),NETWORKDAYS(Tabela1[[#This Row],[Data de entrada]],Tabela1[[#This Row],[Data de conclusão]]))</f>
        <v>301</v>
      </c>
      <c r="K18" s="1"/>
      <c r="L18" s="23"/>
      <c r="M18" s="23"/>
      <c r="N18" s="23"/>
      <c r="O18" s="23"/>
    </row>
    <row r="19" spans="2:15" x14ac:dyDescent="0.25">
      <c r="B19" s="3">
        <v>126</v>
      </c>
      <c r="C19" s="3" t="s">
        <v>7</v>
      </c>
      <c r="D19" s="3" t="s">
        <v>17</v>
      </c>
      <c r="E19" s="4">
        <v>42542</v>
      </c>
      <c r="F19" s="4"/>
      <c r="G19" s="3" t="s">
        <v>29</v>
      </c>
      <c r="H19" s="5">
        <v>10018</v>
      </c>
      <c r="I19" s="3" t="str">
        <f>VLOOKUP(Tabela1[[#This Row],[Advogado]],Tabela2[],2,FALSE)</f>
        <v>Renê Amaranto</v>
      </c>
      <c r="J19" s="17">
        <f>IF(Tabela1[[#This Row],[Data de conclusão]]="",NETWORKDAYS(Tabela1[[#This Row],[Data de entrada]],$J$2),NETWORKDAYS(Tabela1[[#This Row],[Data de entrada]],Tabela1[[#This Row],[Data de conclusão]]))</f>
        <v>496</v>
      </c>
      <c r="K19" s="1"/>
      <c r="L19" s="23"/>
      <c r="M19" s="23"/>
      <c r="N19" s="23"/>
      <c r="O19" s="23"/>
    </row>
    <row r="20" spans="2:15" x14ac:dyDescent="0.25">
      <c r="B20" s="3">
        <v>127</v>
      </c>
      <c r="C20" s="3" t="s">
        <v>8</v>
      </c>
      <c r="D20" s="3" t="s">
        <v>10</v>
      </c>
      <c r="E20" s="4">
        <v>42774</v>
      </c>
      <c r="F20" s="4"/>
      <c r="G20" s="3" t="s">
        <v>29</v>
      </c>
      <c r="H20" s="5">
        <v>8954</v>
      </c>
      <c r="I20" s="3" t="str">
        <f>VLOOKUP(Tabela1[[#This Row],[Advogado]],Tabela2[],2,FALSE)</f>
        <v>Caio Brito</v>
      </c>
      <c r="J20" s="17">
        <f>IF(Tabela1[[#This Row],[Data de conclusão]]="",NETWORKDAYS(Tabela1[[#This Row],[Data de entrada]],$J$2),NETWORKDAYS(Tabela1[[#This Row],[Data de entrada]],Tabela1[[#This Row],[Data de conclusão]]))</f>
        <v>330</v>
      </c>
      <c r="K20" s="1"/>
      <c r="L20" s="23"/>
      <c r="M20" s="23"/>
      <c r="N20" s="23"/>
      <c r="O20" s="23"/>
    </row>
    <row r="21" spans="2:15" x14ac:dyDescent="0.25">
      <c r="B21" s="3">
        <v>128</v>
      </c>
      <c r="C21" s="3" t="s">
        <v>9</v>
      </c>
      <c r="D21" s="3" t="s">
        <v>11</v>
      </c>
      <c r="E21" s="4">
        <v>42487</v>
      </c>
      <c r="F21" s="4"/>
      <c r="G21" s="3" t="s">
        <v>29</v>
      </c>
      <c r="H21" s="5">
        <v>34380</v>
      </c>
      <c r="I21" s="3" t="str">
        <f>VLOOKUP(Tabela1[[#This Row],[Advogado]],Tabela2[],2,FALSE)</f>
        <v>Caio Brito</v>
      </c>
      <c r="J21" s="17">
        <f>IF(Tabela1[[#This Row],[Data de conclusão]]="",NETWORKDAYS(Tabela1[[#This Row],[Data de entrada]],$J$2),NETWORKDAYS(Tabela1[[#This Row],[Data de entrada]],Tabela1[[#This Row],[Data de conclusão]]))</f>
        <v>535</v>
      </c>
      <c r="K21" s="1"/>
      <c r="L21" s="23"/>
      <c r="M21" s="23"/>
      <c r="N21" s="23"/>
      <c r="O21" s="23"/>
    </row>
    <row r="22" spans="2:15" x14ac:dyDescent="0.25">
      <c r="B22" s="3">
        <v>129</v>
      </c>
      <c r="C22" s="3" t="s">
        <v>7</v>
      </c>
      <c r="D22" s="3" t="s">
        <v>12</v>
      </c>
      <c r="E22" s="4">
        <v>43081</v>
      </c>
      <c r="F22" s="4"/>
      <c r="G22" s="3" t="s">
        <v>29</v>
      </c>
      <c r="H22" s="5">
        <v>3567</v>
      </c>
      <c r="I22" s="3" t="str">
        <f>VLOOKUP(Tabela1[[#This Row],[Advogado]],Tabela2[],2,FALSE)</f>
        <v>Caio Brito</v>
      </c>
      <c r="J22" s="17">
        <f>IF(Tabela1[[#This Row],[Data de conclusão]]="",NETWORKDAYS(Tabela1[[#This Row],[Data de entrada]],$J$2),NETWORKDAYS(Tabela1[[#This Row],[Data de entrada]],Tabela1[[#This Row],[Data de conclusão]]))</f>
        <v>111</v>
      </c>
      <c r="K22" s="1"/>
      <c r="L22" s="23"/>
      <c r="M22" s="23"/>
      <c r="N22" s="23"/>
      <c r="O22" s="23"/>
    </row>
    <row r="23" spans="2:15" x14ac:dyDescent="0.25">
      <c r="B23" s="3">
        <v>130</v>
      </c>
      <c r="C23" s="3" t="s">
        <v>8</v>
      </c>
      <c r="D23" s="3" t="s">
        <v>13</v>
      </c>
      <c r="E23" s="4">
        <v>42779</v>
      </c>
      <c r="F23" s="4"/>
      <c r="G23" s="3" t="s">
        <v>29</v>
      </c>
      <c r="H23" s="5">
        <v>29153</v>
      </c>
      <c r="I23" s="3" t="str">
        <f>VLOOKUP(Tabela1[[#This Row],[Advogado]],Tabela2[],2,FALSE)</f>
        <v>Caio Brito</v>
      </c>
      <c r="J23" s="17">
        <f>IF(Tabela1[[#This Row],[Data de conclusão]]="",NETWORKDAYS(Tabela1[[#This Row],[Data de entrada]],$J$2),NETWORKDAYS(Tabela1[[#This Row],[Data de entrada]],Tabela1[[#This Row],[Data de conclusão]]))</f>
        <v>327</v>
      </c>
      <c r="K23" s="1"/>
      <c r="L23" s="23"/>
      <c r="M23" s="23"/>
      <c r="N23" s="23"/>
      <c r="O23" s="23"/>
    </row>
    <row r="24" spans="2:15" x14ac:dyDescent="0.25">
      <c r="B24" s="3">
        <v>131</v>
      </c>
      <c r="C24" s="3" t="s">
        <v>9</v>
      </c>
      <c r="D24" s="3" t="s">
        <v>14</v>
      </c>
      <c r="E24" s="4">
        <v>42722</v>
      </c>
      <c r="F24" s="4"/>
      <c r="G24" s="3" t="s">
        <v>29</v>
      </c>
      <c r="H24" s="5">
        <v>46899</v>
      </c>
      <c r="I24" s="3" t="str">
        <f>VLOOKUP(Tabela1[[#This Row],[Advogado]],Tabela2[],2,FALSE)</f>
        <v>Renê Amaranto</v>
      </c>
      <c r="J24" s="17">
        <f>IF(Tabela1[[#This Row],[Data de conclusão]]="",NETWORKDAYS(Tabela1[[#This Row],[Data de entrada]],$J$2),NETWORKDAYS(Tabela1[[#This Row],[Data de entrada]],Tabela1[[#This Row],[Data de conclusão]]))</f>
        <v>367</v>
      </c>
      <c r="K24" s="1"/>
      <c r="L24" s="23"/>
      <c r="M24" s="23"/>
      <c r="N24" s="23"/>
      <c r="O24" s="23"/>
    </row>
    <row r="25" spans="2:15" x14ac:dyDescent="0.25">
      <c r="B25" s="3">
        <v>132</v>
      </c>
      <c r="C25" s="3" t="s">
        <v>7</v>
      </c>
      <c r="D25" s="3" t="s">
        <v>15</v>
      </c>
      <c r="E25" s="4">
        <v>42482</v>
      </c>
      <c r="F25" s="4"/>
      <c r="G25" s="3" t="s">
        <v>29</v>
      </c>
      <c r="H25" s="5">
        <v>2185</v>
      </c>
      <c r="I25" s="3" t="str">
        <f>VLOOKUP(Tabela1[[#This Row],[Advogado]],Tabela2[],2,FALSE)</f>
        <v>Renê Amaranto</v>
      </c>
      <c r="J25" s="17">
        <f>IF(Tabela1[[#This Row],[Data de conclusão]]="",NETWORKDAYS(Tabela1[[#This Row],[Data de entrada]],$J$2),NETWORKDAYS(Tabela1[[#This Row],[Data de entrada]],Tabela1[[#This Row],[Data de conclusão]]))</f>
        <v>538</v>
      </c>
      <c r="K25" s="1"/>
      <c r="L25" s="23"/>
      <c r="M25" s="23"/>
      <c r="N25" s="23"/>
      <c r="O25" s="23"/>
    </row>
    <row r="26" spans="2:15" x14ac:dyDescent="0.25">
      <c r="B26" s="3">
        <v>133</v>
      </c>
      <c r="C26" s="3" t="s">
        <v>8</v>
      </c>
      <c r="D26" s="3" t="s">
        <v>16</v>
      </c>
      <c r="E26" s="4">
        <v>42831</v>
      </c>
      <c r="F26" s="4"/>
      <c r="G26" s="3" t="s">
        <v>29</v>
      </c>
      <c r="H26" s="5">
        <v>11058</v>
      </c>
      <c r="I26" s="3" t="str">
        <f>VLOOKUP(Tabela1[[#This Row],[Advogado]],Tabela2[],2,FALSE)</f>
        <v>Renê Amaranto</v>
      </c>
      <c r="J26" s="17">
        <f>IF(Tabela1[[#This Row],[Data de conclusão]]="",NETWORKDAYS(Tabela1[[#This Row],[Data de entrada]],$J$2),NETWORKDAYS(Tabela1[[#This Row],[Data de entrada]],Tabela1[[#This Row],[Data de conclusão]]))</f>
        <v>289</v>
      </c>
      <c r="K26" s="1"/>
      <c r="L26" s="23"/>
      <c r="M26" s="23"/>
      <c r="N26" s="23"/>
      <c r="O26" s="23"/>
    </row>
    <row r="27" spans="2:15" x14ac:dyDescent="0.25">
      <c r="B27" s="3">
        <v>134</v>
      </c>
      <c r="C27" s="3" t="s">
        <v>9</v>
      </c>
      <c r="D27" s="3" t="s">
        <v>17</v>
      </c>
      <c r="E27" s="4">
        <v>42911</v>
      </c>
      <c r="F27" s="4"/>
      <c r="G27" s="3" t="s">
        <v>29</v>
      </c>
      <c r="H27" s="5">
        <v>39564</v>
      </c>
      <c r="I27" s="3" t="str">
        <f>VLOOKUP(Tabela1[[#This Row],[Advogado]],Tabela2[],2,FALSE)</f>
        <v>Renê Amaranto</v>
      </c>
      <c r="J27" s="17">
        <f>IF(Tabela1[[#This Row],[Data de conclusão]]="",NETWORKDAYS(Tabela1[[#This Row],[Data de entrada]],$J$2),NETWORKDAYS(Tabela1[[#This Row],[Data de entrada]],Tabela1[[#This Row],[Data de conclusão]]))</f>
        <v>232</v>
      </c>
      <c r="K27" s="1"/>
      <c r="L27" s="23"/>
      <c r="M27" s="23"/>
      <c r="N27" s="23"/>
      <c r="O27" s="23"/>
    </row>
    <row r="28" spans="2:15" x14ac:dyDescent="0.25">
      <c r="B28" s="3">
        <v>135</v>
      </c>
      <c r="C28" s="3" t="s">
        <v>7</v>
      </c>
      <c r="D28" s="3" t="s">
        <v>11</v>
      </c>
      <c r="E28" s="4">
        <v>42702</v>
      </c>
      <c r="F28" s="4">
        <v>42847</v>
      </c>
      <c r="G28" s="3" t="s">
        <v>28</v>
      </c>
      <c r="H28" s="5">
        <v>58126</v>
      </c>
      <c r="I28" s="3" t="str">
        <f>VLOOKUP(Tabela1[[#This Row],[Advogado]],Tabela2[],2,FALSE)</f>
        <v>Caio Brito</v>
      </c>
      <c r="J28" s="17">
        <f>IF(Tabela1[[#This Row],[Data de conclusão]]="",NETWORKDAYS(Tabela1[[#This Row],[Data de entrada]],$J$2),NETWORKDAYS(Tabela1[[#This Row],[Data de entrada]],Tabela1[[#This Row],[Data de conclusão]]))</f>
        <v>105</v>
      </c>
      <c r="K28" s="1"/>
      <c r="L28" s="23"/>
      <c r="M28" s="23"/>
      <c r="N28" s="23"/>
      <c r="O28" s="23"/>
    </row>
    <row r="29" spans="2:15" x14ac:dyDescent="0.25">
      <c r="B29" s="3">
        <v>136</v>
      </c>
      <c r="C29" s="3" t="s">
        <v>8</v>
      </c>
      <c r="D29" s="3" t="s">
        <v>11</v>
      </c>
      <c r="E29" s="4">
        <v>42650</v>
      </c>
      <c r="F29" s="4"/>
      <c r="G29" s="3" t="s">
        <v>27</v>
      </c>
      <c r="H29" s="5">
        <v>19593</v>
      </c>
      <c r="I29" s="3" t="str">
        <f>VLOOKUP(Tabela1[[#This Row],[Advogado]],Tabela2[],2,FALSE)</f>
        <v>Caio Brito</v>
      </c>
      <c r="J29" s="17">
        <f>IF(Tabela1[[#This Row],[Data de conclusão]]="",NETWORKDAYS(Tabela1[[#This Row],[Data de entrada]],$J$2),NETWORKDAYS(Tabela1[[#This Row],[Data de entrada]],Tabela1[[#This Row],[Data de conclusão]]))</f>
        <v>418</v>
      </c>
      <c r="K29" s="1"/>
      <c r="L29" s="23"/>
      <c r="M29" s="23"/>
      <c r="N29" s="23"/>
      <c r="O29" s="23"/>
    </row>
    <row r="30" spans="2:15" x14ac:dyDescent="0.25">
      <c r="B30" s="3">
        <v>137</v>
      </c>
      <c r="C30" s="3" t="s">
        <v>9</v>
      </c>
      <c r="D30" s="3" t="s">
        <v>12</v>
      </c>
      <c r="E30" s="4">
        <v>42953</v>
      </c>
      <c r="F30" s="4"/>
      <c r="G30" s="3" t="s">
        <v>29</v>
      </c>
      <c r="H30" s="5">
        <v>22182</v>
      </c>
      <c r="I30" s="3" t="str">
        <f>VLOOKUP(Tabela1[[#This Row],[Advogado]],Tabela2[],2,FALSE)</f>
        <v>Caio Brito</v>
      </c>
      <c r="J30" s="17">
        <f>IF(Tabela1[[#This Row],[Data de conclusão]]="",NETWORKDAYS(Tabela1[[#This Row],[Data de entrada]],$J$2),NETWORKDAYS(Tabela1[[#This Row],[Data de entrada]],Tabela1[[#This Row],[Data de conclusão]]))</f>
        <v>202</v>
      </c>
      <c r="K30" s="1"/>
      <c r="L30" s="23"/>
      <c r="M30" s="23"/>
      <c r="N30" s="23"/>
      <c r="O30" s="23"/>
    </row>
    <row r="31" spans="2:15" x14ac:dyDescent="0.25">
      <c r="B31" s="3">
        <v>138</v>
      </c>
      <c r="C31" s="3" t="s">
        <v>7</v>
      </c>
      <c r="D31" s="3" t="s">
        <v>13</v>
      </c>
      <c r="E31" s="4">
        <v>42374</v>
      </c>
      <c r="F31" s="4"/>
      <c r="G31" s="3" t="s">
        <v>29</v>
      </c>
      <c r="H31" s="5">
        <v>59859</v>
      </c>
      <c r="I31" s="3" t="str">
        <f>VLOOKUP(Tabela1[[#This Row],[Advogado]],Tabela2[],2,FALSE)</f>
        <v>Caio Brito</v>
      </c>
      <c r="J31" s="17">
        <f>IF(Tabela1[[#This Row],[Data de conclusão]]="",NETWORKDAYS(Tabela1[[#This Row],[Data de entrada]],$J$2),NETWORKDAYS(Tabela1[[#This Row],[Data de entrada]],Tabela1[[#This Row],[Data de conclusão]]))</f>
        <v>616</v>
      </c>
      <c r="K31" s="1"/>
      <c r="L31" s="23"/>
      <c r="M31" s="23"/>
      <c r="N31" s="23"/>
      <c r="O31" s="23"/>
    </row>
    <row r="32" spans="2:15" x14ac:dyDescent="0.25">
      <c r="B32" s="3">
        <v>139</v>
      </c>
      <c r="C32" s="3" t="s">
        <v>8</v>
      </c>
      <c r="D32" s="3" t="s">
        <v>14</v>
      </c>
      <c r="E32" s="4">
        <v>43062</v>
      </c>
      <c r="F32" s="4"/>
      <c r="G32" s="3" t="s">
        <v>29</v>
      </c>
      <c r="H32" s="5">
        <v>45568</v>
      </c>
      <c r="I32" s="3" t="str">
        <f>VLOOKUP(Tabela1[[#This Row],[Advogado]],Tabela2[],2,FALSE)</f>
        <v>Renê Amaranto</v>
      </c>
      <c r="J32" s="17">
        <f>IF(Tabela1[[#This Row],[Data de conclusão]]="",NETWORKDAYS(Tabela1[[#This Row],[Data de entrada]],$J$2),NETWORKDAYS(Tabela1[[#This Row],[Data de entrada]],Tabela1[[#This Row],[Data de conclusão]]))</f>
        <v>124</v>
      </c>
      <c r="K32" s="1"/>
      <c r="L32" s="23"/>
      <c r="M32" s="23"/>
      <c r="N32" s="23"/>
      <c r="O32" s="23"/>
    </row>
    <row r="33" spans="2:15" x14ac:dyDescent="0.25">
      <c r="B33" s="3">
        <v>140</v>
      </c>
      <c r="C33" s="3" t="s">
        <v>9</v>
      </c>
      <c r="D33" s="3" t="s">
        <v>15</v>
      </c>
      <c r="E33" s="4">
        <v>42856</v>
      </c>
      <c r="F33" s="4"/>
      <c r="G33" s="3" t="s">
        <v>29</v>
      </c>
      <c r="H33" s="5">
        <v>44548</v>
      </c>
      <c r="I33" s="3" t="str">
        <f>VLOOKUP(Tabela1[[#This Row],[Advogado]],Tabela2[],2,FALSE)</f>
        <v>Renê Amaranto</v>
      </c>
      <c r="J33" s="17">
        <f>IF(Tabela1[[#This Row],[Data de conclusão]]="",NETWORKDAYS(Tabela1[[#This Row],[Data de entrada]],$J$2),NETWORKDAYS(Tabela1[[#This Row],[Data de entrada]],Tabela1[[#This Row],[Data de conclusão]]))</f>
        <v>272</v>
      </c>
      <c r="K33" s="1"/>
      <c r="L33" s="23"/>
      <c r="M33" s="23"/>
      <c r="N33" s="23"/>
      <c r="O33" s="23"/>
    </row>
    <row r="34" spans="2:15" x14ac:dyDescent="0.25">
      <c r="B34" s="3">
        <v>141</v>
      </c>
      <c r="C34" s="3" t="s">
        <v>7</v>
      </c>
      <c r="D34" s="3" t="s">
        <v>16</v>
      </c>
      <c r="E34" s="4">
        <v>42539</v>
      </c>
      <c r="F34" s="4"/>
      <c r="G34" s="3" t="s">
        <v>29</v>
      </c>
      <c r="H34" s="5">
        <v>8395</v>
      </c>
      <c r="I34" s="3" t="str">
        <f>VLOOKUP(Tabela1[[#This Row],[Advogado]],Tabela2[],2,FALSE)</f>
        <v>Renê Amaranto</v>
      </c>
      <c r="J34" s="17">
        <f>IF(Tabela1[[#This Row],[Data de conclusão]]="",NETWORKDAYS(Tabela1[[#This Row],[Data de entrada]],$J$2),NETWORKDAYS(Tabela1[[#This Row],[Data de entrada]],Tabela1[[#This Row],[Data de conclusão]]))</f>
        <v>497</v>
      </c>
      <c r="K34" s="1"/>
      <c r="L34" s="23"/>
      <c r="M34" s="23"/>
      <c r="N34" s="23"/>
      <c r="O34" s="23"/>
    </row>
    <row r="35" spans="2:15" x14ac:dyDescent="0.25">
      <c r="B35" s="3">
        <v>142</v>
      </c>
      <c r="C35" s="3" t="s">
        <v>8</v>
      </c>
      <c r="D35" s="3" t="s">
        <v>17</v>
      </c>
      <c r="E35" s="4">
        <v>42421</v>
      </c>
      <c r="F35" s="4"/>
      <c r="G35" s="3" t="s">
        <v>29</v>
      </c>
      <c r="H35" s="5">
        <v>22086</v>
      </c>
      <c r="I35" s="3" t="str">
        <f>VLOOKUP(Tabela1[[#This Row],[Advogado]],Tabela2[],2,FALSE)</f>
        <v>Renê Amaranto</v>
      </c>
      <c r="J35" s="17">
        <f>IF(Tabela1[[#This Row],[Data de conclusão]]="",NETWORKDAYS(Tabela1[[#This Row],[Data de entrada]],$J$2),NETWORKDAYS(Tabela1[[#This Row],[Data de entrada]],Tabela1[[#This Row],[Data de conclusão]]))</f>
        <v>582</v>
      </c>
      <c r="K35" s="1"/>
    </row>
    <row r="36" spans="2:15" x14ac:dyDescent="0.25">
      <c r="B36" s="3">
        <v>143</v>
      </c>
      <c r="C36" s="3" t="s">
        <v>9</v>
      </c>
      <c r="D36" s="3" t="s">
        <v>10</v>
      </c>
      <c r="E36" s="4">
        <v>42770</v>
      </c>
      <c r="F36" s="4"/>
      <c r="G36" s="3" t="s">
        <v>29</v>
      </c>
      <c r="H36" s="5">
        <v>26479</v>
      </c>
      <c r="I36" s="3" t="str">
        <f>VLOOKUP(Tabela1[[#This Row],[Advogado]],Tabela2[],2,FALSE)</f>
        <v>Caio Brito</v>
      </c>
      <c r="J36" s="17">
        <f>IF(Tabela1[[#This Row],[Data de conclusão]]="",NETWORKDAYS(Tabela1[[#This Row],[Data de entrada]],$J$2),NETWORKDAYS(Tabela1[[#This Row],[Data de entrada]],Tabela1[[#This Row],[Data de conclusão]]))</f>
        <v>332</v>
      </c>
      <c r="K36" s="1"/>
    </row>
    <row r="37" spans="2:15" x14ac:dyDescent="0.25">
      <c r="B37" s="3">
        <v>144</v>
      </c>
      <c r="C37" s="3" t="s">
        <v>7</v>
      </c>
      <c r="D37" s="3" t="s">
        <v>11</v>
      </c>
      <c r="E37" s="4">
        <v>42462</v>
      </c>
      <c r="F37" s="4"/>
      <c r="G37" s="3" t="s">
        <v>29</v>
      </c>
      <c r="H37" s="5">
        <v>3174</v>
      </c>
      <c r="I37" s="3" t="str">
        <f>VLOOKUP(Tabela1[[#This Row],[Advogado]],Tabela2[],2,FALSE)</f>
        <v>Caio Brito</v>
      </c>
      <c r="J37" s="17">
        <f>IF(Tabela1[[#This Row],[Data de conclusão]]="",NETWORKDAYS(Tabela1[[#This Row],[Data de entrada]],$J$2),NETWORKDAYS(Tabela1[[#This Row],[Data de entrada]],Tabela1[[#This Row],[Data de conclusão]]))</f>
        <v>552</v>
      </c>
      <c r="K37" s="1"/>
    </row>
    <row r="38" spans="2:15" x14ac:dyDescent="0.25">
      <c r="B38" s="3">
        <v>145</v>
      </c>
      <c r="C38" s="3" t="s">
        <v>8</v>
      </c>
      <c r="D38" s="3" t="s">
        <v>12</v>
      </c>
      <c r="E38" s="4">
        <v>42856</v>
      </c>
      <c r="F38" s="4"/>
      <c r="G38" s="3" t="s">
        <v>29</v>
      </c>
      <c r="H38" s="5">
        <v>7464</v>
      </c>
      <c r="I38" s="3" t="str">
        <f>VLOOKUP(Tabela1[[#This Row],[Advogado]],Tabela2[],2,FALSE)</f>
        <v>Caio Brito</v>
      </c>
      <c r="J38" s="17">
        <f>IF(Tabela1[[#This Row],[Data de conclusão]]="",NETWORKDAYS(Tabela1[[#This Row],[Data de entrada]],$J$2),NETWORKDAYS(Tabela1[[#This Row],[Data de entrada]],Tabela1[[#This Row],[Data de conclusão]]))</f>
        <v>272</v>
      </c>
      <c r="K38" s="1"/>
    </row>
    <row r="39" spans="2:15" x14ac:dyDescent="0.25">
      <c r="B39" s="3">
        <v>146</v>
      </c>
      <c r="C39" s="3" t="s">
        <v>9</v>
      </c>
      <c r="D39" s="3" t="s">
        <v>13</v>
      </c>
      <c r="E39" s="4">
        <v>42857</v>
      </c>
      <c r="F39" s="4"/>
      <c r="G39" s="3" t="s">
        <v>29</v>
      </c>
      <c r="H39" s="5">
        <v>31223</v>
      </c>
      <c r="I39" s="3" t="str">
        <f>VLOOKUP(Tabela1[[#This Row],[Advogado]],Tabela2[],2,FALSE)</f>
        <v>Caio Brito</v>
      </c>
      <c r="J39" s="17">
        <f>IF(Tabela1[[#This Row],[Data de conclusão]]="",NETWORKDAYS(Tabela1[[#This Row],[Data de entrada]],$J$2),NETWORKDAYS(Tabela1[[#This Row],[Data de entrada]],Tabela1[[#This Row],[Data de conclusão]]))</f>
        <v>271</v>
      </c>
      <c r="K39" s="1"/>
    </row>
    <row r="40" spans="2:15" x14ac:dyDescent="0.25">
      <c r="B40" s="3">
        <v>147</v>
      </c>
      <c r="C40" s="3" t="s">
        <v>7</v>
      </c>
      <c r="D40" s="3" t="s">
        <v>14</v>
      </c>
      <c r="E40" s="4">
        <v>42531</v>
      </c>
      <c r="F40" s="4"/>
      <c r="G40" s="3" t="s">
        <v>29</v>
      </c>
      <c r="H40" s="5">
        <v>59447</v>
      </c>
      <c r="I40" s="3" t="str">
        <f>VLOOKUP(Tabela1[[#This Row],[Advogado]],Tabela2[],2,FALSE)</f>
        <v>Renê Amaranto</v>
      </c>
      <c r="J40" s="17">
        <f>IF(Tabela1[[#This Row],[Data de conclusão]]="",NETWORKDAYS(Tabela1[[#This Row],[Data de entrada]],$J$2),NETWORKDAYS(Tabela1[[#This Row],[Data de entrada]],Tabela1[[#This Row],[Data de conclusão]]))</f>
        <v>503</v>
      </c>
      <c r="K40" s="1"/>
    </row>
    <row r="41" spans="2:15" x14ac:dyDescent="0.25">
      <c r="B41" s="3">
        <v>148</v>
      </c>
      <c r="C41" s="3" t="s">
        <v>8</v>
      </c>
      <c r="D41" s="3" t="s">
        <v>15</v>
      </c>
      <c r="E41" s="4">
        <v>42654</v>
      </c>
      <c r="F41" s="4">
        <v>42691</v>
      </c>
      <c r="G41" s="3" t="s">
        <v>28</v>
      </c>
      <c r="H41" s="5">
        <v>41526</v>
      </c>
      <c r="I41" s="3" t="str">
        <f>VLOOKUP(Tabela1[[#This Row],[Advogado]],Tabela2[],2,FALSE)</f>
        <v>Renê Amaranto</v>
      </c>
      <c r="J41" s="17">
        <f>IF(Tabela1[[#This Row],[Data de conclusão]]="",NETWORKDAYS(Tabela1[[#This Row],[Data de entrada]],$J$2),NETWORKDAYS(Tabela1[[#This Row],[Data de entrada]],Tabela1[[#This Row],[Data de conclusão]]))</f>
        <v>28</v>
      </c>
      <c r="K41" s="1"/>
    </row>
    <row r="42" spans="2:15" x14ac:dyDescent="0.25">
      <c r="B42" s="3">
        <v>149</v>
      </c>
      <c r="C42" s="3" t="s">
        <v>9</v>
      </c>
      <c r="D42" s="3" t="s">
        <v>16</v>
      </c>
      <c r="E42" s="4">
        <v>43007</v>
      </c>
      <c r="F42" s="4"/>
      <c r="G42" s="3" t="s">
        <v>27</v>
      </c>
      <c r="H42" s="5">
        <v>25798</v>
      </c>
      <c r="I42" s="3" t="str">
        <f>VLOOKUP(Tabela1[[#This Row],[Advogado]],Tabela2[],2,FALSE)</f>
        <v>Renê Amaranto</v>
      </c>
      <c r="J42" s="17">
        <f>IF(Tabela1[[#This Row],[Data de conclusão]]="",NETWORKDAYS(Tabela1[[#This Row],[Data de entrada]],$J$2),NETWORKDAYS(Tabela1[[#This Row],[Data de entrada]],Tabela1[[#This Row],[Data de conclusão]]))</f>
        <v>163</v>
      </c>
      <c r="K42" s="1"/>
    </row>
    <row r="43" spans="2:15" x14ac:dyDescent="0.25">
      <c r="B43" s="3">
        <v>150</v>
      </c>
      <c r="C43" s="3" t="s">
        <v>7</v>
      </c>
      <c r="D43" s="3" t="s">
        <v>17</v>
      </c>
      <c r="E43" s="4">
        <v>42687</v>
      </c>
      <c r="F43" s="4"/>
      <c r="G43" s="3" t="s">
        <v>29</v>
      </c>
      <c r="H43" s="5">
        <v>7031</v>
      </c>
      <c r="I43" s="3" t="str">
        <f>VLOOKUP(Tabela1[[#This Row],[Advogado]],Tabela2[],2,FALSE)</f>
        <v>Renê Amaranto</v>
      </c>
      <c r="J43" s="17">
        <f>IF(Tabela1[[#This Row],[Data de conclusão]]="",NETWORKDAYS(Tabela1[[#This Row],[Data de entrada]],$J$2),NETWORKDAYS(Tabela1[[#This Row],[Data de entrada]],Tabela1[[#This Row],[Data de conclusão]]))</f>
        <v>392</v>
      </c>
      <c r="K43" s="1"/>
    </row>
    <row r="44" spans="2:15" x14ac:dyDescent="0.25">
      <c r="B44" s="3">
        <v>151</v>
      </c>
      <c r="C44" s="3" t="s">
        <v>9</v>
      </c>
      <c r="D44" s="3" t="s">
        <v>10</v>
      </c>
      <c r="E44" s="4">
        <v>42439</v>
      </c>
      <c r="F44" s="4"/>
      <c r="G44" s="3" t="s">
        <v>29</v>
      </c>
      <c r="H44" s="5">
        <v>37999</v>
      </c>
      <c r="I44" s="3" t="str">
        <f>VLOOKUP(Tabela1[[#This Row],[Advogado]],Tabela2[],2,FALSE)</f>
        <v>Caio Brito</v>
      </c>
      <c r="J44" s="17">
        <f>IF(Tabela1[[#This Row],[Data de conclusão]]="",NETWORKDAYS(Tabela1[[#This Row],[Data de entrada]],$J$2),NETWORKDAYS(Tabela1[[#This Row],[Data de entrada]],Tabela1[[#This Row],[Data de conclusão]]))</f>
        <v>569</v>
      </c>
      <c r="K44" s="1"/>
    </row>
    <row r="45" spans="2:15" x14ac:dyDescent="0.25">
      <c r="B45" s="3">
        <v>152</v>
      </c>
      <c r="C45" s="3" t="s">
        <v>9</v>
      </c>
      <c r="D45" s="3" t="s">
        <v>11</v>
      </c>
      <c r="E45" s="4">
        <v>42628</v>
      </c>
      <c r="F45" s="4"/>
      <c r="G45" s="3" t="s">
        <v>29</v>
      </c>
      <c r="H45" s="5">
        <v>42868</v>
      </c>
      <c r="I45" s="3" t="str">
        <f>VLOOKUP(Tabela1[[#This Row],[Advogado]],Tabela2[],2,FALSE)</f>
        <v>Caio Brito</v>
      </c>
      <c r="J45" s="17">
        <f>IF(Tabela1[[#This Row],[Data de conclusão]]="",NETWORKDAYS(Tabela1[[#This Row],[Data de entrada]],$J$2),NETWORKDAYS(Tabela1[[#This Row],[Data de entrada]],Tabela1[[#This Row],[Data de conclusão]]))</f>
        <v>434</v>
      </c>
      <c r="K45" s="1"/>
    </row>
    <row r="46" spans="2:15" x14ac:dyDescent="0.25">
      <c r="B46" s="3">
        <v>153</v>
      </c>
      <c r="C46" s="3" t="s">
        <v>9</v>
      </c>
      <c r="D46" s="3" t="s">
        <v>12</v>
      </c>
      <c r="E46" s="4">
        <v>42692</v>
      </c>
      <c r="F46" s="4"/>
      <c r="G46" s="3" t="s">
        <v>29</v>
      </c>
      <c r="H46" s="5">
        <v>45268</v>
      </c>
      <c r="I46" s="3" t="str">
        <f>VLOOKUP(Tabela1[[#This Row],[Advogado]],Tabela2[],2,FALSE)</f>
        <v>Caio Brito</v>
      </c>
      <c r="J46" s="17">
        <f>IF(Tabela1[[#This Row],[Data de conclusão]]="",NETWORKDAYS(Tabela1[[#This Row],[Data de entrada]],$J$2),NETWORKDAYS(Tabela1[[#This Row],[Data de entrada]],Tabela1[[#This Row],[Data de conclusão]]))</f>
        <v>388</v>
      </c>
      <c r="K46" s="1"/>
    </row>
    <row r="47" spans="2:15" x14ac:dyDescent="0.25">
      <c r="B47" s="3">
        <v>154</v>
      </c>
      <c r="C47" s="3" t="s">
        <v>8</v>
      </c>
      <c r="D47" s="3" t="s">
        <v>13</v>
      </c>
      <c r="E47" s="4">
        <v>42576</v>
      </c>
      <c r="F47" s="4"/>
      <c r="G47" s="3" t="s">
        <v>29</v>
      </c>
      <c r="H47" s="5">
        <v>36212</v>
      </c>
      <c r="I47" s="3" t="str">
        <f>VLOOKUP(Tabela1[[#This Row],[Advogado]],Tabela2[],2,FALSE)</f>
        <v>Caio Brito</v>
      </c>
      <c r="J47" s="17">
        <f>IF(Tabela1[[#This Row],[Data de conclusão]]="",NETWORKDAYS(Tabela1[[#This Row],[Data de entrada]],$J$2),NETWORKDAYS(Tabela1[[#This Row],[Data de entrada]],Tabela1[[#This Row],[Data de conclusão]]))</f>
        <v>472</v>
      </c>
      <c r="K47" s="1"/>
    </row>
    <row r="48" spans="2:15" x14ac:dyDescent="0.25">
      <c r="B48" s="3">
        <v>155</v>
      </c>
      <c r="C48" s="3" t="s">
        <v>9</v>
      </c>
      <c r="D48" s="3" t="s">
        <v>14</v>
      </c>
      <c r="E48" s="4">
        <v>43041</v>
      </c>
      <c r="F48" s="4"/>
      <c r="G48" s="3" t="s">
        <v>29</v>
      </c>
      <c r="H48" s="5">
        <v>9818</v>
      </c>
      <c r="I48" s="3" t="str">
        <f>VLOOKUP(Tabela1[[#This Row],[Advogado]],Tabela2[],2,FALSE)</f>
        <v>Renê Amaranto</v>
      </c>
      <c r="J48" s="17">
        <f>IF(Tabela1[[#This Row],[Data de conclusão]]="",NETWORKDAYS(Tabela1[[#This Row],[Data de entrada]],$J$2),NETWORKDAYS(Tabela1[[#This Row],[Data de entrada]],Tabela1[[#This Row],[Data de conclusão]]))</f>
        <v>139</v>
      </c>
      <c r="K48" s="1"/>
    </row>
    <row r="49" spans="2:11" x14ac:dyDescent="0.25">
      <c r="B49" s="3">
        <v>156</v>
      </c>
      <c r="C49" s="3" t="s">
        <v>7</v>
      </c>
      <c r="D49" s="3" t="s">
        <v>15</v>
      </c>
      <c r="E49" s="4">
        <v>42704</v>
      </c>
      <c r="F49" s="4"/>
      <c r="G49" s="3" t="s">
        <v>29</v>
      </c>
      <c r="H49" s="5">
        <v>53468</v>
      </c>
      <c r="I49" s="3" t="str">
        <f>VLOOKUP(Tabela1[[#This Row],[Advogado]],Tabela2[],2,FALSE)</f>
        <v>Renê Amaranto</v>
      </c>
      <c r="J49" s="17">
        <f>IF(Tabela1[[#This Row],[Data de conclusão]]="",NETWORKDAYS(Tabela1[[#This Row],[Data de entrada]],$J$2),NETWORKDAYS(Tabela1[[#This Row],[Data de entrada]],Tabela1[[#This Row],[Data de conclusão]]))</f>
        <v>380</v>
      </c>
      <c r="K49" s="1"/>
    </row>
    <row r="50" spans="2:11" x14ac:dyDescent="0.25">
      <c r="B50" s="3">
        <v>157</v>
      </c>
      <c r="C50" s="3" t="s">
        <v>8</v>
      </c>
      <c r="D50" s="3" t="s">
        <v>16</v>
      </c>
      <c r="E50" s="4">
        <v>42500</v>
      </c>
      <c r="F50" s="4"/>
      <c r="G50" s="3" t="s">
        <v>29</v>
      </c>
      <c r="H50" s="5">
        <v>17121</v>
      </c>
      <c r="I50" s="3" t="str">
        <f>VLOOKUP(Tabela1[[#This Row],[Advogado]],Tabela2[],2,FALSE)</f>
        <v>Renê Amaranto</v>
      </c>
      <c r="J50" s="17">
        <f>IF(Tabela1[[#This Row],[Data de conclusão]]="",NETWORKDAYS(Tabela1[[#This Row],[Data de entrada]],$J$2),NETWORKDAYS(Tabela1[[#This Row],[Data de entrada]],Tabela1[[#This Row],[Data de conclusão]]))</f>
        <v>526</v>
      </c>
      <c r="K50" s="1"/>
    </row>
    <row r="51" spans="2:11" x14ac:dyDescent="0.25">
      <c r="B51" s="3">
        <v>158</v>
      </c>
      <c r="C51" s="3" t="s">
        <v>9</v>
      </c>
      <c r="D51" s="3" t="s">
        <v>17</v>
      </c>
      <c r="E51" s="4">
        <v>42419</v>
      </c>
      <c r="F51" s="4"/>
      <c r="G51" s="3" t="s">
        <v>29</v>
      </c>
      <c r="H51" s="5">
        <v>31247</v>
      </c>
      <c r="I51" s="3" t="str">
        <f>VLOOKUP(Tabela1[[#This Row],[Advogado]],Tabela2[],2,FALSE)</f>
        <v>Renê Amaranto</v>
      </c>
      <c r="J51" s="17">
        <f>IF(Tabela1[[#This Row],[Data de conclusão]]="",NETWORKDAYS(Tabela1[[#This Row],[Data de entrada]],$J$2),NETWORKDAYS(Tabela1[[#This Row],[Data de entrada]],Tabela1[[#This Row],[Data de conclusão]]))</f>
        <v>583</v>
      </c>
      <c r="K51" s="1"/>
    </row>
    <row r="52" spans="2:11" x14ac:dyDescent="0.25">
      <c r="B52" s="3">
        <v>159</v>
      </c>
      <c r="C52" s="3" t="s">
        <v>7</v>
      </c>
      <c r="D52" s="3" t="s">
        <v>10</v>
      </c>
      <c r="E52" s="4">
        <v>43079</v>
      </c>
      <c r="F52" s="4"/>
      <c r="G52" s="3" t="s">
        <v>29</v>
      </c>
      <c r="H52" s="5">
        <v>1367</v>
      </c>
      <c r="I52" s="3" t="str">
        <f>VLOOKUP(Tabela1[[#This Row],[Advogado]],Tabela2[],2,FALSE)</f>
        <v>Caio Brito</v>
      </c>
      <c r="J52" s="17">
        <f>IF(Tabela1[[#This Row],[Data de conclusão]]="",NETWORKDAYS(Tabela1[[#This Row],[Data de entrada]],$J$2),NETWORKDAYS(Tabela1[[#This Row],[Data de entrada]],Tabela1[[#This Row],[Data de conclusão]]))</f>
        <v>112</v>
      </c>
      <c r="K52" s="1"/>
    </row>
    <row r="53" spans="2:11" x14ac:dyDescent="0.25">
      <c r="B53" s="3">
        <v>160</v>
      </c>
      <c r="C53" s="3" t="s">
        <v>8</v>
      </c>
      <c r="D53" s="3" t="s">
        <v>11</v>
      </c>
      <c r="E53" s="4">
        <v>42685</v>
      </c>
      <c r="F53" s="4"/>
      <c r="G53" s="3" t="s">
        <v>29</v>
      </c>
      <c r="H53" s="5">
        <v>17314</v>
      </c>
      <c r="I53" s="3" t="str">
        <f>VLOOKUP(Tabela1[[#This Row],[Advogado]],Tabela2[],2,FALSE)</f>
        <v>Caio Brito</v>
      </c>
      <c r="J53" s="17">
        <f>IF(Tabela1[[#This Row],[Data de conclusão]]="",NETWORKDAYS(Tabela1[[#This Row],[Data de entrada]],$J$2),NETWORKDAYS(Tabela1[[#This Row],[Data de entrada]],Tabela1[[#This Row],[Data de conclusão]]))</f>
        <v>393</v>
      </c>
      <c r="K53" s="1"/>
    </row>
    <row r="54" spans="2:11" x14ac:dyDescent="0.25">
      <c r="B54" s="3">
        <v>161</v>
      </c>
      <c r="C54" s="3" t="s">
        <v>9</v>
      </c>
      <c r="D54" s="3" t="s">
        <v>12</v>
      </c>
      <c r="E54" s="4">
        <v>42762</v>
      </c>
      <c r="F54" s="4">
        <v>42829</v>
      </c>
      <c r="G54" s="3" t="s">
        <v>28</v>
      </c>
      <c r="H54" s="5">
        <v>32596</v>
      </c>
      <c r="I54" s="3" t="str">
        <f>VLOOKUP(Tabela1[[#This Row],[Advogado]],Tabela2[],2,FALSE)</f>
        <v>Caio Brito</v>
      </c>
      <c r="J54" s="17">
        <f>IF(Tabela1[[#This Row],[Data de conclusão]]="",NETWORKDAYS(Tabela1[[#This Row],[Data de entrada]],$J$2),NETWORKDAYS(Tabela1[[#This Row],[Data de entrada]],Tabela1[[#This Row],[Data de conclusão]]))</f>
        <v>48</v>
      </c>
      <c r="K54" s="1"/>
    </row>
    <row r="55" spans="2:11" x14ac:dyDescent="0.25">
      <c r="B55" s="3">
        <v>162</v>
      </c>
      <c r="C55" s="3" t="s">
        <v>7</v>
      </c>
      <c r="D55" s="3" t="s">
        <v>13</v>
      </c>
      <c r="E55" s="4">
        <v>42732</v>
      </c>
      <c r="F55" s="4"/>
      <c r="G55" s="3" t="s">
        <v>27</v>
      </c>
      <c r="H55" s="5">
        <v>34754</v>
      </c>
      <c r="I55" s="3" t="str">
        <f>VLOOKUP(Tabela1[[#This Row],[Advogado]],Tabela2[],2,FALSE)</f>
        <v>Caio Brito</v>
      </c>
      <c r="J55" s="17">
        <f>IF(Tabela1[[#This Row],[Data de conclusão]]="",NETWORKDAYS(Tabela1[[#This Row],[Data de entrada]],$J$2),NETWORKDAYS(Tabela1[[#This Row],[Data de entrada]],Tabela1[[#This Row],[Data de conclusão]]))</f>
        <v>360</v>
      </c>
      <c r="K55" s="1"/>
    </row>
    <row r="56" spans="2:11" x14ac:dyDescent="0.25">
      <c r="B56" s="3">
        <v>163</v>
      </c>
      <c r="C56" s="3" t="s">
        <v>8</v>
      </c>
      <c r="D56" s="3" t="s">
        <v>14</v>
      </c>
      <c r="E56" s="4">
        <v>42952</v>
      </c>
      <c r="F56" s="4"/>
      <c r="G56" s="3" t="s">
        <v>29</v>
      </c>
      <c r="H56" s="5">
        <v>40677</v>
      </c>
      <c r="I56" s="3" t="str">
        <f>VLOOKUP(Tabela1[[#This Row],[Advogado]],Tabela2[],2,FALSE)</f>
        <v>Renê Amaranto</v>
      </c>
      <c r="J56" s="17">
        <f>IF(Tabela1[[#This Row],[Data de conclusão]]="",NETWORKDAYS(Tabela1[[#This Row],[Data de entrada]],$J$2),NETWORKDAYS(Tabela1[[#This Row],[Data de entrada]],Tabela1[[#This Row],[Data de conclusão]]))</f>
        <v>202</v>
      </c>
      <c r="K56" s="1"/>
    </row>
    <row r="57" spans="2:11" x14ac:dyDescent="0.25">
      <c r="B57" s="3">
        <v>164</v>
      </c>
      <c r="C57" s="3" t="s">
        <v>9</v>
      </c>
      <c r="D57" s="3" t="s">
        <v>15</v>
      </c>
      <c r="E57" s="4">
        <v>42535</v>
      </c>
      <c r="F57" s="4"/>
      <c r="G57" s="3" t="s">
        <v>29</v>
      </c>
      <c r="H57" s="5">
        <v>5521</v>
      </c>
      <c r="I57" s="3" t="str">
        <f>VLOOKUP(Tabela1[[#This Row],[Advogado]],Tabela2[],2,FALSE)</f>
        <v>Renê Amaranto</v>
      </c>
      <c r="J57" s="17">
        <f>IF(Tabela1[[#This Row],[Data de conclusão]]="",NETWORKDAYS(Tabela1[[#This Row],[Data de entrada]],$J$2),NETWORKDAYS(Tabela1[[#This Row],[Data de entrada]],Tabela1[[#This Row],[Data de conclusão]]))</f>
        <v>501</v>
      </c>
      <c r="K57" s="1"/>
    </row>
    <row r="58" spans="2:11" x14ac:dyDescent="0.25">
      <c r="B58" s="3">
        <v>165</v>
      </c>
      <c r="C58" s="3" t="s">
        <v>7</v>
      </c>
      <c r="D58" s="3" t="s">
        <v>16</v>
      </c>
      <c r="E58" s="4">
        <v>42563</v>
      </c>
      <c r="F58" s="4"/>
      <c r="G58" s="3" t="s">
        <v>29</v>
      </c>
      <c r="H58" s="5">
        <v>35087</v>
      </c>
      <c r="I58" s="3" t="str">
        <f>VLOOKUP(Tabela1[[#This Row],[Advogado]],Tabela2[],2,FALSE)</f>
        <v>Renê Amaranto</v>
      </c>
      <c r="J58" s="17">
        <f>IF(Tabela1[[#This Row],[Data de conclusão]]="",NETWORKDAYS(Tabela1[[#This Row],[Data de entrada]],$J$2),NETWORKDAYS(Tabela1[[#This Row],[Data de entrada]],Tabela1[[#This Row],[Data de conclusão]]))</f>
        <v>481</v>
      </c>
      <c r="K58" s="1"/>
    </row>
    <row r="59" spans="2:11" x14ac:dyDescent="0.25">
      <c r="B59" s="3">
        <v>166</v>
      </c>
      <c r="C59" s="3" t="s">
        <v>8</v>
      </c>
      <c r="D59" s="3" t="s">
        <v>17</v>
      </c>
      <c r="E59" s="4">
        <v>42376</v>
      </c>
      <c r="F59" s="4"/>
      <c r="G59" s="3" t="s">
        <v>29</v>
      </c>
      <c r="H59" s="5">
        <v>23576</v>
      </c>
      <c r="I59" s="3" t="str">
        <f>VLOOKUP(Tabela1[[#This Row],[Advogado]],Tabela2[],2,FALSE)</f>
        <v>Renê Amaranto</v>
      </c>
      <c r="J59" s="17">
        <f>IF(Tabela1[[#This Row],[Data de conclusão]]="",NETWORKDAYS(Tabela1[[#This Row],[Data de entrada]],$J$2),NETWORKDAYS(Tabela1[[#This Row],[Data de entrada]],Tabela1[[#This Row],[Data de conclusão]]))</f>
        <v>614</v>
      </c>
      <c r="K59" s="1"/>
    </row>
    <row r="60" spans="2:11" x14ac:dyDescent="0.25">
      <c r="B60" s="3">
        <v>167</v>
      </c>
      <c r="C60" s="3" t="s">
        <v>9</v>
      </c>
      <c r="D60" s="3" t="s">
        <v>10</v>
      </c>
      <c r="E60" s="4">
        <v>42832</v>
      </c>
      <c r="F60" s="4"/>
      <c r="G60" s="3" t="s">
        <v>29</v>
      </c>
      <c r="H60" s="5">
        <v>9110</v>
      </c>
      <c r="I60" s="3" t="str">
        <f>VLOOKUP(Tabela1[[#This Row],[Advogado]],Tabela2[],2,FALSE)</f>
        <v>Caio Brito</v>
      </c>
      <c r="J60" s="17">
        <f>IF(Tabela1[[#This Row],[Data de conclusão]]="",NETWORKDAYS(Tabela1[[#This Row],[Data de entrada]],$J$2),NETWORKDAYS(Tabela1[[#This Row],[Data de entrada]],Tabela1[[#This Row],[Data de conclusão]]))</f>
        <v>288</v>
      </c>
      <c r="K60" s="1"/>
    </row>
    <row r="61" spans="2:11" x14ac:dyDescent="0.25">
      <c r="B61" s="3">
        <v>168</v>
      </c>
      <c r="C61" s="3" t="s">
        <v>7</v>
      </c>
      <c r="D61" s="3" t="s">
        <v>11</v>
      </c>
      <c r="E61" s="4">
        <v>42720</v>
      </c>
      <c r="F61" s="4"/>
      <c r="G61" s="3" t="s">
        <v>29</v>
      </c>
      <c r="H61" s="5">
        <v>39478</v>
      </c>
      <c r="I61" s="3" t="str">
        <f>VLOOKUP(Tabela1[[#This Row],[Advogado]],Tabela2[],2,FALSE)</f>
        <v>Caio Brito</v>
      </c>
      <c r="J61" s="17">
        <f>IF(Tabela1[[#This Row],[Data de conclusão]]="",NETWORKDAYS(Tabela1[[#This Row],[Data de entrada]],$J$2),NETWORKDAYS(Tabela1[[#This Row],[Data de entrada]],Tabela1[[#This Row],[Data de conclusão]]))</f>
        <v>368</v>
      </c>
      <c r="K61" s="1"/>
    </row>
    <row r="62" spans="2:11" x14ac:dyDescent="0.25">
      <c r="B62" s="3">
        <v>169</v>
      </c>
      <c r="C62" s="3" t="s">
        <v>8</v>
      </c>
      <c r="D62" s="3" t="s">
        <v>12</v>
      </c>
      <c r="E62" s="4">
        <v>42811</v>
      </c>
      <c r="F62" s="4"/>
      <c r="G62" s="3" t="s">
        <v>29</v>
      </c>
      <c r="H62" s="5">
        <v>7091</v>
      </c>
      <c r="I62" s="3" t="str">
        <f>VLOOKUP(Tabela1[[#This Row],[Advogado]],Tabela2[],2,FALSE)</f>
        <v>Caio Brito</v>
      </c>
      <c r="J62" s="17">
        <f>IF(Tabela1[[#This Row],[Data de conclusão]]="",NETWORKDAYS(Tabela1[[#This Row],[Data de entrada]],$J$2),NETWORKDAYS(Tabela1[[#This Row],[Data de entrada]],Tabela1[[#This Row],[Data de conclusão]]))</f>
        <v>303</v>
      </c>
      <c r="K62" s="1"/>
    </row>
    <row r="63" spans="2:11" x14ac:dyDescent="0.25">
      <c r="B63" s="3">
        <v>170</v>
      </c>
      <c r="C63" s="3" t="s">
        <v>9</v>
      </c>
      <c r="D63" s="3" t="s">
        <v>13</v>
      </c>
      <c r="E63" s="4">
        <v>42697</v>
      </c>
      <c r="F63" s="4"/>
      <c r="G63" s="3" t="s">
        <v>29</v>
      </c>
      <c r="H63" s="5">
        <v>17240</v>
      </c>
      <c r="I63" s="3" t="str">
        <f>VLOOKUP(Tabela1[[#This Row],[Advogado]],Tabela2[],2,FALSE)</f>
        <v>Caio Brito</v>
      </c>
      <c r="J63" s="17">
        <f>IF(Tabela1[[#This Row],[Data de conclusão]]="",NETWORKDAYS(Tabela1[[#This Row],[Data de entrada]],$J$2),NETWORKDAYS(Tabela1[[#This Row],[Data de entrada]],Tabela1[[#This Row],[Data de conclusão]]))</f>
        <v>385</v>
      </c>
      <c r="K63" s="1"/>
    </row>
    <row r="64" spans="2:11" x14ac:dyDescent="0.25">
      <c r="B64" s="3">
        <v>171</v>
      </c>
      <c r="C64" s="3" t="s">
        <v>7</v>
      </c>
      <c r="D64" s="3" t="s">
        <v>14</v>
      </c>
      <c r="E64" s="4">
        <v>42371</v>
      </c>
      <c r="F64" s="4"/>
      <c r="G64" s="3" t="s">
        <v>29</v>
      </c>
      <c r="H64" s="5">
        <v>960</v>
      </c>
      <c r="I64" s="3" t="str">
        <f>VLOOKUP(Tabela1[[#This Row],[Advogado]],Tabela2[],2,FALSE)</f>
        <v>Renê Amaranto</v>
      </c>
      <c r="J64" s="17">
        <f>IF(Tabela1[[#This Row],[Data de conclusão]]="",NETWORKDAYS(Tabela1[[#This Row],[Data de entrada]],$J$2),NETWORKDAYS(Tabela1[[#This Row],[Data de entrada]],Tabela1[[#This Row],[Data de conclusão]]))</f>
        <v>617</v>
      </c>
      <c r="K64" s="1"/>
    </row>
    <row r="65" spans="2:11" x14ac:dyDescent="0.25">
      <c r="B65" s="3">
        <v>172</v>
      </c>
      <c r="C65" s="3" t="s">
        <v>8</v>
      </c>
      <c r="D65" s="3" t="s">
        <v>15</v>
      </c>
      <c r="E65" s="4">
        <v>42933</v>
      </c>
      <c r="F65" s="4"/>
      <c r="G65" s="3" t="s">
        <v>29</v>
      </c>
      <c r="H65" s="5">
        <v>16723</v>
      </c>
      <c r="I65" s="3" t="str">
        <f>VLOOKUP(Tabela1[[#This Row],[Advogado]],Tabela2[],2,FALSE)</f>
        <v>Renê Amaranto</v>
      </c>
      <c r="J65" s="17">
        <f>IF(Tabela1[[#This Row],[Data de conclusão]]="",NETWORKDAYS(Tabela1[[#This Row],[Data de entrada]],$J$2),NETWORKDAYS(Tabela1[[#This Row],[Data de entrada]],Tabela1[[#This Row],[Data de conclusão]]))</f>
        <v>217</v>
      </c>
      <c r="K65" s="1"/>
    </row>
    <row r="66" spans="2:11" x14ac:dyDescent="0.25">
      <c r="B66" s="3">
        <v>173</v>
      </c>
      <c r="C66" s="3" t="s">
        <v>9</v>
      </c>
      <c r="D66" s="3" t="s">
        <v>16</v>
      </c>
      <c r="E66" s="4">
        <v>43008</v>
      </c>
      <c r="F66" s="4"/>
      <c r="G66" s="3" t="s">
        <v>29</v>
      </c>
      <c r="H66" s="5">
        <v>42640</v>
      </c>
      <c r="I66" s="3" t="str">
        <f>VLOOKUP(Tabela1[[#This Row],[Advogado]],Tabela2[],2,FALSE)</f>
        <v>Renê Amaranto</v>
      </c>
      <c r="J66" s="17">
        <f>IF(Tabela1[[#This Row],[Data de conclusão]]="",NETWORKDAYS(Tabela1[[#This Row],[Data de entrada]],$J$2),NETWORKDAYS(Tabela1[[#This Row],[Data de entrada]],Tabela1[[#This Row],[Data de conclusão]]))</f>
        <v>162</v>
      </c>
      <c r="K66" s="1"/>
    </row>
    <row r="67" spans="2:11" x14ac:dyDescent="0.25">
      <c r="B67" s="3">
        <v>174</v>
      </c>
      <c r="C67" s="3" t="s">
        <v>7</v>
      </c>
      <c r="D67" s="3" t="s">
        <v>17</v>
      </c>
      <c r="E67" s="4">
        <v>43009</v>
      </c>
      <c r="F67" s="4">
        <v>43044</v>
      </c>
      <c r="G67" s="3" t="s">
        <v>28</v>
      </c>
      <c r="H67" s="5">
        <v>26574</v>
      </c>
      <c r="I67" s="3" t="str">
        <f>VLOOKUP(Tabela1[[#This Row],[Advogado]],Tabela2[],2,FALSE)</f>
        <v>Renê Amaranto</v>
      </c>
      <c r="J67" s="17">
        <f>IF(Tabela1[[#This Row],[Data de conclusão]]="",NETWORKDAYS(Tabela1[[#This Row],[Data de entrada]],$J$2),NETWORKDAYS(Tabela1[[#This Row],[Data de entrada]],Tabela1[[#This Row],[Data de conclusão]]))</f>
        <v>25</v>
      </c>
      <c r="K67" s="1"/>
    </row>
    <row r="68" spans="2:11" x14ac:dyDescent="0.25">
      <c r="B68" s="3">
        <v>175</v>
      </c>
      <c r="C68" s="3" t="s">
        <v>8</v>
      </c>
      <c r="D68" s="3" t="s">
        <v>10</v>
      </c>
      <c r="E68" s="4">
        <v>42545</v>
      </c>
      <c r="F68" s="4"/>
      <c r="G68" s="3" t="s">
        <v>27</v>
      </c>
      <c r="H68" s="5">
        <v>43713</v>
      </c>
      <c r="I68" s="3" t="str">
        <f>VLOOKUP(Tabela1[[#This Row],[Advogado]],Tabela2[],2,FALSE)</f>
        <v>Caio Brito</v>
      </c>
      <c r="J68" s="17">
        <f>IF(Tabela1[[#This Row],[Data de conclusão]]="",NETWORKDAYS(Tabela1[[#This Row],[Data de entrada]],$J$2),NETWORKDAYS(Tabela1[[#This Row],[Data de entrada]],Tabela1[[#This Row],[Data de conclusão]]))</f>
        <v>493</v>
      </c>
      <c r="K68" s="1"/>
    </row>
    <row r="69" spans="2:11" x14ac:dyDescent="0.25">
      <c r="B69" s="3">
        <v>176</v>
      </c>
      <c r="C69" s="3" t="s">
        <v>9</v>
      </c>
      <c r="D69" s="3" t="s">
        <v>11</v>
      </c>
      <c r="E69" s="4">
        <v>43024</v>
      </c>
      <c r="F69" s="4"/>
      <c r="G69" s="3" t="s">
        <v>29</v>
      </c>
      <c r="H69" s="5">
        <v>1610</v>
      </c>
      <c r="I69" s="3" t="str">
        <f>VLOOKUP(Tabela1[[#This Row],[Advogado]],Tabela2[],2,FALSE)</f>
        <v>Caio Brito</v>
      </c>
      <c r="J69" s="17">
        <f>IF(Tabela1[[#This Row],[Data de conclusão]]="",NETWORKDAYS(Tabela1[[#This Row],[Data de entrada]],$J$2),NETWORKDAYS(Tabela1[[#This Row],[Data de entrada]],Tabela1[[#This Row],[Data de conclusão]]))</f>
        <v>152</v>
      </c>
      <c r="K69" s="1"/>
    </row>
    <row r="70" spans="2:11" x14ac:dyDescent="0.25">
      <c r="B70" s="3">
        <v>177</v>
      </c>
      <c r="C70" s="3" t="s">
        <v>7</v>
      </c>
      <c r="D70" s="3" t="s">
        <v>12</v>
      </c>
      <c r="E70" s="4">
        <v>42526</v>
      </c>
      <c r="F70" s="4"/>
      <c r="G70" s="3" t="s">
        <v>29</v>
      </c>
      <c r="H70" s="5">
        <v>3554</v>
      </c>
      <c r="I70" s="3" t="str">
        <f>VLOOKUP(Tabela1[[#This Row],[Advogado]],Tabela2[],2,FALSE)</f>
        <v>Caio Brito</v>
      </c>
      <c r="J70" s="17">
        <f>IF(Tabela1[[#This Row],[Data de conclusão]]="",NETWORKDAYS(Tabela1[[#This Row],[Data de entrada]],$J$2),NETWORKDAYS(Tabela1[[#This Row],[Data de entrada]],Tabela1[[#This Row],[Data de conclusão]]))</f>
        <v>507</v>
      </c>
      <c r="K70" s="1"/>
    </row>
    <row r="71" spans="2:11" x14ac:dyDescent="0.25">
      <c r="B71" s="3">
        <v>178</v>
      </c>
      <c r="C71" s="3" t="s">
        <v>8</v>
      </c>
      <c r="D71" s="3" t="s">
        <v>13</v>
      </c>
      <c r="E71" s="4">
        <v>42384</v>
      </c>
      <c r="F71" s="4"/>
      <c r="G71" s="3" t="s">
        <v>29</v>
      </c>
      <c r="H71" s="5">
        <v>25601</v>
      </c>
      <c r="I71" s="3" t="str">
        <f>VLOOKUP(Tabela1[[#This Row],[Advogado]],Tabela2[],2,FALSE)</f>
        <v>Caio Brito</v>
      </c>
      <c r="J71" s="17">
        <f>IF(Tabela1[[#This Row],[Data de conclusão]]="",NETWORKDAYS(Tabela1[[#This Row],[Data de entrada]],$J$2),NETWORKDAYS(Tabela1[[#This Row],[Data de entrada]],Tabela1[[#This Row],[Data de conclusão]]))</f>
        <v>608</v>
      </c>
      <c r="K71" s="1"/>
    </row>
    <row r="72" spans="2:11" x14ac:dyDescent="0.25">
      <c r="B72" s="3">
        <v>179</v>
      </c>
      <c r="C72" s="3" t="s">
        <v>9</v>
      </c>
      <c r="D72" s="3" t="s">
        <v>14</v>
      </c>
      <c r="E72" s="4">
        <v>42674</v>
      </c>
      <c r="F72" s="4"/>
      <c r="G72" s="3" t="s">
        <v>29</v>
      </c>
      <c r="H72" s="5">
        <v>38844</v>
      </c>
      <c r="I72" s="3" t="str">
        <f>VLOOKUP(Tabela1[[#This Row],[Advogado]],Tabela2[],2,FALSE)</f>
        <v>Renê Amaranto</v>
      </c>
      <c r="J72" s="17">
        <f>IF(Tabela1[[#This Row],[Data de conclusão]]="",NETWORKDAYS(Tabela1[[#This Row],[Data de entrada]],$J$2),NETWORKDAYS(Tabela1[[#This Row],[Data de entrada]],Tabela1[[#This Row],[Data de conclusão]]))</f>
        <v>402</v>
      </c>
      <c r="K72" s="1"/>
    </row>
    <row r="73" spans="2:11" x14ac:dyDescent="0.25">
      <c r="B73" s="3">
        <v>180</v>
      </c>
      <c r="C73" s="3" t="s">
        <v>7</v>
      </c>
      <c r="D73" s="3" t="s">
        <v>15</v>
      </c>
      <c r="E73" s="4">
        <v>42705</v>
      </c>
      <c r="F73" s="4"/>
      <c r="G73" s="3" t="s">
        <v>29</v>
      </c>
      <c r="H73" s="5">
        <v>26651</v>
      </c>
      <c r="I73" s="3" t="str">
        <f>VLOOKUP(Tabela1[[#This Row],[Advogado]],Tabela2[],2,FALSE)</f>
        <v>Renê Amaranto</v>
      </c>
      <c r="J73" s="17">
        <f>IF(Tabela1[[#This Row],[Data de conclusão]]="",NETWORKDAYS(Tabela1[[#This Row],[Data de entrada]],$J$2),NETWORKDAYS(Tabela1[[#This Row],[Data de entrada]],Tabela1[[#This Row],[Data de conclusão]]))</f>
        <v>379</v>
      </c>
      <c r="K73" s="1"/>
    </row>
    <row r="74" spans="2:11" x14ac:dyDescent="0.25">
      <c r="B74" s="3">
        <v>181</v>
      </c>
      <c r="C74" s="3" t="s">
        <v>8</v>
      </c>
      <c r="D74" s="3" t="s">
        <v>11</v>
      </c>
      <c r="E74" s="4">
        <v>42469</v>
      </c>
      <c r="F74" s="4"/>
      <c r="G74" s="3" t="s">
        <v>29</v>
      </c>
      <c r="H74" s="5">
        <v>50920</v>
      </c>
      <c r="I74" s="3" t="str">
        <f>VLOOKUP(Tabela1[[#This Row],[Advogado]],Tabela2[],2,FALSE)</f>
        <v>Caio Brito</v>
      </c>
      <c r="J74" s="17">
        <f>IF(Tabela1[[#This Row],[Data de conclusão]]="",NETWORKDAYS(Tabela1[[#This Row],[Data de entrada]],$J$2),NETWORKDAYS(Tabela1[[#This Row],[Data de entrada]],Tabela1[[#This Row],[Data de conclusão]]))</f>
        <v>547</v>
      </c>
      <c r="K74" s="1"/>
    </row>
    <row r="75" spans="2:11" x14ac:dyDescent="0.25">
      <c r="B75" s="3">
        <v>182</v>
      </c>
      <c r="C75" s="3" t="s">
        <v>9</v>
      </c>
      <c r="D75" s="3" t="s">
        <v>17</v>
      </c>
      <c r="E75" s="4">
        <v>42596</v>
      </c>
      <c r="F75" s="4"/>
      <c r="G75" s="3" t="s">
        <v>29</v>
      </c>
      <c r="H75" s="5">
        <v>5059</v>
      </c>
      <c r="I75" s="3" t="str">
        <f>VLOOKUP(Tabela1[[#This Row],[Advogado]],Tabela2[],2,FALSE)</f>
        <v>Renê Amaranto</v>
      </c>
      <c r="J75" s="17">
        <f>IF(Tabela1[[#This Row],[Data de conclusão]]="",NETWORKDAYS(Tabela1[[#This Row],[Data de entrada]],$J$2),NETWORKDAYS(Tabela1[[#This Row],[Data de entrada]],Tabela1[[#This Row],[Data de conclusão]]))</f>
        <v>457</v>
      </c>
      <c r="K75" s="1"/>
    </row>
    <row r="76" spans="2:11" x14ac:dyDescent="0.25">
      <c r="B76" s="3">
        <v>183</v>
      </c>
      <c r="C76" s="3" t="s">
        <v>7</v>
      </c>
      <c r="D76" s="3" t="s">
        <v>10</v>
      </c>
      <c r="E76" s="4">
        <v>42985</v>
      </c>
      <c r="F76" s="4"/>
      <c r="G76" s="3" t="s">
        <v>29</v>
      </c>
      <c r="H76" s="5">
        <v>28064</v>
      </c>
      <c r="I76" s="3" t="str">
        <f>VLOOKUP(Tabela1[[#This Row],[Advogado]],Tabela2[],2,FALSE)</f>
        <v>Caio Brito</v>
      </c>
      <c r="J76" s="17">
        <f>IF(Tabela1[[#This Row],[Data de conclusão]]="",NETWORKDAYS(Tabela1[[#This Row],[Data de entrada]],$J$2),NETWORKDAYS(Tabela1[[#This Row],[Data de entrada]],Tabela1[[#This Row],[Data de conclusão]]))</f>
        <v>179</v>
      </c>
      <c r="K76" s="1"/>
    </row>
    <row r="77" spans="2:11" x14ac:dyDescent="0.25">
      <c r="B77" s="3">
        <v>184</v>
      </c>
      <c r="C77" s="3" t="s">
        <v>8</v>
      </c>
      <c r="D77" s="3" t="s">
        <v>11</v>
      </c>
      <c r="E77" s="4">
        <v>42697</v>
      </c>
      <c r="F77" s="4"/>
      <c r="G77" s="3" t="s">
        <v>29</v>
      </c>
      <c r="H77" s="5">
        <v>27914</v>
      </c>
      <c r="I77" s="3" t="str">
        <f>VLOOKUP(Tabela1[[#This Row],[Advogado]],Tabela2[],2,FALSE)</f>
        <v>Caio Brito</v>
      </c>
      <c r="J77" s="17">
        <f>IF(Tabela1[[#This Row],[Data de conclusão]]="",NETWORKDAYS(Tabela1[[#This Row],[Data de entrada]],$J$2),NETWORKDAYS(Tabela1[[#This Row],[Data de entrada]],Tabela1[[#This Row],[Data de conclusão]]))</f>
        <v>385</v>
      </c>
      <c r="K77" s="1"/>
    </row>
    <row r="78" spans="2:11" x14ac:dyDescent="0.25">
      <c r="B78" s="3">
        <v>185</v>
      </c>
      <c r="C78" s="3" t="s">
        <v>9</v>
      </c>
      <c r="D78" s="3" t="s">
        <v>12</v>
      </c>
      <c r="E78" s="4">
        <v>42742</v>
      </c>
      <c r="F78" s="4"/>
      <c r="G78" s="3" t="s">
        <v>29</v>
      </c>
      <c r="H78" s="5">
        <v>38705</v>
      </c>
      <c r="I78" s="3" t="str">
        <f>VLOOKUP(Tabela1[[#This Row],[Advogado]],Tabela2[],2,FALSE)</f>
        <v>Caio Brito</v>
      </c>
      <c r="J78" s="17">
        <f>IF(Tabela1[[#This Row],[Data de conclusão]]="",NETWORKDAYS(Tabela1[[#This Row],[Data de entrada]],$J$2),NETWORKDAYS(Tabela1[[#This Row],[Data de entrada]],Tabela1[[#This Row],[Data de conclusão]]))</f>
        <v>352</v>
      </c>
      <c r="K78" s="1"/>
    </row>
    <row r="79" spans="2:11" x14ac:dyDescent="0.25">
      <c r="B79" s="3">
        <v>186</v>
      </c>
      <c r="C79" s="3" t="s">
        <v>7</v>
      </c>
      <c r="D79" s="3" t="s">
        <v>13</v>
      </c>
      <c r="E79" s="4">
        <v>42583</v>
      </c>
      <c r="F79" s="4"/>
      <c r="G79" s="3" t="s">
        <v>29</v>
      </c>
      <c r="H79" s="5">
        <v>36791</v>
      </c>
      <c r="I79" s="3" t="str">
        <f>VLOOKUP(Tabela1[[#This Row],[Advogado]],Tabela2[],2,FALSE)</f>
        <v>Caio Brito</v>
      </c>
      <c r="J79" s="17">
        <f>IF(Tabela1[[#This Row],[Data de conclusão]]="",NETWORKDAYS(Tabela1[[#This Row],[Data de entrada]],$J$2),NETWORKDAYS(Tabela1[[#This Row],[Data de entrada]],Tabela1[[#This Row],[Data de conclusão]]))</f>
        <v>467</v>
      </c>
      <c r="K79" s="1"/>
    </row>
    <row r="80" spans="2:11" x14ac:dyDescent="0.25">
      <c r="B80" s="3">
        <v>187</v>
      </c>
      <c r="C80" s="3" t="s">
        <v>8</v>
      </c>
      <c r="D80" s="3" t="s">
        <v>14</v>
      </c>
      <c r="E80" s="4">
        <v>42400</v>
      </c>
      <c r="F80" s="4">
        <v>42449</v>
      </c>
      <c r="G80" s="3" t="s">
        <v>28</v>
      </c>
      <c r="H80" s="5">
        <v>34074</v>
      </c>
      <c r="I80" s="3" t="str">
        <f>VLOOKUP(Tabela1[[#This Row],[Advogado]],Tabela2[],2,FALSE)</f>
        <v>Renê Amaranto</v>
      </c>
      <c r="J80" s="17">
        <f>IF(Tabela1[[#This Row],[Data de conclusão]]="",NETWORKDAYS(Tabela1[[#This Row],[Data de entrada]],$J$2),NETWORKDAYS(Tabela1[[#This Row],[Data de entrada]],Tabela1[[#This Row],[Data de conclusão]]))</f>
        <v>35</v>
      </c>
      <c r="K80" s="1"/>
    </row>
    <row r="81" spans="2:11" x14ac:dyDescent="0.25">
      <c r="B81" s="3">
        <v>188</v>
      </c>
      <c r="C81" s="3" t="s">
        <v>9</v>
      </c>
      <c r="D81" s="3" t="s">
        <v>15</v>
      </c>
      <c r="E81" s="4">
        <v>42699</v>
      </c>
      <c r="F81" s="4"/>
      <c r="G81" s="3" t="s">
        <v>27</v>
      </c>
      <c r="H81" s="5">
        <v>9734</v>
      </c>
      <c r="I81" s="3" t="str">
        <f>VLOOKUP(Tabela1[[#This Row],[Advogado]],Tabela2[],2,FALSE)</f>
        <v>Renê Amaranto</v>
      </c>
      <c r="J81" s="17">
        <f>IF(Tabela1[[#This Row],[Data de conclusão]]="",NETWORKDAYS(Tabela1[[#This Row],[Data de entrada]],$J$2),NETWORKDAYS(Tabela1[[#This Row],[Data de entrada]],Tabela1[[#This Row],[Data de conclusão]]))</f>
        <v>383</v>
      </c>
      <c r="K81" s="1"/>
    </row>
    <row r="82" spans="2:11" x14ac:dyDescent="0.25">
      <c r="B82" s="3">
        <v>189</v>
      </c>
      <c r="C82" s="3" t="s">
        <v>7</v>
      </c>
      <c r="D82" s="3" t="s">
        <v>11</v>
      </c>
      <c r="E82" s="4">
        <v>42578</v>
      </c>
      <c r="F82" s="4"/>
      <c r="G82" s="3" t="s">
        <v>29</v>
      </c>
      <c r="H82" s="5">
        <v>14187</v>
      </c>
      <c r="I82" s="3" t="str">
        <f>VLOOKUP(Tabela1[[#This Row],[Advogado]],Tabela2[],2,FALSE)</f>
        <v>Caio Brito</v>
      </c>
      <c r="J82" s="17">
        <f>IF(Tabela1[[#This Row],[Data de conclusão]]="",NETWORKDAYS(Tabela1[[#This Row],[Data de entrada]],$J$2),NETWORKDAYS(Tabela1[[#This Row],[Data de entrada]],Tabela1[[#This Row],[Data de conclusão]]))</f>
        <v>470</v>
      </c>
      <c r="K82" s="1"/>
    </row>
    <row r="83" spans="2:11" x14ac:dyDescent="0.25">
      <c r="B83" s="3">
        <v>190</v>
      </c>
      <c r="C83" s="3" t="s">
        <v>8</v>
      </c>
      <c r="D83" s="3" t="s">
        <v>11</v>
      </c>
      <c r="E83" s="4">
        <v>42761</v>
      </c>
      <c r="F83" s="4"/>
      <c r="G83" s="3" t="s">
        <v>29</v>
      </c>
      <c r="H83" s="5">
        <v>30938</v>
      </c>
      <c r="I83" s="3" t="str">
        <f>VLOOKUP(Tabela1[[#This Row],[Advogado]],Tabela2[],2,FALSE)</f>
        <v>Caio Brito</v>
      </c>
      <c r="J83" s="17">
        <f>IF(Tabela1[[#This Row],[Data de conclusão]]="",NETWORKDAYS(Tabela1[[#This Row],[Data de entrada]],$J$2),NETWORKDAYS(Tabela1[[#This Row],[Data de entrada]],Tabela1[[#This Row],[Data de conclusão]]))</f>
        <v>339</v>
      </c>
      <c r="K83" s="1"/>
    </row>
    <row r="84" spans="2:11" x14ac:dyDescent="0.25">
      <c r="B84" s="3">
        <v>191</v>
      </c>
      <c r="C84" s="3" t="s">
        <v>9</v>
      </c>
      <c r="D84" s="3" t="s">
        <v>11</v>
      </c>
      <c r="E84" s="4">
        <v>42810</v>
      </c>
      <c r="F84" s="4"/>
      <c r="G84" s="3" t="s">
        <v>29</v>
      </c>
      <c r="H84" s="5">
        <v>14393</v>
      </c>
      <c r="I84" s="3" t="str">
        <f>VLOOKUP(Tabela1[[#This Row],[Advogado]],Tabela2[],2,FALSE)</f>
        <v>Caio Brito</v>
      </c>
      <c r="J84" s="17">
        <f>IF(Tabela1[[#This Row],[Data de conclusão]]="",NETWORKDAYS(Tabela1[[#This Row],[Data de entrada]],$J$2),NETWORKDAYS(Tabela1[[#This Row],[Data de entrada]],Tabela1[[#This Row],[Data de conclusão]]))</f>
        <v>304</v>
      </c>
      <c r="K84" s="1"/>
    </row>
    <row r="85" spans="2:11" x14ac:dyDescent="0.25">
      <c r="B85" s="3">
        <v>192</v>
      </c>
      <c r="C85" s="3" t="s">
        <v>7</v>
      </c>
      <c r="D85" s="3" t="s">
        <v>11</v>
      </c>
      <c r="E85" s="4">
        <v>42605</v>
      </c>
      <c r="F85" s="4"/>
      <c r="G85" s="3" t="s">
        <v>29</v>
      </c>
      <c r="H85" s="5">
        <v>38552</v>
      </c>
      <c r="I85" s="3" t="str">
        <f>VLOOKUP(Tabela1[[#This Row],[Advogado]],Tabela2[],2,FALSE)</f>
        <v>Caio Brito</v>
      </c>
      <c r="J85" s="17">
        <f>IF(Tabela1[[#This Row],[Data de conclusão]]="",NETWORKDAYS(Tabela1[[#This Row],[Data de entrada]],$J$2),NETWORKDAYS(Tabela1[[#This Row],[Data de entrada]],Tabela1[[#This Row],[Data de conclusão]]))</f>
        <v>451</v>
      </c>
      <c r="K85" s="1"/>
    </row>
    <row r="86" spans="2:11" x14ac:dyDescent="0.25">
      <c r="B86" s="3">
        <v>193</v>
      </c>
      <c r="C86" s="3" t="s">
        <v>8</v>
      </c>
      <c r="D86" s="3" t="s">
        <v>11</v>
      </c>
      <c r="E86" s="4">
        <v>42909</v>
      </c>
      <c r="F86" s="4"/>
      <c r="G86" s="3" t="s">
        <v>29</v>
      </c>
      <c r="H86" s="5">
        <v>41701</v>
      </c>
      <c r="I86" s="3" t="str">
        <f>VLOOKUP(Tabela1[[#This Row],[Advogado]],Tabela2[],2,FALSE)</f>
        <v>Caio Brito</v>
      </c>
      <c r="J86" s="17">
        <f>IF(Tabela1[[#This Row],[Data de conclusão]]="",NETWORKDAYS(Tabela1[[#This Row],[Data de entrada]],$J$2),NETWORKDAYS(Tabela1[[#This Row],[Data de entrada]],Tabela1[[#This Row],[Data de conclusão]]))</f>
        <v>233</v>
      </c>
      <c r="K86" s="1"/>
    </row>
    <row r="87" spans="2:11" x14ac:dyDescent="0.25">
      <c r="B87" s="3">
        <v>194</v>
      </c>
      <c r="C87" s="3" t="s">
        <v>9</v>
      </c>
      <c r="D87" s="3" t="s">
        <v>11</v>
      </c>
      <c r="E87" s="4">
        <v>42868</v>
      </c>
      <c r="F87" s="4"/>
      <c r="G87" s="3" t="s">
        <v>29</v>
      </c>
      <c r="H87" s="5">
        <v>36698</v>
      </c>
      <c r="I87" s="3" t="str">
        <f>VLOOKUP(Tabela1[[#This Row],[Advogado]],Tabela2[],2,FALSE)</f>
        <v>Caio Brito</v>
      </c>
      <c r="J87" s="17">
        <f>IF(Tabela1[[#This Row],[Data de conclusão]]="",NETWORKDAYS(Tabela1[[#This Row],[Data de entrada]],$J$2),NETWORKDAYS(Tabela1[[#This Row],[Data de entrada]],Tabela1[[#This Row],[Data de conclusão]]))</f>
        <v>262</v>
      </c>
      <c r="K87" s="1"/>
    </row>
    <row r="88" spans="2:11" x14ac:dyDescent="0.25">
      <c r="B88" s="3">
        <v>195</v>
      </c>
      <c r="C88" s="3" t="s">
        <v>7</v>
      </c>
      <c r="D88" s="3" t="s">
        <v>14</v>
      </c>
      <c r="E88" s="4">
        <v>42967</v>
      </c>
      <c r="F88" s="4"/>
      <c r="G88" s="3" t="s">
        <v>29</v>
      </c>
      <c r="H88" s="5">
        <v>16882</v>
      </c>
      <c r="I88" s="3" t="str">
        <f>VLOOKUP(Tabela1[[#This Row],[Advogado]],Tabela2[],2,FALSE)</f>
        <v>Renê Amaranto</v>
      </c>
      <c r="J88" s="17">
        <f>IF(Tabela1[[#This Row],[Data de conclusão]]="",NETWORKDAYS(Tabela1[[#This Row],[Data de entrada]],$J$2),NETWORKDAYS(Tabela1[[#This Row],[Data de entrada]],Tabela1[[#This Row],[Data de conclusão]]))</f>
        <v>192</v>
      </c>
      <c r="K88" s="1"/>
    </row>
    <row r="89" spans="2:11" x14ac:dyDescent="0.25">
      <c r="B89" s="3">
        <v>196</v>
      </c>
      <c r="C89" s="3" t="s">
        <v>8</v>
      </c>
      <c r="D89" s="3" t="s">
        <v>15</v>
      </c>
      <c r="E89" s="4">
        <v>42415</v>
      </c>
      <c r="F89" s="4"/>
      <c r="G89" s="3" t="s">
        <v>29</v>
      </c>
      <c r="H89" s="5">
        <v>14284</v>
      </c>
      <c r="I89" s="3" t="str">
        <f>VLOOKUP(Tabela1[[#This Row],[Advogado]],Tabela2[],2,FALSE)</f>
        <v>Renê Amaranto</v>
      </c>
      <c r="J89" s="17">
        <f>IF(Tabela1[[#This Row],[Data de conclusão]]="",NETWORKDAYS(Tabela1[[#This Row],[Data de entrada]],$J$2),NETWORKDAYS(Tabela1[[#This Row],[Data de entrada]],Tabela1[[#This Row],[Data de conclusão]]))</f>
        <v>587</v>
      </c>
      <c r="K89" s="1"/>
    </row>
    <row r="90" spans="2:11" x14ac:dyDescent="0.25">
      <c r="B90" s="3">
        <v>197</v>
      </c>
      <c r="C90" s="3" t="s">
        <v>9</v>
      </c>
      <c r="D90" s="3" t="s">
        <v>16</v>
      </c>
      <c r="E90" s="4">
        <v>43044</v>
      </c>
      <c r="F90" s="4"/>
      <c r="G90" s="3" t="s">
        <v>29</v>
      </c>
      <c r="H90" s="5">
        <v>16336</v>
      </c>
      <c r="I90" s="3" t="str">
        <f>VLOOKUP(Tabela1[[#This Row],[Advogado]],Tabela2[],2,FALSE)</f>
        <v>Renê Amaranto</v>
      </c>
      <c r="J90" s="17">
        <f>IF(Tabela1[[#This Row],[Data de conclusão]]="",NETWORKDAYS(Tabela1[[#This Row],[Data de entrada]],$J$2),NETWORKDAYS(Tabela1[[#This Row],[Data de entrada]],Tabela1[[#This Row],[Data de conclusão]]))</f>
        <v>137</v>
      </c>
      <c r="K90" s="1"/>
    </row>
    <row r="91" spans="2:11" x14ac:dyDescent="0.25">
      <c r="B91" s="3">
        <v>198</v>
      </c>
      <c r="C91" s="3" t="s">
        <v>7</v>
      </c>
      <c r="D91" s="3" t="s">
        <v>17</v>
      </c>
      <c r="E91" s="4">
        <v>42564</v>
      </c>
      <c r="F91" s="4"/>
      <c r="G91" s="3" t="s">
        <v>29</v>
      </c>
      <c r="H91" s="5">
        <v>13963</v>
      </c>
      <c r="I91" s="3" t="str">
        <f>VLOOKUP(Tabela1[[#This Row],[Advogado]],Tabela2[],2,FALSE)</f>
        <v>Renê Amaranto</v>
      </c>
      <c r="J91" s="17">
        <f>IF(Tabela1[[#This Row],[Data de conclusão]]="",NETWORKDAYS(Tabela1[[#This Row],[Data de entrada]],$J$2),NETWORKDAYS(Tabela1[[#This Row],[Data de entrada]],Tabela1[[#This Row],[Data de conclusão]]))</f>
        <v>480</v>
      </c>
      <c r="K91" s="1"/>
    </row>
    <row r="92" spans="2:11" x14ac:dyDescent="0.25">
      <c r="B92" s="3">
        <v>199</v>
      </c>
      <c r="C92" s="3" t="s">
        <v>8</v>
      </c>
      <c r="D92" s="3" t="s">
        <v>10</v>
      </c>
      <c r="E92" s="4">
        <v>42840</v>
      </c>
      <c r="F92" s="4"/>
      <c r="G92" s="3" t="s">
        <v>29</v>
      </c>
      <c r="H92" s="5">
        <v>34684</v>
      </c>
      <c r="I92" s="3" t="str">
        <f>VLOOKUP(Tabela1[[#This Row],[Advogado]],Tabela2[],2,FALSE)</f>
        <v>Caio Brito</v>
      </c>
      <c r="J92" s="17">
        <f>IF(Tabela1[[#This Row],[Data de conclusão]]="",NETWORKDAYS(Tabela1[[#This Row],[Data de entrada]],$J$2),NETWORKDAYS(Tabela1[[#This Row],[Data de entrada]],Tabela1[[#This Row],[Data de conclusão]]))</f>
        <v>282</v>
      </c>
      <c r="K92" s="1"/>
    </row>
    <row r="93" spans="2:11" x14ac:dyDescent="0.25">
      <c r="B93" s="3">
        <v>200</v>
      </c>
      <c r="C93" s="3" t="s">
        <v>9</v>
      </c>
      <c r="D93" s="3" t="s">
        <v>11</v>
      </c>
      <c r="E93" s="4">
        <v>42669</v>
      </c>
      <c r="F93" s="4">
        <v>42717</v>
      </c>
      <c r="G93" s="3" t="s">
        <v>28</v>
      </c>
      <c r="H93" s="5">
        <v>1712</v>
      </c>
      <c r="I93" s="3" t="str">
        <f>VLOOKUP(Tabela1[[#This Row],[Advogado]],Tabela2[],2,FALSE)</f>
        <v>Caio Brito</v>
      </c>
      <c r="J93" s="17">
        <f>IF(Tabela1[[#This Row],[Data de conclusão]]="",NETWORKDAYS(Tabela1[[#This Row],[Data de entrada]],$J$2),NETWORKDAYS(Tabela1[[#This Row],[Data de entrada]],Tabela1[[#This Row],[Data de conclusão]]))</f>
        <v>35</v>
      </c>
      <c r="K93" s="1"/>
    </row>
    <row r="94" spans="2:11" x14ac:dyDescent="0.25">
      <c r="B94" s="3">
        <v>201</v>
      </c>
      <c r="C94" s="3" t="s">
        <v>9</v>
      </c>
      <c r="D94" s="3" t="s">
        <v>12</v>
      </c>
      <c r="E94" s="4">
        <v>42531</v>
      </c>
      <c r="F94" s="4"/>
      <c r="G94" s="3" t="s">
        <v>27</v>
      </c>
      <c r="H94" s="5">
        <v>1282</v>
      </c>
      <c r="I94" s="3" t="str">
        <f>VLOOKUP(Tabela1[[#This Row],[Advogado]],Tabela2[],2,FALSE)</f>
        <v>Caio Brito</v>
      </c>
      <c r="J94" s="17">
        <f>IF(Tabela1[[#This Row],[Data de conclusão]]="",NETWORKDAYS(Tabela1[[#This Row],[Data de entrada]],$J$2),NETWORKDAYS(Tabela1[[#This Row],[Data de entrada]],Tabela1[[#This Row],[Data de conclusão]]))</f>
        <v>503</v>
      </c>
      <c r="K94" s="1"/>
    </row>
    <row r="95" spans="2:11" x14ac:dyDescent="0.25">
      <c r="B95" s="3">
        <v>202</v>
      </c>
      <c r="C95" s="3" t="s">
        <v>9</v>
      </c>
      <c r="D95" s="3" t="s">
        <v>13</v>
      </c>
      <c r="E95" s="4">
        <v>42784</v>
      </c>
      <c r="F95" s="4"/>
      <c r="G95" s="3" t="s">
        <v>29</v>
      </c>
      <c r="H95" s="5">
        <v>55920</v>
      </c>
      <c r="I95" s="3" t="str">
        <f>VLOOKUP(Tabela1[[#This Row],[Advogado]],Tabela2[],2,FALSE)</f>
        <v>Caio Brito</v>
      </c>
      <c r="J95" s="17">
        <f>IF(Tabela1[[#This Row],[Data de conclusão]]="",NETWORKDAYS(Tabela1[[#This Row],[Data de entrada]],$J$2),NETWORKDAYS(Tabela1[[#This Row],[Data de entrada]],Tabela1[[#This Row],[Data de conclusão]]))</f>
        <v>322</v>
      </c>
      <c r="K95" s="1"/>
    </row>
    <row r="96" spans="2:11" x14ac:dyDescent="0.25">
      <c r="B96" s="3">
        <v>203</v>
      </c>
      <c r="C96" s="3" t="s">
        <v>9</v>
      </c>
      <c r="D96" s="3" t="s">
        <v>14</v>
      </c>
      <c r="E96" s="4">
        <v>43091</v>
      </c>
      <c r="F96" s="4"/>
      <c r="G96" s="3" t="s">
        <v>29</v>
      </c>
      <c r="H96" s="5">
        <v>47078</v>
      </c>
      <c r="I96" s="3" t="str">
        <f>VLOOKUP(Tabela1[[#This Row],[Advogado]],Tabela2[],2,FALSE)</f>
        <v>Renê Amaranto</v>
      </c>
      <c r="J96" s="17">
        <f>IF(Tabela1[[#This Row],[Data de conclusão]]="",NETWORKDAYS(Tabela1[[#This Row],[Data de entrada]],$J$2),NETWORKDAYS(Tabela1[[#This Row],[Data de entrada]],Tabela1[[#This Row],[Data de conclusão]]))</f>
        <v>103</v>
      </c>
      <c r="K96" s="1"/>
    </row>
    <row r="97" spans="2:11" x14ac:dyDescent="0.25">
      <c r="B97" s="3">
        <v>204</v>
      </c>
      <c r="C97" s="3" t="s">
        <v>7</v>
      </c>
      <c r="D97" s="3" t="s">
        <v>15</v>
      </c>
      <c r="E97" s="4">
        <v>42565</v>
      </c>
      <c r="F97" s="4"/>
      <c r="G97" s="3" t="s">
        <v>29</v>
      </c>
      <c r="H97" s="5">
        <v>30243</v>
      </c>
      <c r="I97" s="3" t="str">
        <f>VLOOKUP(Tabela1[[#This Row],[Advogado]],Tabela2[],2,FALSE)</f>
        <v>Renê Amaranto</v>
      </c>
      <c r="J97" s="17">
        <f>IF(Tabela1[[#This Row],[Data de conclusão]]="",NETWORKDAYS(Tabela1[[#This Row],[Data de entrada]],$J$2),NETWORKDAYS(Tabela1[[#This Row],[Data de entrada]],Tabela1[[#This Row],[Data de conclusão]]))</f>
        <v>479</v>
      </c>
      <c r="K97" s="1"/>
    </row>
    <row r="98" spans="2:11" x14ac:dyDescent="0.25">
      <c r="B98" s="3">
        <v>205</v>
      </c>
      <c r="C98" s="3" t="s">
        <v>8</v>
      </c>
      <c r="D98" s="3" t="s">
        <v>16</v>
      </c>
      <c r="E98" s="4">
        <v>42812</v>
      </c>
      <c r="F98" s="4"/>
      <c r="G98" s="3" t="s">
        <v>29</v>
      </c>
      <c r="H98" s="5">
        <v>39554</v>
      </c>
      <c r="I98" s="3" t="str">
        <f>VLOOKUP(Tabela1[[#This Row],[Advogado]],Tabela2[],2,FALSE)</f>
        <v>Renê Amaranto</v>
      </c>
      <c r="J98" s="17">
        <f>IF(Tabela1[[#This Row],[Data de conclusão]]="",NETWORKDAYS(Tabela1[[#This Row],[Data de entrada]],$J$2),NETWORKDAYS(Tabela1[[#This Row],[Data de entrada]],Tabela1[[#This Row],[Data de conclusão]]))</f>
        <v>302</v>
      </c>
      <c r="K98" s="1"/>
    </row>
    <row r="99" spans="2:11" x14ac:dyDescent="0.25">
      <c r="B99" s="3">
        <v>206</v>
      </c>
      <c r="C99" s="3" t="s">
        <v>9</v>
      </c>
      <c r="D99" s="3" t="s">
        <v>17</v>
      </c>
      <c r="E99" s="4">
        <v>42435</v>
      </c>
      <c r="F99" s="4"/>
      <c r="G99" s="3" t="s">
        <v>29</v>
      </c>
      <c r="H99" s="5">
        <v>59212</v>
      </c>
      <c r="I99" s="3" t="str">
        <f>VLOOKUP(Tabela1[[#This Row],[Advogado]],Tabela2[],2,FALSE)</f>
        <v>Renê Amaranto</v>
      </c>
      <c r="J99" s="17">
        <f>IF(Tabela1[[#This Row],[Data de conclusão]]="",NETWORKDAYS(Tabela1[[#This Row],[Data de entrada]],$J$2),NETWORKDAYS(Tabela1[[#This Row],[Data de entrada]],Tabela1[[#This Row],[Data de conclusão]]))</f>
        <v>572</v>
      </c>
      <c r="K99" s="1"/>
    </row>
    <row r="100" spans="2:11" x14ac:dyDescent="0.25">
      <c r="B100" s="3">
        <v>207</v>
      </c>
      <c r="C100" s="3" t="s">
        <v>7</v>
      </c>
      <c r="D100" s="3" t="s">
        <v>10</v>
      </c>
      <c r="E100" s="4">
        <v>42676</v>
      </c>
      <c r="F100" s="4"/>
      <c r="G100" s="3" t="s">
        <v>29</v>
      </c>
      <c r="H100" s="5">
        <v>56198</v>
      </c>
      <c r="I100" s="3" t="str">
        <f>VLOOKUP(Tabela1[[#This Row],[Advogado]],Tabela2[],2,FALSE)</f>
        <v>Caio Brito</v>
      </c>
      <c r="J100" s="17">
        <f>IF(Tabela1[[#This Row],[Data de conclusão]]="",NETWORKDAYS(Tabela1[[#This Row],[Data de entrada]],$J$2),NETWORKDAYS(Tabela1[[#This Row],[Data de entrada]],Tabela1[[#This Row],[Data de conclusão]]))</f>
        <v>400</v>
      </c>
      <c r="K100" s="1"/>
    </row>
    <row r="101" spans="2:11" x14ac:dyDescent="0.25">
      <c r="B101" s="3">
        <v>208</v>
      </c>
      <c r="C101" s="3" t="s">
        <v>8</v>
      </c>
      <c r="D101" s="3" t="s">
        <v>11</v>
      </c>
      <c r="E101" s="4">
        <v>42682</v>
      </c>
      <c r="F101" s="4"/>
      <c r="G101" s="3" t="s">
        <v>29</v>
      </c>
      <c r="H101" s="5">
        <v>7576</v>
      </c>
      <c r="I101" s="3" t="str">
        <f>VLOOKUP(Tabela1[[#This Row],[Advogado]],Tabela2[],2,FALSE)</f>
        <v>Caio Brito</v>
      </c>
      <c r="J101" s="17">
        <f>IF(Tabela1[[#This Row],[Data de conclusão]]="",NETWORKDAYS(Tabela1[[#This Row],[Data de entrada]],$J$2),NETWORKDAYS(Tabela1[[#This Row],[Data de entrada]],Tabela1[[#This Row],[Data de conclusão]]))</f>
        <v>396</v>
      </c>
      <c r="K101" s="1"/>
    </row>
    <row r="102" spans="2:11" x14ac:dyDescent="0.25">
      <c r="B102" s="3">
        <v>209</v>
      </c>
      <c r="C102" s="3" t="s">
        <v>9</v>
      </c>
      <c r="D102" s="3" t="s">
        <v>12</v>
      </c>
      <c r="E102" s="4">
        <v>43032</v>
      </c>
      <c r="F102" s="4"/>
      <c r="G102" s="3" t="s">
        <v>29</v>
      </c>
      <c r="H102" s="5">
        <v>45009</v>
      </c>
      <c r="I102" s="3" t="str">
        <f>VLOOKUP(Tabela1[[#This Row],[Advogado]],Tabela2[],2,FALSE)</f>
        <v>Caio Brito</v>
      </c>
      <c r="J102" s="17">
        <f>IF(Tabela1[[#This Row],[Data de conclusão]]="",NETWORKDAYS(Tabela1[[#This Row],[Data de entrada]],$J$2),NETWORKDAYS(Tabela1[[#This Row],[Data de entrada]],Tabela1[[#This Row],[Data de conclusão]]))</f>
        <v>146</v>
      </c>
      <c r="K102" s="1"/>
    </row>
    <row r="103" spans="2:11" x14ac:dyDescent="0.25">
      <c r="B103" s="3">
        <v>210</v>
      </c>
      <c r="C103" s="3" t="s">
        <v>7</v>
      </c>
      <c r="D103" s="3" t="s">
        <v>13</v>
      </c>
      <c r="E103" s="4">
        <v>42408</v>
      </c>
      <c r="F103" s="4"/>
      <c r="G103" s="3" t="s">
        <v>29</v>
      </c>
      <c r="H103" s="5">
        <v>4860</v>
      </c>
      <c r="I103" s="3" t="str">
        <f>VLOOKUP(Tabela1[[#This Row],[Advogado]],Tabela2[],2,FALSE)</f>
        <v>Caio Brito</v>
      </c>
      <c r="J103" s="17">
        <f>IF(Tabela1[[#This Row],[Data de conclusão]]="",NETWORKDAYS(Tabela1[[#This Row],[Data de entrada]],$J$2),NETWORKDAYS(Tabela1[[#This Row],[Data de entrada]],Tabela1[[#This Row],[Data de conclusão]]))</f>
        <v>592</v>
      </c>
      <c r="K103" s="1"/>
    </row>
    <row r="104" spans="2:11" x14ac:dyDescent="0.25">
      <c r="B104" s="3">
        <v>211</v>
      </c>
      <c r="C104" s="3" t="s">
        <v>8</v>
      </c>
      <c r="D104" s="3" t="s">
        <v>14</v>
      </c>
      <c r="E104" s="4">
        <v>42818</v>
      </c>
      <c r="F104" s="4"/>
      <c r="G104" s="3" t="s">
        <v>29</v>
      </c>
      <c r="H104" s="5">
        <v>10966</v>
      </c>
      <c r="I104" s="3" t="str">
        <f>VLOOKUP(Tabela1[[#This Row],[Advogado]],Tabela2[],2,FALSE)</f>
        <v>Renê Amaranto</v>
      </c>
      <c r="J104" s="17">
        <f>IF(Tabela1[[#This Row],[Data de conclusão]]="",NETWORKDAYS(Tabela1[[#This Row],[Data de entrada]],$J$2),NETWORKDAYS(Tabela1[[#This Row],[Data de entrada]],Tabela1[[#This Row],[Data de conclusão]]))</f>
        <v>298</v>
      </c>
      <c r="K104" s="1"/>
    </row>
    <row r="105" spans="2:11" x14ac:dyDescent="0.25">
      <c r="B105" s="3">
        <v>212</v>
      </c>
      <c r="C105" s="3" t="s">
        <v>9</v>
      </c>
      <c r="D105" s="3" t="s">
        <v>15</v>
      </c>
      <c r="E105" s="4">
        <v>42849</v>
      </c>
      <c r="F105" s="4"/>
      <c r="G105" s="3" t="s">
        <v>29</v>
      </c>
      <c r="H105" s="5">
        <v>24454</v>
      </c>
      <c r="I105" s="3" t="str">
        <f>VLOOKUP(Tabela1[[#This Row],[Advogado]],Tabela2[],2,FALSE)</f>
        <v>Renê Amaranto</v>
      </c>
      <c r="J105" s="17">
        <f>IF(Tabela1[[#This Row],[Data de conclusão]]="",NETWORKDAYS(Tabela1[[#This Row],[Data de entrada]],$J$2),NETWORKDAYS(Tabela1[[#This Row],[Data de entrada]],Tabela1[[#This Row],[Data de conclusão]]))</f>
        <v>277</v>
      </c>
      <c r="K105" s="1"/>
    </row>
    <row r="106" spans="2:11" x14ac:dyDescent="0.25">
      <c r="B106" s="3">
        <v>213</v>
      </c>
      <c r="C106" s="3" t="s">
        <v>7</v>
      </c>
      <c r="D106" s="3" t="s">
        <v>16</v>
      </c>
      <c r="E106" s="4">
        <v>42453</v>
      </c>
      <c r="F106" s="4">
        <v>42541</v>
      </c>
      <c r="G106" s="3" t="s">
        <v>28</v>
      </c>
      <c r="H106" s="5">
        <v>25592</v>
      </c>
      <c r="I106" s="3" t="str">
        <f>VLOOKUP(Tabela1[[#This Row],[Advogado]],Tabela2[],2,FALSE)</f>
        <v>Renê Amaranto</v>
      </c>
      <c r="J106" s="17">
        <f>IF(Tabela1[[#This Row],[Data de conclusão]]="",NETWORKDAYS(Tabela1[[#This Row],[Data de entrada]],$J$2),NETWORKDAYS(Tabela1[[#This Row],[Data de entrada]],Tabela1[[#This Row],[Data de conclusão]]))</f>
        <v>63</v>
      </c>
      <c r="K106" s="1"/>
    </row>
    <row r="107" spans="2:11" x14ac:dyDescent="0.25">
      <c r="B107" s="3">
        <v>214</v>
      </c>
      <c r="C107" s="3" t="s">
        <v>8</v>
      </c>
      <c r="D107" s="3" t="s">
        <v>17</v>
      </c>
      <c r="E107" s="4">
        <v>42869</v>
      </c>
      <c r="F107" s="4"/>
      <c r="G107" s="3" t="s">
        <v>27</v>
      </c>
      <c r="H107" s="5">
        <v>40099</v>
      </c>
      <c r="I107" s="3" t="str">
        <f>VLOOKUP(Tabela1[[#This Row],[Advogado]],Tabela2[],2,FALSE)</f>
        <v>Renê Amaranto</v>
      </c>
      <c r="J107" s="17">
        <f>IF(Tabela1[[#This Row],[Data de conclusão]]="",NETWORKDAYS(Tabela1[[#This Row],[Data de entrada]],$J$2),NETWORKDAYS(Tabela1[[#This Row],[Data de entrada]],Tabela1[[#This Row],[Data de conclusão]]))</f>
        <v>262</v>
      </c>
      <c r="K107" s="1"/>
    </row>
    <row r="108" spans="2:11" x14ac:dyDescent="0.25">
      <c r="B108" s="3">
        <v>215</v>
      </c>
      <c r="C108" s="3" t="s">
        <v>9</v>
      </c>
      <c r="D108" s="3" t="s">
        <v>10</v>
      </c>
      <c r="E108" s="4">
        <v>42821</v>
      </c>
      <c r="F108" s="4"/>
      <c r="G108" s="3" t="s">
        <v>29</v>
      </c>
      <c r="H108" s="5">
        <v>13200</v>
      </c>
      <c r="I108" s="3" t="str">
        <f>VLOOKUP(Tabela1[[#This Row],[Advogado]],Tabela2[],2,FALSE)</f>
        <v>Caio Brito</v>
      </c>
      <c r="J108" s="17">
        <f>IF(Tabela1[[#This Row],[Data de conclusão]]="",NETWORKDAYS(Tabela1[[#This Row],[Data de entrada]],$J$2),NETWORKDAYS(Tabela1[[#This Row],[Data de entrada]],Tabela1[[#This Row],[Data de conclusão]]))</f>
        <v>297</v>
      </c>
      <c r="K108" s="1"/>
    </row>
    <row r="109" spans="2:11" x14ac:dyDescent="0.25">
      <c r="B109" s="3">
        <v>216</v>
      </c>
      <c r="C109" s="3" t="s">
        <v>7</v>
      </c>
      <c r="D109" s="3" t="s">
        <v>11</v>
      </c>
      <c r="E109" s="4">
        <v>42515</v>
      </c>
      <c r="F109" s="4"/>
      <c r="G109" s="3" t="s">
        <v>29</v>
      </c>
      <c r="H109" s="5">
        <v>8640</v>
      </c>
      <c r="I109" s="3" t="str">
        <f>VLOOKUP(Tabela1[[#This Row],[Advogado]],Tabela2[],2,FALSE)</f>
        <v>Caio Brito</v>
      </c>
      <c r="J109" s="17">
        <f>IF(Tabela1[[#This Row],[Data de conclusão]]="",NETWORKDAYS(Tabela1[[#This Row],[Data de entrada]],$J$2),NETWORKDAYS(Tabela1[[#This Row],[Data de entrada]],Tabela1[[#This Row],[Data de conclusão]]))</f>
        <v>515</v>
      </c>
      <c r="K109" s="1"/>
    </row>
    <row r="110" spans="2:11" x14ac:dyDescent="0.25">
      <c r="B110" s="3">
        <v>217</v>
      </c>
      <c r="C110" s="3" t="s">
        <v>8</v>
      </c>
      <c r="D110" s="3" t="s">
        <v>12</v>
      </c>
      <c r="E110" s="4">
        <v>42455</v>
      </c>
      <c r="F110" s="4"/>
      <c r="G110" s="3" t="s">
        <v>29</v>
      </c>
      <c r="H110" s="5">
        <v>24809</v>
      </c>
      <c r="I110" s="3" t="str">
        <f>VLOOKUP(Tabela1[[#This Row],[Advogado]],Tabela2[],2,FALSE)</f>
        <v>Caio Brito</v>
      </c>
      <c r="J110" s="17">
        <f>IF(Tabela1[[#This Row],[Data de conclusão]]="",NETWORKDAYS(Tabela1[[#This Row],[Data de entrada]],$J$2),NETWORKDAYS(Tabela1[[#This Row],[Data de entrada]],Tabela1[[#This Row],[Data de conclusão]]))</f>
        <v>557</v>
      </c>
      <c r="K110" s="1"/>
    </row>
    <row r="111" spans="2:11" x14ac:dyDescent="0.25">
      <c r="B111" s="3">
        <v>218</v>
      </c>
      <c r="C111" s="3" t="s">
        <v>9</v>
      </c>
      <c r="D111" s="3" t="s">
        <v>13</v>
      </c>
      <c r="E111" s="4">
        <v>42764</v>
      </c>
      <c r="F111" s="4"/>
      <c r="G111" s="3" t="s">
        <v>29</v>
      </c>
      <c r="H111" s="5">
        <v>16560</v>
      </c>
      <c r="I111" s="3" t="str">
        <f>VLOOKUP(Tabela1[[#This Row],[Advogado]],Tabela2[],2,FALSE)</f>
        <v>Caio Brito</v>
      </c>
      <c r="J111" s="17">
        <f>IF(Tabela1[[#This Row],[Data de conclusão]]="",NETWORKDAYS(Tabela1[[#This Row],[Data de entrada]],$J$2),NETWORKDAYS(Tabela1[[#This Row],[Data de entrada]],Tabela1[[#This Row],[Data de conclusão]]))</f>
        <v>337</v>
      </c>
      <c r="K111" s="1"/>
    </row>
    <row r="112" spans="2:11" x14ac:dyDescent="0.25">
      <c r="B112" s="3">
        <v>219</v>
      </c>
      <c r="C112" s="3" t="s">
        <v>7</v>
      </c>
      <c r="D112" s="3" t="s">
        <v>14</v>
      </c>
      <c r="E112" s="4">
        <v>42914</v>
      </c>
      <c r="F112" s="4"/>
      <c r="G112" s="3" t="s">
        <v>29</v>
      </c>
      <c r="H112" s="5">
        <v>6189</v>
      </c>
      <c r="I112" s="3" t="str">
        <f>VLOOKUP(Tabela1[[#This Row],[Advogado]],Tabela2[],2,FALSE)</f>
        <v>Renê Amaranto</v>
      </c>
      <c r="J112" s="17">
        <f>IF(Tabela1[[#This Row],[Data de conclusão]]="",NETWORKDAYS(Tabela1[[#This Row],[Data de entrada]],$J$2),NETWORKDAYS(Tabela1[[#This Row],[Data de entrada]],Tabela1[[#This Row],[Data de conclusão]]))</f>
        <v>230</v>
      </c>
      <c r="K112" s="1"/>
    </row>
    <row r="113" spans="2:11" x14ac:dyDescent="0.25">
      <c r="B113" s="3">
        <v>220</v>
      </c>
      <c r="C113" s="3" t="s">
        <v>8</v>
      </c>
      <c r="D113" s="3" t="s">
        <v>15</v>
      </c>
      <c r="E113" s="4">
        <v>42948</v>
      </c>
      <c r="F113" s="4"/>
      <c r="G113" s="3" t="s">
        <v>29</v>
      </c>
      <c r="H113" s="5">
        <v>51429</v>
      </c>
      <c r="I113" s="3" t="str">
        <f>VLOOKUP(Tabela1[[#This Row],[Advogado]],Tabela2[],2,FALSE)</f>
        <v>Renê Amaranto</v>
      </c>
      <c r="J113" s="17">
        <f>IF(Tabela1[[#This Row],[Data de conclusão]]="",NETWORKDAYS(Tabela1[[#This Row],[Data de entrada]],$J$2),NETWORKDAYS(Tabela1[[#This Row],[Data de entrada]],Tabela1[[#This Row],[Data de conclusão]]))</f>
        <v>206</v>
      </c>
      <c r="K113" s="1"/>
    </row>
    <row r="114" spans="2:11" x14ac:dyDescent="0.25">
      <c r="B114" s="3">
        <v>221</v>
      </c>
      <c r="C114" s="3" t="s">
        <v>9</v>
      </c>
      <c r="D114" s="3" t="s">
        <v>16</v>
      </c>
      <c r="E114" s="4">
        <v>42961</v>
      </c>
      <c r="F114" s="4"/>
      <c r="G114" s="3" t="s">
        <v>29</v>
      </c>
      <c r="H114" s="5">
        <v>1908</v>
      </c>
      <c r="I114" s="3" t="str">
        <f>VLOOKUP(Tabela1[[#This Row],[Advogado]],Tabela2[],2,FALSE)</f>
        <v>Renê Amaranto</v>
      </c>
      <c r="J114" s="17">
        <f>IF(Tabela1[[#This Row],[Data de conclusão]]="",NETWORKDAYS(Tabela1[[#This Row],[Data de entrada]],$J$2),NETWORKDAYS(Tabela1[[#This Row],[Data de entrada]],Tabela1[[#This Row],[Data de conclusão]]))</f>
        <v>197</v>
      </c>
      <c r="K114" s="1"/>
    </row>
    <row r="115" spans="2:11" x14ac:dyDescent="0.25">
      <c r="B115" s="3">
        <v>222</v>
      </c>
      <c r="C115" s="3" t="s">
        <v>7</v>
      </c>
      <c r="D115" s="3" t="s">
        <v>17</v>
      </c>
      <c r="E115" s="4">
        <v>43028</v>
      </c>
      <c r="F115" s="4"/>
      <c r="G115" s="3" t="s">
        <v>29</v>
      </c>
      <c r="H115" s="5">
        <v>56555</v>
      </c>
      <c r="I115" s="3" t="str">
        <f>VLOOKUP(Tabela1[[#This Row],[Advogado]],Tabela2[],2,FALSE)</f>
        <v>Renê Amaranto</v>
      </c>
      <c r="J115" s="17">
        <f>IF(Tabela1[[#This Row],[Data de conclusão]]="",NETWORKDAYS(Tabela1[[#This Row],[Data de entrada]],$J$2),NETWORKDAYS(Tabela1[[#This Row],[Data de entrada]],Tabela1[[#This Row],[Data de conclusão]]))</f>
        <v>148</v>
      </c>
      <c r="K115" s="1"/>
    </row>
    <row r="116" spans="2:11" x14ac:dyDescent="0.25">
      <c r="B116" s="3">
        <v>223</v>
      </c>
      <c r="C116" s="3" t="s">
        <v>8</v>
      </c>
      <c r="D116" s="3" t="s">
        <v>10</v>
      </c>
      <c r="E116" s="4">
        <v>42806</v>
      </c>
      <c r="F116" s="4"/>
      <c r="G116" s="3" t="s">
        <v>29</v>
      </c>
      <c r="H116" s="5">
        <v>6564</v>
      </c>
      <c r="I116" s="3" t="str">
        <f>VLOOKUP(Tabela1[[#This Row],[Advogado]],Tabela2[],2,FALSE)</f>
        <v>Caio Brito</v>
      </c>
      <c r="J116" s="17">
        <f>IF(Tabela1[[#This Row],[Data de conclusão]]="",NETWORKDAYS(Tabela1[[#This Row],[Data de entrada]],$J$2),NETWORKDAYS(Tabela1[[#This Row],[Data de entrada]],Tabela1[[#This Row],[Data de conclusão]]))</f>
        <v>307</v>
      </c>
      <c r="K116" s="1"/>
    </row>
    <row r="117" spans="2:11" x14ac:dyDescent="0.25">
      <c r="B117" s="3">
        <v>224</v>
      </c>
      <c r="C117" s="3" t="s">
        <v>9</v>
      </c>
      <c r="D117" s="3" t="s">
        <v>11</v>
      </c>
      <c r="E117" s="4">
        <v>42695</v>
      </c>
      <c r="F117" s="4"/>
      <c r="G117" s="3" t="s">
        <v>29</v>
      </c>
      <c r="H117" s="5">
        <v>18343</v>
      </c>
      <c r="I117" s="3" t="str">
        <f>VLOOKUP(Tabela1[[#This Row],[Advogado]],Tabela2[],2,FALSE)</f>
        <v>Caio Brito</v>
      </c>
      <c r="J117" s="17">
        <f>IF(Tabela1[[#This Row],[Data de conclusão]]="",NETWORKDAYS(Tabela1[[#This Row],[Data de entrada]],$J$2),NETWORKDAYS(Tabela1[[#This Row],[Data de entrada]],Tabela1[[#This Row],[Data de conclusão]]))</f>
        <v>387</v>
      </c>
      <c r="K117" s="1"/>
    </row>
    <row r="118" spans="2:11" x14ac:dyDescent="0.25">
      <c r="B118" s="3">
        <v>225</v>
      </c>
      <c r="C118" s="3" t="s">
        <v>7</v>
      </c>
      <c r="D118" s="3" t="s">
        <v>12</v>
      </c>
      <c r="E118" s="4">
        <v>42802</v>
      </c>
      <c r="F118" s="4"/>
      <c r="G118" s="3" t="s">
        <v>29</v>
      </c>
      <c r="H118" s="5">
        <v>3900</v>
      </c>
      <c r="I118" s="3" t="str">
        <f>VLOOKUP(Tabela1[[#This Row],[Advogado]],Tabela2[],2,FALSE)</f>
        <v>Caio Brito</v>
      </c>
      <c r="J118" s="17">
        <f>IF(Tabela1[[#This Row],[Data de conclusão]]="",NETWORKDAYS(Tabela1[[#This Row],[Data de entrada]],$J$2),NETWORKDAYS(Tabela1[[#This Row],[Data de entrada]],Tabela1[[#This Row],[Data de conclusão]]))</f>
        <v>310</v>
      </c>
      <c r="K118" s="1"/>
    </row>
    <row r="119" spans="2:11" x14ac:dyDescent="0.25">
      <c r="B119" s="3">
        <v>226</v>
      </c>
      <c r="C119" s="3" t="s">
        <v>8</v>
      </c>
      <c r="D119" s="3" t="s">
        <v>13</v>
      </c>
      <c r="E119" s="4">
        <v>43098</v>
      </c>
      <c r="F119" s="4">
        <v>43228</v>
      </c>
      <c r="G119" s="3" t="s">
        <v>28</v>
      </c>
      <c r="H119" s="5">
        <v>55236</v>
      </c>
      <c r="I119" s="3" t="str">
        <f>VLOOKUP(Tabela1[[#This Row],[Advogado]],Tabela2[],2,FALSE)</f>
        <v>Caio Brito</v>
      </c>
      <c r="J119" s="17">
        <f>IF(Tabela1[[#This Row],[Data de conclusão]]="",NETWORKDAYS(Tabela1[[#This Row],[Data de entrada]],$J$2),NETWORKDAYS(Tabela1[[#This Row],[Data de entrada]],Tabela1[[#This Row],[Data de conclusão]]))</f>
        <v>93</v>
      </c>
      <c r="K119" s="1"/>
    </row>
    <row r="120" spans="2:11" x14ac:dyDescent="0.25">
      <c r="B120" s="3">
        <v>227</v>
      </c>
      <c r="C120" s="3" t="s">
        <v>9</v>
      </c>
      <c r="D120" s="3" t="s">
        <v>14</v>
      </c>
      <c r="E120" s="4">
        <v>42386</v>
      </c>
      <c r="F120" s="4"/>
      <c r="G120" s="3" t="s">
        <v>27</v>
      </c>
      <c r="H120" s="5">
        <v>50020</v>
      </c>
      <c r="I120" s="3" t="str">
        <f>VLOOKUP(Tabela1[[#This Row],[Advogado]],Tabela2[],2,FALSE)</f>
        <v>Renê Amaranto</v>
      </c>
      <c r="J120" s="17">
        <f>IF(Tabela1[[#This Row],[Data de conclusão]]="",NETWORKDAYS(Tabela1[[#This Row],[Data de entrada]],$J$2),NETWORKDAYS(Tabela1[[#This Row],[Data de entrada]],Tabela1[[#This Row],[Data de conclusão]]))</f>
        <v>607</v>
      </c>
      <c r="K120" s="1"/>
    </row>
    <row r="121" spans="2:11" x14ac:dyDescent="0.25">
      <c r="B121" s="3">
        <v>228</v>
      </c>
      <c r="C121" s="3" t="s">
        <v>7</v>
      </c>
      <c r="D121" s="3" t="s">
        <v>15</v>
      </c>
      <c r="E121" s="4">
        <v>42491</v>
      </c>
      <c r="F121" s="4"/>
      <c r="G121" s="3" t="s">
        <v>29</v>
      </c>
      <c r="H121" s="5">
        <v>42194</v>
      </c>
      <c r="I121" s="3" t="str">
        <f>VLOOKUP(Tabela1[[#This Row],[Advogado]],Tabela2[],2,FALSE)</f>
        <v>Renê Amaranto</v>
      </c>
      <c r="J121" s="17">
        <f>IF(Tabela1[[#This Row],[Data de conclusão]]="",NETWORKDAYS(Tabela1[[#This Row],[Data de entrada]],$J$2),NETWORKDAYS(Tabela1[[#This Row],[Data de entrada]],Tabela1[[#This Row],[Data de conclusão]]))</f>
        <v>532</v>
      </c>
      <c r="K121" s="1"/>
    </row>
    <row r="122" spans="2:11" x14ac:dyDescent="0.25">
      <c r="B122" s="3">
        <v>229</v>
      </c>
      <c r="C122" s="3" t="s">
        <v>8</v>
      </c>
      <c r="D122" s="3" t="s">
        <v>16</v>
      </c>
      <c r="E122" s="4">
        <v>42951</v>
      </c>
      <c r="F122" s="4"/>
      <c r="G122" s="3" t="s">
        <v>29</v>
      </c>
      <c r="H122" s="5">
        <v>1622</v>
      </c>
      <c r="I122" s="3" t="str">
        <f>VLOOKUP(Tabela1[[#This Row],[Advogado]],Tabela2[],2,FALSE)</f>
        <v>Renê Amaranto</v>
      </c>
      <c r="J122" s="17">
        <f>IF(Tabela1[[#This Row],[Data de conclusão]]="",NETWORKDAYS(Tabela1[[#This Row],[Data de entrada]],$J$2),NETWORKDAYS(Tabela1[[#This Row],[Data de entrada]],Tabela1[[#This Row],[Data de conclusão]]))</f>
        <v>203</v>
      </c>
      <c r="K122" s="1"/>
    </row>
    <row r="123" spans="2:11" x14ac:dyDescent="0.25">
      <c r="B123" s="3">
        <v>230</v>
      </c>
      <c r="C123" s="3" t="s">
        <v>9</v>
      </c>
      <c r="D123" s="3" t="s">
        <v>17</v>
      </c>
      <c r="E123" s="4">
        <v>42938</v>
      </c>
      <c r="F123" s="4"/>
      <c r="G123" s="3" t="s">
        <v>29</v>
      </c>
      <c r="H123" s="5">
        <v>10321</v>
      </c>
      <c r="I123" s="3" t="str">
        <f>VLOOKUP(Tabela1[[#This Row],[Advogado]],Tabela2[],2,FALSE)</f>
        <v>Renê Amaranto</v>
      </c>
      <c r="J123" s="17">
        <f>IF(Tabela1[[#This Row],[Data de conclusão]]="",NETWORKDAYS(Tabela1[[#This Row],[Data de entrada]],$J$2),NETWORKDAYS(Tabela1[[#This Row],[Data de entrada]],Tabela1[[#This Row],[Data de conclusão]]))</f>
        <v>212</v>
      </c>
      <c r="K123" s="1"/>
    </row>
    <row r="124" spans="2:11" x14ac:dyDescent="0.25">
      <c r="B124" s="3">
        <v>231</v>
      </c>
      <c r="C124" s="3" t="s">
        <v>7</v>
      </c>
      <c r="D124" s="3" t="s">
        <v>10</v>
      </c>
      <c r="E124" s="4">
        <v>42779</v>
      </c>
      <c r="F124" s="4"/>
      <c r="G124" s="3" t="s">
        <v>29</v>
      </c>
      <c r="H124" s="5">
        <v>2645</v>
      </c>
      <c r="I124" s="3" t="str">
        <f>VLOOKUP(Tabela1[[#This Row],[Advogado]],Tabela2[],2,FALSE)</f>
        <v>Caio Brito</v>
      </c>
      <c r="J124" s="17">
        <f>IF(Tabela1[[#This Row],[Data de conclusão]]="",NETWORKDAYS(Tabela1[[#This Row],[Data de entrada]],$J$2),NETWORKDAYS(Tabela1[[#This Row],[Data de entrada]],Tabela1[[#This Row],[Data de conclusão]]))</f>
        <v>327</v>
      </c>
      <c r="K124" s="1"/>
    </row>
    <row r="125" spans="2:11" x14ac:dyDescent="0.25">
      <c r="B125" s="3">
        <v>232</v>
      </c>
      <c r="C125" s="3" t="s">
        <v>8</v>
      </c>
      <c r="D125" s="3" t="s">
        <v>11</v>
      </c>
      <c r="E125" s="4">
        <v>42691</v>
      </c>
      <c r="F125" s="4"/>
      <c r="G125" s="3" t="s">
        <v>29</v>
      </c>
      <c r="H125" s="5">
        <v>38317</v>
      </c>
      <c r="I125" s="3" t="str">
        <f>VLOOKUP(Tabela1[[#This Row],[Advogado]],Tabela2[],2,FALSE)</f>
        <v>Caio Brito</v>
      </c>
      <c r="J125" s="17">
        <f>IF(Tabela1[[#This Row],[Data de conclusão]]="",NETWORKDAYS(Tabela1[[#This Row],[Data de entrada]],$J$2),NETWORKDAYS(Tabela1[[#This Row],[Data de entrada]],Tabela1[[#This Row],[Data de conclusão]]))</f>
        <v>389</v>
      </c>
      <c r="K125" s="1"/>
    </row>
    <row r="126" spans="2:11" x14ac:dyDescent="0.25">
      <c r="B126" s="3">
        <v>233</v>
      </c>
      <c r="C126" s="3" t="s">
        <v>9</v>
      </c>
      <c r="D126" s="3" t="s">
        <v>12</v>
      </c>
      <c r="E126" s="4">
        <v>42759</v>
      </c>
      <c r="F126" s="4"/>
      <c r="G126" s="3" t="s">
        <v>29</v>
      </c>
      <c r="H126" s="5">
        <v>15231</v>
      </c>
      <c r="I126" s="3" t="str">
        <f>VLOOKUP(Tabela1[[#This Row],[Advogado]],Tabela2[],2,FALSE)</f>
        <v>Caio Brito</v>
      </c>
      <c r="J126" s="17">
        <f>IF(Tabela1[[#This Row],[Data de conclusão]]="",NETWORKDAYS(Tabela1[[#This Row],[Data de entrada]],$J$2),NETWORKDAYS(Tabela1[[#This Row],[Data de entrada]],Tabela1[[#This Row],[Data de conclusão]]))</f>
        <v>341</v>
      </c>
      <c r="K126" s="1"/>
    </row>
    <row r="127" spans="2:11" x14ac:dyDescent="0.25">
      <c r="B127" s="3">
        <v>234</v>
      </c>
      <c r="C127" s="3" t="s">
        <v>7</v>
      </c>
      <c r="D127" s="3" t="s">
        <v>13</v>
      </c>
      <c r="E127" s="4">
        <v>42951</v>
      </c>
      <c r="F127" s="4"/>
      <c r="G127" s="3" t="s">
        <v>29</v>
      </c>
      <c r="H127" s="5">
        <v>44654</v>
      </c>
      <c r="I127" s="3" t="str">
        <f>VLOOKUP(Tabela1[[#This Row],[Advogado]],Tabela2[],2,FALSE)</f>
        <v>Caio Brito</v>
      </c>
      <c r="J127" s="17">
        <f>IF(Tabela1[[#This Row],[Data de conclusão]]="",NETWORKDAYS(Tabela1[[#This Row],[Data de entrada]],$J$2),NETWORKDAYS(Tabela1[[#This Row],[Data de entrada]],Tabela1[[#This Row],[Data de conclusão]]))</f>
        <v>203</v>
      </c>
      <c r="K127" s="1"/>
    </row>
    <row r="128" spans="2:11" x14ac:dyDescent="0.25">
      <c r="B128" s="3">
        <v>235</v>
      </c>
      <c r="C128" s="3" t="s">
        <v>8</v>
      </c>
      <c r="D128" s="3" t="s">
        <v>14</v>
      </c>
      <c r="E128" s="4">
        <v>43033</v>
      </c>
      <c r="F128" s="4"/>
      <c r="G128" s="3" t="s">
        <v>29</v>
      </c>
      <c r="H128" s="5">
        <v>26438</v>
      </c>
      <c r="I128" s="3" t="str">
        <f>VLOOKUP(Tabela1[[#This Row],[Advogado]],Tabela2[],2,FALSE)</f>
        <v>Renê Amaranto</v>
      </c>
      <c r="J128" s="17">
        <f>IF(Tabela1[[#This Row],[Data de conclusão]]="",NETWORKDAYS(Tabela1[[#This Row],[Data de entrada]],$J$2),NETWORKDAYS(Tabela1[[#This Row],[Data de entrada]],Tabela1[[#This Row],[Data de conclusão]]))</f>
        <v>145</v>
      </c>
      <c r="K128" s="1"/>
    </row>
    <row r="129" spans="2:11" x14ac:dyDescent="0.25">
      <c r="B129" s="3">
        <v>236</v>
      </c>
      <c r="C129" s="3" t="s">
        <v>9</v>
      </c>
      <c r="D129" s="3" t="s">
        <v>15</v>
      </c>
      <c r="E129" s="4">
        <v>42496</v>
      </c>
      <c r="F129" s="4"/>
      <c r="G129" s="3" t="s">
        <v>29</v>
      </c>
      <c r="H129" s="5">
        <v>49157</v>
      </c>
      <c r="I129" s="3" t="str">
        <f>VLOOKUP(Tabela1[[#This Row],[Advogado]],Tabela2[],2,FALSE)</f>
        <v>Renê Amaranto</v>
      </c>
      <c r="J129" s="17">
        <f>IF(Tabela1[[#This Row],[Data de conclusão]]="",NETWORKDAYS(Tabela1[[#This Row],[Data de entrada]],$J$2),NETWORKDAYS(Tabela1[[#This Row],[Data de entrada]],Tabela1[[#This Row],[Data de conclusão]]))</f>
        <v>528</v>
      </c>
      <c r="K129" s="1"/>
    </row>
    <row r="130" spans="2:11" x14ac:dyDescent="0.25">
      <c r="B130" s="3">
        <v>237</v>
      </c>
      <c r="C130" s="3" t="s">
        <v>7</v>
      </c>
      <c r="D130" s="3" t="s">
        <v>16</v>
      </c>
      <c r="E130" s="4">
        <v>42785</v>
      </c>
      <c r="F130" s="4"/>
      <c r="G130" s="3" t="s">
        <v>29</v>
      </c>
      <c r="H130" s="5">
        <v>53391</v>
      </c>
      <c r="I130" s="3" t="str">
        <f>VLOOKUP(Tabela1[[#This Row],[Advogado]],Tabela2[],2,FALSE)</f>
        <v>Renê Amaranto</v>
      </c>
      <c r="J130" s="17">
        <f>IF(Tabela1[[#This Row],[Data de conclusão]]="",NETWORKDAYS(Tabela1[[#This Row],[Data de entrada]],$J$2),NETWORKDAYS(Tabela1[[#This Row],[Data de entrada]],Tabela1[[#This Row],[Data de conclusão]]))</f>
        <v>322</v>
      </c>
      <c r="K130" s="1"/>
    </row>
    <row r="131" spans="2:11" x14ac:dyDescent="0.25">
      <c r="B131" s="3">
        <v>238</v>
      </c>
      <c r="C131" s="3" t="s">
        <v>8</v>
      </c>
      <c r="D131" s="3" t="s">
        <v>17</v>
      </c>
      <c r="E131" s="4">
        <v>42749</v>
      </c>
      <c r="F131" s="4"/>
      <c r="G131" s="3" t="s">
        <v>29</v>
      </c>
      <c r="H131" s="5">
        <v>32350</v>
      </c>
      <c r="I131" s="3" t="str">
        <f>VLOOKUP(Tabela1[[#This Row],[Advogado]],Tabela2[],2,FALSE)</f>
        <v>Renê Amaranto</v>
      </c>
      <c r="J131" s="17">
        <f>IF(Tabela1[[#This Row],[Data de conclusão]]="",NETWORKDAYS(Tabela1[[#This Row],[Data de entrada]],$J$2),NETWORKDAYS(Tabela1[[#This Row],[Data de entrada]],Tabela1[[#This Row],[Data de conclusão]]))</f>
        <v>347</v>
      </c>
      <c r="K131" s="1"/>
    </row>
    <row r="132" spans="2:11" x14ac:dyDescent="0.25">
      <c r="B132" s="3">
        <v>239</v>
      </c>
      <c r="C132" s="3" t="s">
        <v>9</v>
      </c>
      <c r="D132" s="3" t="s">
        <v>10</v>
      </c>
      <c r="E132" s="4">
        <v>43087</v>
      </c>
      <c r="F132" s="4">
        <v>43155</v>
      </c>
      <c r="G132" s="3" t="s">
        <v>28</v>
      </c>
      <c r="H132" s="5">
        <v>1836</v>
      </c>
      <c r="I132" s="3" t="str">
        <f>VLOOKUP(Tabela1[[#This Row],[Advogado]],Tabela2[],2,FALSE)</f>
        <v>Caio Brito</v>
      </c>
      <c r="J132" s="17">
        <f>IF(Tabela1[[#This Row],[Data de conclusão]]="",NETWORKDAYS(Tabela1[[#This Row],[Data de entrada]],$J$2),NETWORKDAYS(Tabela1[[#This Row],[Data de entrada]],Tabela1[[#This Row],[Data de conclusão]]))</f>
        <v>50</v>
      </c>
      <c r="K132" s="1"/>
    </row>
    <row r="133" spans="2:11" x14ac:dyDescent="0.25">
      <c r="B133" s="3">
        <v>240</v>
      </c>
      <c r="C133" s="3" t="s">
        <v>7</v>
      </c>
      <c r="D133" s="3" t="s">
        <v>11</v>
      </c>
      <c r="E133" s="4">
        <v>42384</v>
      </c>
      <c r="F133" s="4"/>
      <c r="G133" s="3" t="s">
        <v>27</v>
      </c>
      <c r="H133" s="5">
        <v>7328</v>
      </c>
      <c r="I133" s="3" t="str">
        <f>VLOOKUP(Tabela1[[#This Row],[Advogado]],Tabela2[],2,FALSE)</f>
        <v>Caio Brito</v>
      </c>
      <c r="J133" s="17">
        <f>IF(Tabela1[[#This Row],[Data de conclusão]]="",NETWORKDAYS(Tabela1[[#This Row],[Data de entrada]],$J$2),NETWORKDAYS(Tabela1[[#This Row],[Data de entrada]],Tabela1[[#This Row],[Data de conclusão]]))</f>
        <v>608</v>
      </c>
      <c r="K133" s="1"/>
    </row>
    <row r="134" spans="2:11" x14ac:dyDescent="0.25">
      <c r="B134" s="3">
        <v>241</v>
      </c>
      <c r="C134" s="3" t="s">
        <v>8</v>
      </c>
      <c r="D134" s="3" t="s">
        <v>12</v>
      </c>
      <c r="E134" s="4">
        <v>42744</v>
      </c>
      <c r="F134" s="4"/>
      <c r="G134" s="3" t="s">
        <v>29</v>
      </c>
      <c r="H134" s="5">
        <v>51623</v>
      </c>
      <c r="I134" s="3" t="str">
        <f>VLOOKUP(Tabela1[[#This Row],[Advogado]],Tabela2[],2,FALSE)</f>
        <v>Caio Brito</v>
      </c>
      <c r="J134" s="17">
        <f>IF(Tabela1[[#This Row],[Data de conclusão]]="",NETWORKDAYS(Tabela1[[#This Row],[Data de entrada]],$J$2),NETWORKDAYS(Tabela1[[#This Row],[Data de entrada]],Tabela1[[#This Row],[Data de conclusão]]))</f>
        <v>352</v>
      </c>
      <c r="K134" s="1"/>
    </row>
    <row r="135" spans="2:11" x14ac:dyDescent="0.25">
      <c r="B135" s="3">
        <v>242</v>
      </c>
      <c r="C135" s="3" t="s">
        <v>9</v>
      </c>
      <c r="D135" s="3" t="s">
        <v>13</v>
      </c>
      <c r="E135" s="4">
        <v>42895</v>
      </c>
      <c r="F135" s="4"/>
      <c r="G135" s="3" t="s">
        <v>29</v>
      </c>
      <c r="H135" s="5">
        <v>32045</v>
      </c>
      <c r="I135" s="3" t="str">
        <f>VLOOKUP(Tabela1[[#This Row],[Advogado]],Tabela2[],2,FALSE)</f>
        <v>Caio Brito</v>
      </c>
      <c r="J135" s="17">
        <f>IF(Tabela1[[#This Row],[Data de conclusão]]="",NETWORKDAYS(Tabela1[[#This Row],[Data de entrada]],$J$2),NETWORKDAYS(Tabela1[[#This Row],[Data de entrada]],Tabela1[[#This Row],[Data de conclusão]]))</f>
        <v>243</v>
      </c>
      <c r="K135" s="1"/>
    </row>
    <row r="136" spans="2:11" x14ac:dyDescent="0.25">
      <c r="B136" s="3">
        <v>243</v>
      </c>
      <c r="C136" s="3" t="s">
        <v>7</v>
      </c>
      <c r="D136" s="3" t="s">
        <v>14</v>
      </c>
      <c r="E136" s="4">
        <v>42447</v>
      </c>
      <c r="F136" s="4"/>
      <c r="G136" s="3" t="s">
        <v>29</v>
      </c>
      <c r="H136" s="5">
        <v>41114</v>
      </c>
      <c r="I136" s="3" t="str">
        <f>VLOOKUP(Tabela1[[#This Row],[Advogado]],Tabela2[],2,FALSE)</f>
        <v>Renê Amaranto</v>
      </c>
      <c r="J136" s="17">
        <f>IF(Tabela1[[#This Row],[Data de conclusão]]="",NETWORKDAYS(Tabela1[[#This Row],[Data de entrada]],$J$2),NETWORKDAYS(Tabela1[[#This Row],[Data de entrada]],Tabela1[[#This Row],[Data de conclusão]]))</f>
        <v>563</v>
      </c>
      <c r="K136" s="1"/>
    </row>
    <row r="137" spans="2:11" x14ac:dyDescent="0.25">
      <c r="B137" s="3">
        <v>244</v>
      </c>
      <c r="C137" s="3" t="s">
        <v>8</v>
      </c>
      <c r="D137" s="3" t="s">
        <v>15</v>
      </c>
      <c r="E137" s="4">
        <v>42759</v>
      </c>
      <c r="F137" s="4"/>
      <c r="G137" s="3" t="s">
        <v>29</v>
      </c>
      <c r="H137" s="5">
        <v>6424</v>
      </c>
      <c r="I137" s="3" t="str">
        <f>VLOOKUP(Tabela1[[#This Row],[Advogado]],Tabela2[],2,FALSE)</f>
        <v>Renê Amaranto</v>
      </c>
      <c r="J137" s="17">
        <f>IF(Tabela1[[#This Row],[Data de conclusão]]="",NETWORKDAYS(Tabela1[[#This Row],[Data de entrada]],$J$2),NETWORKDAYS(Tabela1[[#This Row],[Data de entrada]],Tabela1[[#This Row],[Data de conclusão]]))</f>
        <v>341</v>
      </c>
      <c r="K137" s="1"/>
    </row>
    <row r="138" spans="2:11" x14ac:dyDescent="0.25">
      <c r="B138" s="3">
        <v>245</v>
      </c>
      <c r="C138" s="3" t="s">
        <v>9</v>
      </c>
      <c r="D138" s="3" t="s">
        <v>16</v>
      </c>
      <c r="E138" s="4">
        <v>42569</v>
      </c>
      <c r="F138" s="4"/>
      <c r="G138" s="3" t="s">
        <v>29</v>
      </c>
      <c r="H138" s="5">
        <v>35772</v>
      </c>
      <c r="I138" s="3" t="str">
        <f>VLOOKUP(Tabela1[[#This Row],[Advogado]],Tabela2[],2,FALSE)</f>
        <v>Renê Amaranto</v>
      </c>
      <c r="J138" s="17">
        <f>IF(Tabela1[[#This Row],[Data de conclusão]]="",NETWORKDAYS(Tabela1[[#This Row],[Data de entrada]],$J$2),NETWORKDAYS(Tabela1[[#This Row],[Data de entrada]],Tabela1[[#This Row],[Data de conclusão]]))</f>
        <v>477</v>
      </c>
      <c r="K138" s="1"/>
    </row>
    <row r="139" spans="2:11" x14ac:dyDescent="0.25">
      <c r="B139" s="3">
        <v>246</v>
      </c>
      <c r="C139" s="3" t="s">
        <v>7</v>
      </c>
      <c r="D139" s="3" t="s">
        <v>17</v>
      </c>
      <c r="E139" s="4">
        <v>42730</v>
      </c>
      <c r="F139" s="4"/>
      <c r="G139" s="3" t="s">
        <v>29</v>
      </c>
      <c r="H139" s="5">
        <v>55369</v>
      </c>
      <c r="I139" s="3" t="str">
        <f>VLOOKUP(Tabela1[[#This Row],[Advogado]],Tabela2[],2,FALSE)</f>
        <v>Renê Amaranto</v>
      </c>
      <c r="J139" s="17">
        <f>IF(Tabela1[[#This Row],[Data de conclusão]]="",NETWORKDAYS(Tabela1[[#This Row],[Data de entrada]],$J$2),NETWORKDAYS(Tabela1[[#This Row],[Data de entrada]],Tabela1[[#This Row],[Data de conclusão]]))</f>
        <v>362</v>
      </c>
      <c r="K139" s="1"/>
    </row>
    <row r="140" spans="2:11" x14ac:dyDescent="0.25">
      <c r="B140" s="3">
        <v>247</v>
      </c>
      <c r="C140" s="3" t="s">
        <v>8</v>
      </c>
      <c r="D140" s="3" t="s">
        <v>10</v>
      </c>
      <c r="E140" s="4">
        <v>42875</v>
      </c>
      <c r="F140" s="4"/>
      <c r="G140" s="3" t="s">
        <v>29</v>
      </c>
      <c r="H140" s="5">
        <v>55348</v>
      </c>
      <c r="I140" s="3" t="str">
        <f>VLOOKUP(Tabela1[[#This Row],[Advogado]],Tabela2[],2,FALSE)</f>
        <v>Caio Brito</v>
      </c>
      <c r="J140" s="17">
        <f>IF(Tabela1[[#This Row],[Data de conclusão]]="",NETWORKDAYS(Tabela1[[#This Row],[Data de entrada]],$J$2),NETWORKDAYS(Tabela1[[#This Row],[Data de entrada]],Tabela1[[#This Row],[Data de conclusão]]))</f>
        <v>257</v>
      </c>
      <c r="K140" s="1"/>
    </row>
    <row r="141" spans="2:11" x14ac:dyDescent="0.25">
      <c r="B141" s="3">
        <v>248</v>
      </c>
      <c r="C141" s="3" t="s">
        <v>9</v>
      </c>
      <c r="D141" s="3" t="s">
        <v>11</v>
      </c>
      <c r="E141" s="4">
        <v>42533</v>
      </c>
      <c r="F141" s="4"/>
      <c r="G141" s="3" t="s">
        <v>29</v>
      </c>
      <c r="H141" s="5">
        <v>39848</v>
      </c>
      <c r="I141" s="3" t="str">
        <f>VLOOKUP(Tabela1[[#This Row],[Advogado]],Tabela2[],2,FALSE)</f>
        <v>Caio Brito</v>
      </c>
      <c r="J141" s="17">
        <f>IF(Tabela1[[#This Row],[Data de conclusão]]="",NETWORKDAYS(Tabela1[[#This Row],[Data de entrada]],$J$2),NETWORKDAYS(Tabela1[[#This Row],[Data de entrada]],Tabela1[[#This Row],[Data de conclusão]]))</f>
        <v>502</v>
      </c>
      <c r="K141" s="1"/>
    </row>
    <row r="142" spans="2:11" x14ac:dyDescent="0.25">
      <c r="B142" s="3">
        <v>249</v>
      </c>
      <c r="C142" s="3" t="s">
        <v>7</v>
      </c>
      <c r="D142" s="3" t="s">
        <v>12</v>
      </c>
      <c r="E142" s="4">
        <v>42763</v>
      </c>
      <c r="F142" s="4"/>
      <c r="G142" s="3" t="s">
        <v>29</v>
      </c>
      <c r="H142" s="5">
        <v>21120</v>
      </c>
      <c r="I142" s="3" t="str">
        <f>VLOOKUP(Tabela1[[#This Row],[Advogado]],Tabela2[],2,FALSE)</f>
        <v>Caio Brito</v>
      </c>
      <c r="J142" s="17">
        <f>IF(Tabela1[[#This Row],[Data de conclusão]]="",NETWORKDAYS(Tabela1[[#This Row],[Data de entrada]],$J$2),NETWORKDAYS(Tabela1[[#This Row],[Data de entrada]],Tabela1[[#This Row],[Data de conclusão]]))</f>
        <v>337</v>
      </c>
      <c r="K142" s="1"/>
    </row>
    <row r="143" spans="2:11" x14ac:dyDescent="0.25">
      <c r="B143" s="3">
        <v>250</v>
      </c>
      <c r="C143" s="3" t="s">
        <v>8</v>
      </c>
      <c r="D143" s="3" t="s">
        <v>13</v>
      </c>
      <c r="E143" s="4">
        <v>43002</v>
      </c>
      <c r="F143" s="4"/>
      <c r="G143" s="3" t="s">
        <v>29</v>
      </c>
      <c r="H143" s="5">
        <v>2424</v>
      </c>
      <c r="I143" s="3" t="str">
        <f>VLOOKUP(Tabela1[[#This Row],[Advogado]],Tabela2[],2,FALSE)</f>
        <v>Caio Brito</v>
      </c>
      <c r="J143" s="17">
        <f>IF(Tabela1[[#This Row],[Data de conclusão]]="",NETWORKDAYS(Tabela1[[#This Row],[Data de entrada]],$J$2),NETWORKDAYS(Tabela1[[#This Row],[Data de entrada]],Tabela1[[#This Row],[Data de conclusão]]))</f>
        <v>167</v>
      </c>
      <c r="K143" s="1"/>
    </row>
    <row r="144" spans="2:11" x14ac:dyDescent="0.25">
      <c r="B144" s="3">
        <v>251</v>
      </c>
      <c r="C144" s="3" t="s">
        <v>9</v>
      </c>
      <c r="D144" s="3" t="s">
        <v>14</v>
      </c>
      <c r="E144" s="4">
        <v>42579</v>
      </c>
      <c r="F144" s="4"/>
      <c r="G144" s="3" t="s">
        <v>29</v>
      </c>
      <c r="H144" s="5">
        <v>40406</v>
      </c>
      <c r="I144" s="3" t="str">
        <f>VLOOKUP(Tabela1[[#This Row],[Advogado]],Tabela2[],2,FALSE)</f>
        <v>Renê Amaranto</v>
      </c>
      <c r="J144" s="17">
        <f>IF(Tabela1[[#This Row],[Data de conclusão]]="",NETWORKDAYS(Tabela1[[#This Row],[Data de entrada]],$J$2),NETWORKDAYS(Tabela1[[#This Row],[Data de entrada]],Tabela1[[#This Row],[Data de conclusão]]))</f>
        <v>469</v>
      </c>
      <c r="K144" s="1"/>
    </row>
    <row r="145" spans="2:11" x14ac:dyDescent="0.25">
      <c r="B145" s="3">
        <v>252</v>
      </c>
      <c r="C145" s="3" t="s">
        <v>7</v>
      </c>
      <c r="D145" s="3" t="s">
        <v>15</v>
      </c>
      <c r="E145" s="4">
        <v>42690</v>
      </c>
      <c r="F145" s="4">
        <v>42766</v>
      </c>
      <c r="G145" s="3" t="s">
        <v>28</v>
      </c>
      <c r="H145" s="5">
        <v>54215</v>
      </c>
      <c r="I145" s="3" t="str">
        <f>VLOOKUP(Tabela1[[#This Row],[Advogado]],Tabela2[],2,FALSE)</f>
        <v>Renê Amaranto</v>
      </c>
      <c r="J145" s="17">
        <f>IF(Tabela1[[#This Row],[Data de conclusão]]="",NETWORKDAYS(Tabela1[[#This Row],[Data de entrada]],$J$2),NETWORKDAYS(Tabela1[[#This Row],[Data de entrada]],Tabela1[[#This Row],[Data de conclusão]]))</f>
        <v>55</v>
      </c>
      <c r="K145" s="1"/>
    </row>
    <row r="146" spans="2:11" x14ac:dyDescent="0.25">
      <c r="B146" s="3">
        <v>253</v>
      </c>
      <c r="C146" s="3" t="s">
        <v>8</v>
      </c>
      <c r="D146" s="3" t="s">
        <v>16</v>
      </c>
      <c r="E146" s="4">
        <v>42801</v>
      </c>
      <c r="F146" s="4"/>
      <c r="G146" s="3" t="s">
        <v>27</v>
      </c>
      <c r="H146" s="5">
        <v>21024</v>
      </c>
      <c r="I146" s="3" t="str">
        <f>VLOOKUP(Tabela1[[#This Row],[Advogado]],Tabela2[],2,FALSE)</f>
        <v>Renê Amaranto</v>
      </c>
      <c r="J146" s="17">
        <f>IF(Tabela1[[#This Row],[Data de conclusão]]="",NETWORKDAYS(Tabela1[[#This Row],[Data de entrada]],$J$2),NETWORKDAYS(Tabela1[[#This Row],[Data de entrada]],Tabela1[[#This Row],[Data de conclusão]]))</f>
        <v>311</v>
      </c>
      <c r="K146" s="1"/>
    </row>
    <row r="147" spans="2:11" x14ac:dyDescent="0.25">
      <c r="B147" s="3">
        <v>254</v>
      </c>
      <c r="C147" s="3" t="s">
        <v>9</v>
      </c>
      <c r="D147" s="3" t="s">
        <v>17</v>
      </c>
      <c r="E147" s="4">
        <v>42775</v>
      </c>
      <c r="F147" s="4"/>
      <c r="G147" s="3" t="s">
        <v>29</v>
      </c>
      <c r="H147" s="5">
        <v>39203</v>
      </c>
      <c r="I147" s="3" t="str">
        <f>VLOOKUP(Tabela1[[#This Row],[Advogado]],Tabela2[],2,FALSE)</f>
        <v>Renê Amaranto</v>
      </c>
      <c r="J147" s="17">
        <f>IF(Tabela1[[#This Row],[Data de conclusão]]="",NETWORKDAYS(Tabela1[[#This Row],[Data de entrada]],$J$2),NETWORKDAYS(Tabela1[[#This Row],[Data de entrada]],Tabela1[[#This Row],[Data de conclusão]]))</f>
        <v>329</v>
      </c>
      <c r="K147" s="1"/>
    </row>
    <row r="148" spans="2:11" x14ac:dyDescent="0.25">
      <c r="B148" s="3">
        <v>255</v>
      </c>
      <c r="C148" s="3" t="s">
        <v>7</v>
      </c>
      <c r="D148" s="3" t="s">
        <v>10</v>
      </c>
      <c r="E148" s="4">
        <v>43022</v>
      </c>
      <c r="F148" s="4"/>
      <c r="G148" s="3" t="s">
        <v>29</v>
      </c>
      <c r="H148" s="5">
        <v>1209</v>
      </c>
      <c r="I148" s="3" t="str">
        <f>VLOOKUP(Tabela1[[#This Row],[Advogado]],Tabela2[],2,FALSE)</f>
        <v>Caio Brito</v>
      </c>
      <c r="J148" s="17">
        <f>IF(Tabela1[[#This Row],[Data de conclusão]]="",NETWORKDAYS(Tabela1[[#This Row],[Data de entrada]],$J$2),NETWORKDAYS(Tabela1[[#This Row],[Data de entrada]],Tabela1[[#This Row],[Data de conclusão]]))</f>
        <v>152</v>
      </c>
      <c r="K148" s="1"/>
    </row>
    <row r="149" spans="2:11" x14ac:dyDescent="0.25">
      <c r="B149" s="3">
        <v>256</v>
      </c>
      <c r="C149" s="3" t="s">
        <v>8</v>
      </c>
      <c r="D149" s="3" t="s">
        <v>11</v>
      </c>
      <c r="E149" s="4">
        <v>43035</v>
      </c>
      <c r="F149" s="4"/>
      <c r="G149" s="3" t="s">
        <v>29</v>
      </c>
      <c r="H149" s="5">
        <v>43577</v>
      </c>
      <c r="I149" s="3" t="str">
        <f>VLOOKUP(Tabela1[[#This Row],[Advogado]],Tabela2[],2,FALSE)</f>
        <v>Caio Brito</v>
      </c>
      <c r="J149" s="17">
        <f>IF(Tabela1[[#This Row],[Data de conclusão]]="",NETWORKDAYS(Tabela1[[#This Row],[Data de entrada]],$J$2),NETWORKDAYS(Tabela1[[#This Row],[Data de entrada]],Tabela1[[#This Row],[Data de conclusão]]))</f>
        <v>143</v>
      </c>
      <c r="K149" s="1"/>
    </row>
    <row r="150" spans="2:11" x14ac:dyDescent="0.25">
      <c r="B150" s="3">
        <v>257</v>
      </c>
      <c r="C150" s="3" t="s">
        <v>9</v>
      </c>
      <c r="D150" s="3" t="s">
        <v>12</v>
      </c>
      <c r="E150" s="4">
        <v>42473</v>
      </c>
      <c r="F150" s="4"/>
      <c r="G150" s="3" t="s">
        <v>29</v>
      </c>
      <c r="H150" s="5">
        <v>695</v>
      </c>
      <c r="I150" s="3" t="str">
        <f>VLOOKUP(Tabela1[[#This Row],[Advogado]],Tabela2[],2,FALSE)</f>
        <v>Caio Brito</v>
      </c>
      <c r="J150" s="17">
        <f>IF(Tabela1[[#This Row],[Data de conclusão]]="",NETWORKDAYS(Tabela1[[#This Row],[Data de entrada]],$J$2),NETWORKDAYS(Tabela1[[#This Row],[Data de entrada]],Tabela1[[#This Row],[Data de conclusão]]))</f>
        <v>545</v>
      </c>
      <c r="K150" s="1"/>
    </row>
    <row r="151" spans="2:11" x14ac:dyDescent="0.25">
      <c r="B151" s="3">
        <v>258</v>
      </c>
      <c r="C151" s="3" t="s">
        <v>7</v>
      </c>
      <c r="D151" s="3" t="s">
        <v>13</v>
      </c>
      <c r="E151" s="4">
        <v>42412</v>
      </c>
      <c r="F151" s="4"/>
      <c r="G151" s="3" t="s">
        <v>29</v>
      </c>
      <c r="H151" s="5">
        <v>38039</v>
      </c>
      <c r="I151" s="3" t="str">
        <f>VLOOKUP(Tabela1[[#This Row],[Advogado]],Tabela2[],2,FALSE)</f>
        <v>Caio Brito</v>
      </c>
      <c r="J151" s="17">
        <f>IF(Tabela1[[#This Row],[Data de conclusão]]="",NETWORKDAYS(Tabela1[[#This Row],[Data de entrada]],$J$2),NETWORKDAYS(Tabela1[[#This Row],[Data de entrada]],Tabela1[[#This Row],[Data de conclusão]]))</f>
        <v>588</v>
      </c>
      <c r="K151" s="1"/>
    </row>
    <row r="152" spans="2:11" x14ac:dyDescent="0.25">
      <c r="B152" s="3">
        <v>259</v>
      </c>
      <c r="C152" s="3" t="s">
        <v>8</v>
      </c>
      <c r="D152" s="3" t="s">
        <v>14</v>
      </c>
      <c r="E152" s="4">
        <v>42426</v>
      </c>
      <c r="F152" s="4"/>
      <c r="G152" s="3" t="s">
        <v>29</v>
      </c>
      <c r="H152" s="5">
        <v>32943</v>
      </c>
      <c r="I152" s="3" t="str">
        <f>VLOOKUP(Tabela1[[#This Row],[Advogado]],Tabela2[],2,FALSE)</f>
        <v>Renê Amaranto</v>
      </c>
      <c r="J152" s="17">
        <f>IF(Tabela1[[#This Row],[Data de conclusão]]="",NETWORKDAYS(Tabela1[[#This Row],[Data de entrada]],$J$2),NETWORKDAYS(Tabela1[[#This Row],[Data de entrada]],Tabela1[[#This Row],[Data de conclusão]]))</f>
        <v>578</v>
      </c>
      <c r="K152" s="1"/>
    </row>
    <row r="153" spans="2:11" x14ac:dyDescent="0.25">
      <c r="B153" s="3">
        <v>260</v>
      </c>
      <c r="C153" s="3" t="s">
        <v>9</v>
      </c>
      <c r="D153" s="3" t="s">
        <v>15</v>
      </c>
      <c r="E153" s="4">
        <v>42628</v>
      </c>
      <c r="F153" s="4"/>
      <c r="G153" s="3" t="s">
        <v>29</v>
      </c>
      <c r="H153" s="5">
        <v>19917</v>
      </c>
      <c r="I153" s="3" t="str">
        <f>VLOOKUP(Tabela1[[#This Row],[Advogado]],Tabela2[],2,FALSE)</f>
        <v>Renê Amaranto</v>
      </c>
      <c r="J153" s="17">
        <f>IF(Tabela1[[#This Row],[Data de conclusão]]="",NETWORKDAYS(Tabela1[[#This Row],[Data de entrada]],$J$2),NETWORKDAYS(Tabela1[[#This Row],[Data de entrada]],Tabela1[[#This Row],[Data de conclusão]]))</f>
        <v>434</v>
      </c>
      <c r="K153" s="1"/>
    </row>
    <row r="154" spans="2:11" x14ac:dyDescent="0.25">
      <c r="B154" s="3">
        <v>261</v>
      </c>
      <c r="C154" s="3" t="s">
        <v>7</v>
      </c>
      <c r="D154" s="3" t="s">
        <v>16</v>
      </c>
      <c r="E154" s="4">
        <v>42903</v>
      </c>
      <c r="F154" s="4"/>
      <c r="G154" s="3" t="s">
        <v>29</v>
      </c>
      <c r="H154" s="5">
        <v>7687</v>
      </c>
      <c r="I154" s="3" t="str">
        <f>VLOOKUP(Tabela1[[#This Row],[Advogado]],Tabela2[],2,FALSE)</f>
        <v>Renê Amaranto</v>
      </c>
      <c r="J154" s="17">
        <f>IF(Tabela1[[#This Row],[Data de conclusão]]="",NETWORKDAYS(Tabela1[[#This Row],[Data de entrada]],$J$2),NETWORKDAYS(Tabela1[[#This Row],[Data de entrada]],Tabela1[[#This Row],[Data de conclusão]]))</f>
        <v>237</v>
      </c>
      <c r="K154" s="1"/>
    </row>
    <row r="155" spans="2:11" x14ac:dyDescent="0.25">
      <c r="B155" s="3">
        <v>262</v>
      </c>
      <c r="C155" s="3" t="s">
        <v>8</v>
      </c>
      <c r="D155" s="3" t="s">
        <v>17</v>
      </c>
      <c r="E155" s="4">
        <v>42633</v>
      </c>
      <c r="F155" s="4"/>
      <c r="G155" s="3" t="s">
        <v>29</v>
      </c>
      <c r="H155" s="5">
        <v>38808</v>
      </c>
      <c r="I155" s="3" t="str">
        <f>VLOOKUP(Tabela1[[#This Row],[Advogado]],Tabela2[],2,FALSE)</f>
        <v>Renê Amaranto</v>
      </c>
      <c r="J155" s="17">
        <f>IF(Tabela1[[#This Row],[Data de conclusão]]="",NETWORKDAYS(Tabela1[[#This Row],[Data de entrada]],$J$2),NETWORKDAYS(Tabela1[[#This Row],[Data de entrada]],Tabela1[[#This Row],[Data de conclusão]]))</f>
        <v>431</v>
      </c>
      <c r="K155" s="1"/>
    </row>
    <row r="156" spans="2:11" x14ac:dyDescent="0.25">
      <c r="B156" s="3">
        <v>263</v>
      </c>
      <c r="C156" s="3" t="s">
        <v>9</v>
      </c>
      <c r="D156" s="3" t="s">
        <v>10</v>
      </c>
      <c r="E156" s="4">
        <v>42732</v>
      </c>
      <c r="F156" s="4"/>
      <c r="G156" s="3" t="s">
        <v>29</v>
      </c>
      <c r="H156" s="5">
        <v>56332</v>
      </c>
      <c r="I156" s="3" t="str">
        <f>VLOOKUP(Tabela1[[#This Row],[Advogado]],Tabela2[],2,FALSE)</f>
        <v>Caio Brito</v>
      </c>
      <c r="J156" s="17">
        <f>IF(Tabela1[[#This Row],[Data de conclusão]]="",NETWORKDAYS(Tabela1[[#This Row],[Data de entrada]],$J$2),NETWORKDAYS(Tabela1[[#This Row],[Data de entrada]],Tabela1[[#This Row],[Data de conclusão]]))</f>
        <v>360</v>
      </c>
      <c r="K156" s="1"/>
    </row>
    <row r="157" spans="2:11" x14ac:dyDescent="0.25">
      <c r="B157" s="3">
        <v>264</v>
      </c>
      <c r="C157" s="3" t="s">
        <v>7</v>
      </c>
      <c r="D157" s="3" t="s">
        <v>11</v>
      </c>
      <c r="E157" s="4">
        <v>42500</v>
      </c>
      <c r="F157" s="4"/>
      <c r="G157" s="3" t="s">
        <v>29</v>
      </c>
      <c r="H157" s="5">
        <v>22261</v>
      </c>
      <c r="I157" s="3" t="str">
        <f>VLOOKUP(Tabela1[[#This Row],[Advogado]],Tabela2[],2,FALSE)</f>
        <v>Caio Brito</v>
      </c>
      <c r="J157" s="17">
        <f>IF(Tabela1[[#This Row],[Data de conclusão]]="",NETWORKDAYS(Tabela1[[#This Row],[Data de entrada]],$J$2),NETWORKDAYS(Tabela1[[#This Row],[Data de entrada]],Tabela1[[#This Row],[Data de conclusão]]))</f>
        <v>526</v>
      </c>
      <c r="K157" s="1"/>
    </row>
    <row r="158" spans="2:11" x14ac:dyDescent="0.25">
      <c r="B158" s="3">
        <v>265</v>
      </c>
      <c r="C158" s="3" t="s">
        <v>8</v>
      </c>
      <c r="D158" s="3" t="s">
        <v>12</v>
      </c>
      <c r="E158" s="4">
        <v>42566</v>
      </c>
      <c r="F158" s="4">
        <v>42612</v>
      </c>
      <c r="G158" s="3" t="s">
        <v>28</v>
      </c>
      <c r="H158" s="5">
        <v>54707</v>
      </c>
      <c r="I158" s="3" t="str">
        <f>VLOOKUP(Tabela1[[#This Row],[Advogado]],Tabela2[],2,FALSE)</f>
        <v>Caio Brito</v>
      </c>
      <c r="J158" s="17">
        <f>IF(Tabela1[[#This Row],[Data de conclusão]]="",NETWORKDAYS(Tabela1[[#This Row],[Data de entrada]],$J$2),NETWORKDAYS(Tabela1[[#This Row],[Data de entrada]],Tabela1[[#This Row],[Data de conclusão]]))</f>
        <v>33</v>
      </c>
      <c r="K158" s="1"/>
    </row>
    <row r="159" spans="2:11" x14ac:dyDescent="0.25">
      <c r="B159" s="3">
        <v>266</v>
      </c>
      <c r="C159" s="3" t="s">
        <v>9</v>
      </c>
      <c r="D159" s="3" t="s">
        <v>13</v>
      </c>
      <c r="E159" s="4">
        <v>42596</v>
      </c>
      <c r="F159" s="4"/>
      <c r="G159" s="3" t="s">
        <v>27</v>
      </c>
      <c r="H159" s="5">
        <v>35683</v>
      </c>
      <c r="I159" s="3" t="str">
        <f>VLOOKUP(Tabela1[[#This Row],[Advogado]],Tabela2[],2,FALSE)</f>
        <v>Caio Brito</v>
      </c>
      <c r="J159" s="17">
        <f>IF(Tabela1[[#This Row],[Data de conclusão]]="",NETWORKDAYS(Tabela1[[#This Row],[Data de entrada]],$J$2),NETWORKDAYS(Tabela1[[#This Row],[Data de entrada]],Tabela1[[#This Row],[Data de conclusão]]))</f>
        <v>457</v>
      </c>
      <c r="K159" s="1"/>
    </row>
    <row r="160" spans="2:11" x14ac:dyDescent="0.25">
      <c r="B160" s="3">
        <v>267</v>
      </c>
      <c r="C160" s="3" t="s">
        <v>7</v>
      </c>
      <c r="D160" s="3" t="s">
        <v>14</v>
      </c>
      <c r="E160" s="4">
        <v>42395</v>
      </c>
      <c r="F160" s="4"/>
      <c r="G160" s="3" t="s">
        <v>29</v>
      </c>
      <c r="H160" s="5">
        <v>13181</v>
      </c>
      <c r="I160" s="3" t="str">
        <f>VLOOKUP(Tabela1[[#This Row],[Advogado]],Tabela2[],2,FALSE)</f>
        <v>Renê Amaranto</v>
      </c>
      <c r="J160" s="17">
        <f>IF(Tabela1[[#This Row],[Data de conclusão]]="",NETWORKDAYS(Tabela1[[#This Row],[Data de entrada]],$J$2),NETWORKDAYS(Tabela1[[#This Row],[Data de entrada]],Tabela1[[#This Row],[Data de conclusão]]))</f>
        <v>601</v>
      </c>
      <c r="K160" s="1"/>
    </row>
    <row r="161" spans="2:11" x14ac:dyDescent="0.25">
      <c r="B161" s="3">
        <v>268</v>
      </c>
      <c r="C161" s="3" t="s">
        <v>8</v>
      </c>
      <c r="D161" s="3" t="s">
        <v>15</v>
      </c>
      <c r="E161" s="4">
        <v>43014</v>
      </c>
      <c r="F161" s="4"/>
      <c r="G161" s="3" t="s">
        <v>29</v>
      </c>
      <c r="H161" s="5">
        <v>48024</v>
      </c>
      <c r="I161" s="3" t="str">
        <f>VLOOKUP(Tabela1[[#This Row],[Advogado]],Tabela2[],2,FALSE)</f>
        <v>Renê Amaranto</v>
      </c>
      <c r="J161" s="17">
        <f>IF(Tabela1[[#This Row],[Data de conclusão]]="",NETWORKDAYS(Tabela1[[#This Row],[Data de entrada]],$J$2),NETWORKDAYS(Tabela1[[#This Row],[Data de entrada]],Tabela1[[#This Row],[Data de conclusão]]))</f>
        <v>158</v>
      </c>
      <c r="K161" s="1"/>
    </row>
    <row r="162" spans="2:11" x14ac:dyDescent="0.25">
      <c r="B162" s="3">
        <v>269</v>
      </c>
      <c r="C162" s="3" t="s">
        <v>9</v>
      </c>
      <c r="D162" s="3" t="s">
        <v>16</v>
      </c>
      <c r="E162" s="4">
        <v>42833</v>
      </c>
      <c r="F162" s="4"/>
      <c r="G162" s="3" t="s">
        <v>29</v>
      </c>
      <c r="H162" s="5">
        <v>20567</v>
      </c>
      <c r="I162" s="3" t="str">
        <f>VLOOKUP(Tabela1[[#This Row],[Advogado]],Tabela2[],2,FALSE)</f>
        <v>Renê Amaranto</v>
      </c>
      <c r="J162" s="17">
        <f>IF(Tabela1[[#This Row],[Data de conclusão]]="",NETWORKDAYS(Tabela1[[#This Row],[Data de entrada]],$J$2),NETWORKDAYS(Tabela1[[#This Row],[Data de entrada]],Tabela1[[#This Row],[Data de conclusão]]))</f>
        <v>287</v>
      </c>
      <c r="K162" s="1"/>
    </row>
    <row r="163" spans="2:11" x14ac:dyDescent="0.25">
      <c r="B163" s="3">
        <v>270</v>
      </c>
      <c r="C163" s="3" t="s">
        <v>7</v>
      </c>
      <c r="D163" s="3" t="s">
        <v>17</v>
      </c>
      <c r="E163" s="4">
        <v>42942</v>
      </c>
      <c r="F163" s="4"/>
      <c r="G163" s="3" t="s">
        <v>29</v>
      </c>
      <c r="H163" s="5">
        <v>49462</v>
      </c>
      <c r="I163" s="3" t="str">
        <f>VLOOKUP(Tabela1[[#This Row],[Advogado]],Tabela2[],2,FALSE)</f>
        <v>Renê Amaranto</v>
      </c>
      <c r="J163" s="17">
        <f>IF(Tabela1[[#This Row],[Data de conclusão]]="",NETWORKDAYS(Tabela1[[#This Row],[Data de entrada]],$J$2),NETWORKDAYS(Tabela1[[#This Row],[Data de entrada]],Tabela1[[#This Row],[Data de conclusão]]))</f>
        <v>210</v>
      </c>
      <c r="K163" s="1"/>
    </row>
    <row r="164" spans="2:11" x14ac:dyDescent="0.25">
      <c r="B164" s="3">
        <v>271</v>
      </c>
      <c r="C164" s="3" t="s">
        <v>8</v>
      </c>
      <c r="D164" s="3" t="s">
        <v>10</v>
      </c>
      <c r="E164" s="4">
        <v>42788</v>
      </c>
      <c r="F164" s="4"/>
      <c r="G164" s="3" t="s">
        <v>29</v>
      </c>
      <c r="H164" s="5">
        <v>54038</v>
      </c>
      <c r="I164" s="3" t="str">
        <f>VLOOKUP(Tabela1[[#This Row],[Advogado]],Tabela2[],2,FALSE)</f>
        <v>Caio Brito</v>
      </c>
      <c r="J164" s="17">
        <f>IF(Tabela1[[#This Row],[Data de conclusão]]="",NETWORKDAYS(Tabela1[[#This Row],[Data de entrada]],$J$2),NETWORKDAYS(Tabela1[[#This Row],[Data de entrada]],Tabela1[[#This Row],[Data de conclusão]]))</f>
        <v>320</v>
      </c>
      <c r="K164" s="1"/>
    </row>
    <row r="165" spans="2:11" x14ac:dyDescent="0.25">
      <c r="B165" s="3">
        <v>272</v>
      </c>
      <c r="C165" s="3" t="s">
        <v>9</v>
      </c>
      <c r="D165" s="3" t="s">
        <v>11</v>
      </c>
      <c r="E165" s="4">
        <v>42466</v>
      </c>
      <c r="F165" s="4"/>
      <c r="G165" s="3" t="s">
        <v>29</v>
      </c>
      <c r="H165" s="5">
        <v>46836</v>
      </c>
      <c r="I165" s="3" t="str">
        <f>VLOOKUP(Tabela1[[#This Row],[Advogado]],Tabela2[],2,FALSE)</f>
        <v>Caio Brito</v>
      </c>
      <c r="J165" s="17">
        <f>IF(Tabela1[[#This Row],[Data de conclusão]]="",NETWORKDAYS(Tabela1[[#This Row],[Data de entrada]],$J$2),NETWORKDAYS(Tabela1[[#This Row],[Data de entrada]],Tabela1[[#This Row],[Data de conclusão]]))</f>
        <v>550</v>
      </c>
      <c r="K165" s="1"/>
    </row>
    <row r="166" spans="2:11" x14ac:dyDescent="0.25">
      <c r="B166" s="3">
        <v>273</v>
      </c>
      <c r="C166" s="3" t="s">
        <v>7</v>
      </c>
      <c r="D166" s="3" t="s">
        <v>12</v>
      </c>
      <c r="E166" s="4">
        <v>42613</v>
      </c>
      <c r="F166" s="4"/>
      <c r="G166" s="3" t="s">
        <v>29</v>
      </c>
      <c r="H166" s="5">
        <v>43511</v>
      </c>
      <c r="I166" s="3" t="str">
        <f>VLOOKUP(Tabela1[[#This Row],[Advogado]],Tabela2[],2,FALSE)</f>
        <v>Caio Brito</v>
      </c>
      <c r="J166" s="17">
        <f>IF(Tabela1[[#This Row],[Data de conclusão]]="",NETWORKDAYS(Tabela1[[#This Row],[Data de entrada]],$J$2),NETWORKDAYS(Tabela1[[#This Row],[Data de entrada]],Tabela1[[#This Row],[Data de conclusão]]))</f>
        <v>445</v>
      </c>
      <c r="K166" s="1"/>
    </row>
    <row r="167" spans="2:11" x14ac:dyDescent="0.25">
      <c r="B167" s="3">
        <v>274</v>
      </c>
      <c r="C167" s="3" t="s">
        <v>8</v>
      </c>
      <c r="D167" s="3" t="s">
        <v>13</v>
      </c>
      <c r="E167" s="4">
        <v>42704</v>
      </c>
      <c r="F167" s="4"/>
      <c r="G167" s="3" t="s">
        <v>29</v>
      </c>
      <c r="H167" s="5">
        <v>2413</v>
      </c>
      <c r="I167" s="3" t="str">
        <f>VLOOKUP(Tabela1[[#This Row],[Advogado]],Tabela2[],2,FALSE)</f>
        <v>Caio Brito</v>
      </c>
      <c r="J167" s="17">
        <f>IF(Tabela1[[#This Row],[Data de conclusão]]="",NETWORKDAYS(Tabela1[[#This Row],[Data de entrada]],$J$2),NETWORKDAYS(Tabela1[[#This Row],[Data de entrada]],Tabela1[[#This Row],[Data de conclusão]]))</f>
        <v>380</v>
      </c>
      <c r="K167" s="1"/>
    </row>
    <row r="168" spans="2:11" x14ac:dyDescent="0.25">
      <c r="B168" s="3">
        <v>275</v>
      </c>
      <c r="C168" s="3" t="s">
        <v>9</v>
      </c>
      <c r="D168" s="3" t="s">
        <v>14</v>
      </c>
      <c r="E168" s="4">
        <v>42475</v>
      </c>
      <c r="F168" s="4"/>
      <c r="G168" s="3" t="s">
        <v>29</v>
      </c>
      <c r="H168" s="5">
        <v>18640</v>
      </c>
      <c r="I168" s="3" t="str">
        <f>VLOOKUP(Tabela1[[#This Row],[Advogado]],Tabela2[],2,FALSE)</f>
        <v>Renê Amaranto</v>
      </c>
      <c r="J168" s="17">
        <f>IF(Tabela1[[#This Row],[Data de conclusão]]="",NETWORKDAYS(Tabela1[[#This Row],[Data de entrada]],$J$2),NETWORKDAYS(Tabela1[[#This Row],[Data de entrada]],Tabela1[[#This Row],[Data de conclusão]]))</f>
        <v>543</v>
      </c>
      <c r="K168" s="1"/>
    </row>
    <row r="169" spans="2:11" x14ac:dyDescent="0.25">
      <c r="B169" s="3">
        <v>276</v>
      </c>
      <c r="C169" s="3" t="s">
        <v>7</v>
      </c>
      <c r="D169" s="3" t="s">
        <v>15</v>
      </c>
      <c r="E169" s="4">
        <v>42483</v>
      </c>
      <c r="F169" s="4"/>
      <c r="G169" s="3" t="s">
        <v>29</v>
      </c>
      <c r="H169" s="5">
        <v>1532</v>
      </c>
      <c r="I169" s="3" t="str">
        <f>VLOOKUP(Tabela1[[#This Row],[Advogado]],Tabela2[],2,FALSE)</f>
        <v>Renê Amaranto</v>
      </c>
      <c r="J169" s="17">
        <f>IF(Tabela1[[#This Row],[Data de conclusão]]="",NETWORKDAYS(Tabela1[[#This Row],[Data de entrada]],$J$2),NETWORKDAYS(Tabela1[[#This Row],[Data de entrada]],Tabela1[[#This Row],[Data de conclusão]]))</f>
        <v>537</v>
      </c>
      <c r="K169" s="1"/>
    </row>
    <row r="170" spans="2:11" x14ac:dyDescent="0.25">
      <c r="B170" s="3">
        <v>277</v>
      </c>
      <c r="C170" s="3" t="s">
        <v>8</v>
      </c>
      <c r="D170" s="3" t="s">
        <v>16</v>
      </c>
      <c r="E170" s="4">
        <v>42596</v>
      </c>
      <c r="F170" s="4"/>
      <c r="G170" s="3" t="s">
        <v>29</v>
      </c>
      <c r="H170" s="5">
        <v>22347</v>
      </c>
      <c r="I170" s="3" t="str">
        <f>VLOOKUP(Tabela1[[#This Row],[Advogado]],Tabela2[],2,FALSE)</f>
        <v>Renê Amaranto</v>
      </c>
      <c r="J170" s="17">
        <f>IF(Tabela1[[#This Row],[Data de conclusão]]="",NETWORKDAYS(Tabela1[[#This Row],[Data de entrada]],$J$2),NETWORKDAYS(Tabela1[[#This Row],[Data de entrada]],Tabela1[[#This Row],[Data de conclusão]]))</f>
        <v>457</v>
      </c>
      <c r="K170" s="1"/>
    </row>
    <row r="171" spans="2:11" x14ac:dyDescent="0.25">
      <c r="B171" s="3">
        <v>278</v>
      </c>
      <c r="C171" s="3" t="s">
        <v>9</v>
      </c>
      <c r="D171" s="3" t="s">
        <v>17</v>
      </c>
      <c r="E171" s="4">
        <v>42378</v>
      </c>
      <c r="F171" s="4">
        <v>42484</v>
      </c>
      <c r="G171" s="3" t="s">
        <v>28</v>
      </c>
      <c r="H171" s="5">
        <v>5821</v>
      </c>
      <c r="I171" s="3" t="str">
        <f>VLOOKUP(Tabela1[[#This Row],[Advogado]],Tabela2[],2,FALSE)</f>
        <v>Renê Amaranto</v>
      </c>
      <c r="J171" s="17">
        <f>IF(Tabela1[[#This Row],[Data de conclusão]]="",NETWORKDAYS(Tabela1[[#This Row],[Data de entrada]],$J$2),NETWORKDAYS(Tabela1[[#This Row],[Data de entrada]],Tabela1[[#This Row],[Data de conclusão]]))</f>
        <v>75</v>
      </c>
      <c r="K171" s="1"/>
    </row>
    <row r="172" spans="2:11" x14ac:dyDescent="0.25">
      <c r="B172" s="3">
        <v>279</v>
      </c>
      <c r="C172" s="3" t="s">
        <v>7</v>
      </c>
      <c r="D172" s="3" t="s">
        <v>10</v>
      </c>
      <c r="E172" s="4">
        <v>42516</v>
      </c>
      <c r="F172" s="4"/>
      <c r="G172" s="3" t="s">
        <v>27</v>
      </c>
      <c r="H172" s="5">
        <v>9079</v>
      </c>
      <c r="I172" s="3" t="str">
        <f>VLOOKUP(Tabela1[[#This Row],[Advogado]],Tabela2[],2,FALSE)</f>
        <v>Caio Brito</v>
      </c>
      <c r="J172" s="17">
        <f>IF(Tabela1[[#This Row],[Data de conclusão]]="",NETWORKDAYS(Tabela1[[#This Row],[Data de entrada]],$J$2),NETWORKDAYS(Tabela1[[#This Row],[Data de entrada]],Tabela1[[#This Row],[Data de conclusão]]))</f>
        <v>514</v>
      </c>
      <c r="K172" s="1"/>
    </row>
    <row r="173" spans="2:11" x14ac:dyDescent="0.25">
      <c r="B173" s="3">
        <v>280</v>
      </c>
      <c r="C173" s="3" t="s">
        <v>8</v>
      </c>
      <c r="D173" s="3" t="s">
        <v>11</v>
      </c>
      <c r="E173" s="4">
        <v>42763</v>
      </c>
      <c r="F173" s="4"/>
      <c r="G173" s="3" t="s">
        <v>29</v>
      </c>
      <c r="H173" s="5">
        <v>58169</v>
      </c>
      <c r="I173" s="3" t="str">
        <f>VLOOKUP(Tabela1[[#This Row],[Advogado]],Tabela2[],2,FALSE)</f>
        <v>Caio Brito</v>
      </c>
      <c r="J173" s="17">
        <f>IF(Tabela1[[#This Row],[Data de conclusão]]="",NETWORKDAYS(Tabela1[[#This Row],[Data de entrada]],$J$2),NETWORKDAYS(Tabela1[[#This Row],[Data de entrada]],Tabela1[[#This Row],[Data de conclusão]]))</f>
        <v>337</v>
      </c>
      <c r="K173" s="1"/>
    </row>
    <row r="174" spans="2:11" x14ac:dyDescent="0.25">
      <c r="B174" s="3">
        <v>281</v>
      </c>
      <c r="C174" s="3" t="s">
        <v>9</v>
      </c>
      <c r="D174" s="3" t="s">
        <v>12</v>
      </c>
      <c r="E174" s="4">
        <v>42816</v>
      </c>
      <c r="F174" s="4"/>
      <c r="G174" s="3" t="s">
        <v>29</v>
      </c>
      <c r="H174" s="5">
        <v>13374</v>
      </c>
      <c r="I174" s="3" t="str">
        <f>VLOOKUP(Tabela1[[#This Row],[Advogado]],Tabela2[],2,FALSE)</f>
        <v>Caio Brito</v>
      </c>
      <c r="J174" s="17">
        <f>IF(Tabela1[[#This Row],[Data de conclusão]]="",NETWORKDAYS(Tabela1[[#This Row],[Data de entrada]],$J$2),NETWORKDAYS(Tabela1[[#This Row],[Data de entrada]],Tabela1[[#This Row],[Data de conclusão]]))</f>
        <v>300</v>
      </c>
      <c r="K174" s="1"/>
    </row>
    <row r="175" spans="2:11" x14ac:dyDescent="0.25">
      <c r="B175" s="3">
        <v>282</v>
      </c>
      <c r="C175" s="3" t="s">
        <v>7</v>
      </c>
      <c r="D175" s="3" t="s">
        <v>13</v>
      </c>
      <c r="E175" s="4">
        <v>42792</v>
      </c>
      <c r="F175" s="4"/>
      <c r="G175" s="3" t="s">
        <v>29</v>
      </c>
      <c r="H175" s="5">
        <v>6786</v>
      </c>
      <c r="I175" s="3" t="str">
        <f>VLOOKUP(Tabela1[[#This Row],[Advogado]],Tabela2[],2,FALSE)</f>
        <v>Caio Brito</v>
      </c>
      <c r="J175" s="17">
        <f>IF(Tabela1[[#This Row],[Data de conclusão]]="",NETWORKDAYS(Tabela1[[#This Row],[Data de entrada]],$J$2),NETWORKDAYS(Tabela1[[#This Row],[Data de entrada]],Tabela1[[#This Row],[Data de conclusão]]))</f>
        <v>317</v>
      </c>
      <c r="K175" s="1"/>
    </row>
    <row r="176" spans="2:11" x14ac:dyDescent="0.25">
      <c r="B176" s="3">
        <v>283</v>
      </c>
      <c r="C176" s="3" t="s">
        <v>8</v>
      </c>
      <c r="D176" s="3" t="s">
        <v>14</v>
      </c>
      <c r="E176" s="4">
        <v>42597</v>
      </c>
      <c r="F176" s="4"/>
      <c r="G176" s="3" t="s">
        <v>29</v>
      </c>
      <c r="H176" s="5">
        <v>57755</v>
      </c>
      <c r="I176" s="3" t="str">
        <f>VLOOKUP(Tabela1[[#This Row],[Advogado]],Tabela2[],2,FALSE)</f>
        <v>Renê Amaranto</v>
      </c>
      <c r="J176" s="17">
        <f>IF(Tabela1[[#This Row],[Data de conclusão]]="",NETWORKDAYS(Tabela1[[#This Row],[Data de entrada]],$J$2),NETWORKDAYS(Tabela1[[#This Row],[Data de entrada]],Tabela1[[#This Row],[Data de conclusão]]))</f>
        <v>457</v>
      </c>
      <c r="K176" s="1"/>
    </row>
    <row r="177" spans="2:11" x14ac:dyDescent="0.25">
      <c r="B177" s="3">
        <v>284</v>
      </c>
      <c r="C177" s="3" t="s">
        <v>9</v>
      </c>
      <c r="D177" s="3" t="s">
        <v>15</v>
      </c>
      <c r="E177" s="4">
        <v>42858</v>
      </c>
      <c r="F177" s="4"/>
      <c r="G177" s="3" t="s">
        <v>29</v>
      </c>
      <c r="H177" s="5">
        <v>40758</v>
      </c>
      <c r="I177" s="3" t="str">
        <f>VLOOKUP(Tabela1[[#This Row],[Advogado]],Tabela2[],2,FALSE)</f>
        <v>Renê Amaranto</v>
      </c>
      <c r="J177" s="17">
        <f>IF(Tabela1[[#This Row],[Data de conclusão]]="",NETWORKDAYS(Tabela1[[#This Row],[Data de entrada]],$J$2),NETWORKDAYS(Tabela1[[#This Row],[Data de entrada]],Tabela1[[#This Row],[Data de conclusão]]))</f>
        <v>270</v>
      </c>
      <c r="K177" s="1"/>
    </row>
    <row r="178" spans="2:11" x14ac:dyDescent="0.25">
      <c r="B178" s="3">
        <v>285</v>
      </c>
      <c r="C178" s="3" t="s">
        <v>7</v>
      </c>
      <c r="D178" s="3" t="s">
        <v>16</v>
      </c>
      <c r="E178" s="4">
        <v>43011</v>
      </c>
      <c r="F178" s="4"/>
      <c r="G178" s="3" t="s">
        <v>29</v>
      </c>
      <c r="H178" s="5">
        <v>1226</v>
      </c>
      <c r="I178" s="3" t="str">
        <f>VLOOKUP(Tabela1[[#This Row],[Advogado]],Tabela2[],2,FALSE)</f>
        <v>Renê Amaranto</v>
      </c>
      <c r="J178" s="17">
        <f>IF(Tabela1[[#This Row],[Data de conclusão]]="",NETWORKDAYS(Tabela1[[#This Row],[Data de entrada]],$J$2),NETWORKDAYS(Tabela1[[#This Row],[Data de entrada]],Tabela1[[#This Row],[Data de conclusão]]))</f>
        <v>161</v>
      </c>
      <c r="K178" s="1"/>
    </row>
    <row r="179" spans="2:11" x14ac:dyDescent="0.25">
      <c r="B179" s="3">
        <v>286</v>
      </c>
      <c r="C179" s="3" t="s">
        <v>8</v>
      </c>
      <c r="D179" s="3" t="s">
        <v>17</v>
      </c>
      <c r="E179" s="4">
        <v>42544</v>
      </c>
      <c r="F179" s="4"/>
      <c r="G179" s="3" t="s">
        <v>29</v>
      </c>
      <c r="H179" s="5">
        <v>17214</v>
      </c>
      <c r="I179" s="3" t="str">
        <f>VLOOKUP(Tabela1[[#This Row],[Advogado]],Tabela2[],2,FALSE)</f>
        <v>Renê Amaranto</v>
      </c>
      <c r="J179" s="17">
        <f>IF(Tabela1[[#This Row],[Data de conclusão]]="",NETWORKDAYS(Tabela1[[#This Row],[Data de entrada]],$J$2),NETWORKDAYS(Tabela1[[#This Row],[Data de entrada]],Tabela1[[#This Row],[Data de conclusão]]))</f>
        <v>494</v>
      </c>
      <c r="K179" s="1"/>
    </row>
    <row r="180" spans="2:11" x14ac:dyDescent="0.25">
      <c r="B180" s="3">
        <v>287</v>
      </c>
      <c r="C180" s="3" t="s">
        <v>9</v>
      </c>
      <c r="D180" s="3" t="s">
        <v>10</v>
      </c>
      <c r="E180" s="4">
        <v>42922</v>
      </c>
      <c r="F180" s="4"/>
      <c r="G180" s="3" t="s">
        <v>29</v>
      </c>
      <c r="H180" s="5">
        <v>25508</v>
      </c>
      <c r="I180" s="3" t="str">
        <f>VLOOKUP(Tabela1[[#This Row],[Advogado]],Tabela2[],2,FALSE)</f>
        <v>Caio Brito</v>
      </c>
      <c r="J180" s="17">
        <f>IF(Tabela1[[#This Row],[Data de conclusão]]="",NETWORKDAYS(Tabela1[[#This Row],[Data de entrada]],$J$2),NETWORKDAYS(Tabela1[[#This Row],[Data de entrada]],Tabela1[[#This Row],[Data de conclusão]]))</f>
        <v>224</v>
      </c>
      <c r="K180" s="1"/>
    </row>
    <row r="181" spans="2:11" x14ac:dyDescent="0.25">
      <c r="B181" s="3">
        <v>288</v>
      </c>
      <c r="C181" s="3" t="s">
        <v>7</v>
      </c>
      <c r="D181" s="3" t="s">
        <v>11</v>
      </c>
      <c r="E181" s="4">
        <v>42835</v>
      </c>
      <c r="F181" s="4"/>
      <c r="G181" s="3" t="s">
        <v>29</v>
      </c>
      <c r="H181" s="5">
        <v>33972</v>
      </c>
      <c r="I181" s="3" t="str">
        <f>VLOOKUP(Tabela1[[#This Row],[Advogado]],Tabela2[],2,FALSE)</f>
        <v>Caio Brito</v>
      </c>
      <c r="J181" s="17">
        <f>IF(Tabela1[[#This Row],[Data de conclusão]]="",NETWORKDAYS(Tabela1[[#This Row],[Data de entrada]],$J$2),NETWORKDAYS(Tabela1[[#This Row],[Data de entrada]],Tabela1[[#This Row],[Data de conclusão]]))</f>
        <v>287</v>
      </c>
      <c r="K181" s="1"/>
    </row>
    <row r="182" spans="2:11" x14ac:dyDescent="0.25">
      <c r="B182" s="3">
        <v>289</v>
      </c>
      <c r="C182" s="3" t="s">
        <v>8</v>
      </c>
      <c r="D182" s="3" t="s">
        <v>12</v>
      </c>
      <c r="E182" s="4">
        <v>42970</v>
      </c>
      <c r="F182" s="4"/>
      <c r="G182" s="3" t="s">
        <v>29</v>
      </c>
      <c r="H182" s="5">
        <v>57470</v>
      </c>
      <c r="I182" s="3" t="str">
        <f>VLOOKUP(Tabela1[[#This Row],[Advogado]],Tabela2[],2,FALSE)</f>
        <v>Caio Brito</v>
      </c>
      <c r="J182" s="17">
        <f>IF(Tabela1[[#This Row],[Data de conclusão]]="",NETWORKDAYS(Tabela1[[#This Row],[Data de entrada]],$J$2),NETWORKDAYS(Tabela1[[#This Row],[Data de entrada]],Tabela1[[#This Row],[Data de conclusão]]))</f>
        <v>190</v>
      </c>
      <c r="K182" s="1"/>
    </row>
    <row r="183" spans="2:11" x14ac:dyDescent="0.25">
      <c r="B183" s="3">
        <v>290</v>
      </c>
      <c r="C183" s="3" t="s">
        <v>9</v>
      </c>
      <c r="D183" s="3" t="s">
        <v>13</v>
      </c>
      <c r="E183" s="4">
        <v>42926</v>
      </c>
      <c r="F183" s="4"/>
      <c r="G183" s="3" t="s">
        <v>29</v>
      </c>
      <c r="H183" s="5">
        <v>53610</v>
      </c>
      <c r="I183" s="3" t="str">
        <f>VLOOKUP(Tabela1[[#This Row],[Advogado]],Tabela2[],2,FALSE)</f>
        <v>Caio Brito</v>
      </c>
      <c r="J183" s="17">
        <f>IF(Tabela1[[#This Row],[Data de conclusão]]="",NETWORKDAYS(Tabela1[[#This Row],[Data de entrada]],$J$2),NETWORKDAYS(Tabela1[[#This Row],[Data de entrada]],Tabela1[[#This Row],[Data de conclusão]]))</f>
        <v>222</v>
      </c>
      <c r="K183" s="1"/>
    </row>
    <row r="184" spans="2:11" x14ac:dyDescent="0.25">
      <c r="B184" s="3">
        <v>291</v>
      </c>
      <c r="C184" s="3" t="s">
        <v>7</v>
      </c>
      <c r="D184" s="3" t="s">
        <v>14</v>
      </c>
      <c r="E184" s="4">
        <v>43010</v>
      </c>
      <c r="F184" s="4">
        <v>43077</v>
      </c>
      <c r="G184" s="3" t="s">
        <v>28</v>
      </c>
      <c r="H184" s="5">
        <v>39678</v>
      </c>
      <c r="I184" s="3" t="str">
        <f>VLOOKUP(Tabela1[[#This Row],[Advogado]],Tabela2[],2,FALSE)</f>
        <v>Renê Amaranto</v>
      </c>
      <c r="J184" s="17">
        <f>IF(Tabela1[[#This Row],[Data de conclusão]]="",NETWORKDAYS(Tabela1[[#This Row],[Data de entrada]],$J$2),NETWORKDAYS(Tabela1[[#This Row],[Data de entrada]],Tabela1[[#This Row],[Data de conclusão]]))</f>
        <v>50</v>
      </c>
      <c r="K184" s="1"/>
    </row>
    <row r="185" spans="2:11" x14ac:dyDescent="0.25">
      <c r="B185" s="3">
        <v>292</v>
      </c>
      <c r="C185" s="3" t="s">
        <v>8</v>
      </c>
      <c r="D185" s="3" t="s">
        <v>15</v>
      </c>
      <c r="E185" s="4">
        <v>42534</v>
      </c>
      <c r="F185" s="4"/>
      <c r="G185" s="3" t="s">
        <v>27</v>
      </c>
      <c r="H185" s="5">
        <v>26103</v>
      </c>
      <c r="I185" s="3" t="str">
        <f>VLOOKUP(Tabela1[[#This Row],[Advogado]],Tabela2[],2,FALSE)</f>
        <v>Renê Amaranto</v>
      </c>
      <c r="J185" s="17">
        <f>IF(Tabela1[[#This Row],[Data de conclusão]]="",NETWORKDAYS(Tabela1[[#This Row],[Data de entrada]],$J$2),NETWORKDAYS(Tabela1[[#This Row],[Data de entrada]],Tabela1[[#This Row],[Data de conclusão]]))</f>
        <v>502</v>
      </c>
      <c r="K185" s="1"/>
    </row>
    <row r="186" spans="2:11" x14ac:dyDescent="0.25">
      <c r="B186" s="3">
        <v>293</v>
      </c>
      <c r="C186" s="3" t="s">
        <v>9</v>
      </c>
      <c r="D186" s="3" t="s">
        <v>16</v>
      </c>
      <c r="E186" s="4">
        <v>42743</v>
      </c>
      <c r="F186" s="4"/>
      <c r="G186" s="3" t="s">
        <v>29</v>
      </c>
      <c r="H186" s="5">
        <v>51330</v>
      </c>
      <c r="I186" s="3" t="str">
        <f>VLOOKUP(Tabela1[[#This Row],[Advogado]],Tabela2[],2,FALSE)</f>
        <v>Renê Amaranto</v>
      </c>
      <c r="J186" s="17">
        <f>IF(Tabela1[[#This Row],[Data de conclusão]]="",NETWORKDAYS(Tabela1[[#This Row],[Data de entrada]],$J$2),NETWORKDAYS(Tabela1[[#This Row],[Data de entrada]],Tabela1[[#This Row],[Data de conclusão]]))</f>
        <v>352</v>
      </c>
      <c r="K186" s="1"/>
    </row>
    <row r="187" spans="2:11" x14ac:dyDescent="0.25">
      <c r="B187" s="3">
        <v>294</v>
      </c>
      <c r="C187" s="3" t="s">
        <v>7</v>
      </c>
      <c r="D187" s="3" t="s">
        <v>17</v>
      </c>
      <c r="E187" s="4">
        <v>42744</v>
      </c>
      <c r="F187" s="4"/>
      <c r="G187" s="3" t="s">
        <v>29</v>
      </c>
      <c r="H187" s="5">
        <v>43488</v>
      </c>
      <c r="I187" s="3" t="str">
        <f>VLOOKUP(Tabela1[[#This Row],[Advogado]],Tabela2[],2,FALSE)</f>
        <v>Renê Amaranto</v>
      </c>
      <c r="J187" s="17">
        <f>IF(Tabela1[[#This Row],[Data de conclusão]]="",NETWORKDAYS(Tabela1[[#This Row],[Data de entrada]],$J$2),NETWORKDAYS(Tabela1[[#This Row],[Data de entrada]],Tabela1[[#This Row],[Data de conclusão]]))</f>
        <v>352</v>
      </c>
      <c r="K187" s="1"/>
    </row>
    <row r="188" spans="2:11" x14ac:dyDescent="0.25">
      <c r="B188" s="3">
        <v>295</v>
      </c>
      <c r="C188" s="3" t="s">
        <v>8</v>
      </c>
      <c r="D188" s="3" t="s">
        <v>10</v>
      </c>
      <c r="E188" s="4">
        <v>42485</v>
      </c>
      <c r="F188" s="4"/>
      <c r="G188" s="3" t="s">
        <v>29</v>
      </c>
      <c r="H188" s="5">
        <v>4611</v>
      </c>
      <c r="I188" s="3" t="str">
        <f>VLOOKUP(Tabela1[[#This Row],[Advogado]],Tabela2[],2,FALSE)</f>
        <v>Caio Brito</v>
      </c>
      <c r="J188" s="17">
        <f>IF(Tabela1[[#This Row],[Data de conclusão]]="",NETWORKDAYS(Tabela1[[#This Row],[Data de entrada]],$J$2),NETWORKDAYS(Tabela1[[#This Row],[Data de entrada]],Tabela1[[#This Row],[Data de conclusão]]))</f>
        <v>537</v>
      </c>
      <c r="K188" s="1"/>
    </row>
    <row r="189" spans="2:11" x14ac:dyDescent="0.25">
      <c r="B189" s="3">
        <v>296</v>
      </c>
      <c r="C189" s="3" t="s">
        <v>9</v>
      </c>
      <c r="D189" s="3" t="s">
        <v>11</v>
      </c>
      <c r="E189" s="4">
        <v>42448</v>
      </c>
      <c r="F189" s="4"/>
      <c r="G189" s="3" t="s">
        <v>29</v>
      </c>
      <c r="H189" s="5">
        <v>42936</v>
      </c>
      <c r="I189" s="3" t="str">
        <f>VLOOKUP(Tabela1[[#This Row],[Advogado]],Tabela2[],2,FALSE)</f>
        <v>Caio Brito</v>
      </c>
      <c r="J189" s="17">
        <f>IF(Tabela1[[#This Row],[Data de conclusão]]="",NETWORKDAYS(Tabela1[[#This Row],[Data de entrada]],$J$2),NETWORKDAYS(Tabela1[[#This Row],[Data de entrada]],Tabela1[[#This Row],[Data de conclusão]]))</f>
        <v>562</v>
      </c>
      <c r="K189" s="1"/>
    </row>
    <row r="190" spans="2:11" x14ac:dyDescent="0.25">
      <c r="B190" s="3">
        <v>297</v>
      </c>
      <c r="C190" s="3" t="s">
        <v>7</v>
      </c>
      <c r="D190" s="3" t="s">
        <v>12</v>
      </c>
      <c r="E190" s="4">
        <v>42917</v>
      </c>
      <c r="F190" s="4"/>
      <c r="G190" s="3" t="s">
        <v>29</v>
      </c>
      <c r="H190" s="5">
        <v>5333</v>
      </c>
      <c r="I190" s="3" t="str">
        <f>VLOOKUP(Tabela1[[#This Row],[Advogado]],Tabela2[],2,FALSE)</f>
        <v>Caio Brito</v>
      </c>
      <c r="J190" s="17">
        <f>IF(Tabela1[[#This Row],[Data de conclusão]]="",NETWORKDAYS(Tabela1[[#This Row],[Data de entrada]],$J$2),NETWORKDAYS(Tabela1[[#This Row],[Data de entrada]],Tabela1[[#This Row],[Data de conclusão]]))</f>
        <v>227</v>
      </c>
      <c r="K190" s="1"/>
    </row>
    <row r="191" spans="2:11" x14ac:dyDescent="0.25">
      <c r="B191" s="3">
        <v>298</v>
      </c>
      <c r="C191" s="3" t="s">
        <v>8</v>
      </c>
      <c r="D191" s="3" t="s">
        <v>13</v>
      </c>
      <c r="E191" s="4">
        <v>42461</v>
      </c>
      <c r="F191" s="4"/>
      <c r="G191" s="3" t="s">
        <v>29</v>
      </c>
      <c r="H191" s="5">
        <v>52888</v>
      </c>
      <c r="I191" s="3" t="str">
        <f>VLOOKUP(Tabela1[[#This Row],[Advogado]],Tabela2[],2,FALSE)</f>
        <v>Caio Brito</v>
      </c>
      <c r="J191" s="17">
        <f>IF(Tabela1[[#This Row],[Data de conclusão]]="",NETWORKDAYS(Tabela1[[#This Row],[Data de entrada]],$J$2),NETWORKDAYS(Tabela1[[#This Row],[Data de entrada]],Tabela1[[#This Row],[Data de conclusão]]))</f>
        <v>553</v>
      </c>
      <c r="K191" s="1"/>
    </row>
    <row r="192" spans="2:11" x14ac:dyDescent="0.25">
      <c r="B192" s="3">
        <v>299</v>
      </c>
      <c r="C192" s="3" t="s">
        <v>9</v>
      </c>
      <c r="D192" s="3" t="s">
        <v>14</v>
      </c>
      <c r="E192" s="4">
        <v>42841</v>
      </c>
      <c r="F192" s="4"/>
      <c r="G192" s="3" t="s">
        <v>29</v>
      </c>
      <c r="H192" s="5">
        <v>44488</v>
      </c>
      <c r="I192" s="3" t="str">
        <f>VLOOKUP(Tabela1[[#This Row],[Advogado]],Tabela2[],2,FALSE)</f>
        <v>Renê Amaranto</v>
      </c>
      <c r="J192" s="17">
        <f>IF(Tabela1[[#This Row],[Data de conclusão]]="",NETWORKDAYS(Tabela1[[#This Row],[Data de entrada]],$J$2),NETWORKDAYS(Tabela1[[#This Row],[Data de entrada]],Tabela1[[#This Row],[Data de conclusão]]))</f>
        <v>282</v>
      </c>
      <c r="K192" s="1"/>
    </row>
    <row r="193" spans="2:11" x14ac:dyDescent="0.25">
      <c r="B193" s="3">
        <v>300</v>
      </c>
      <c r="C193" s="3" t="s">
        <v>7</v>
      </c>
      <c r="D193" s="3" t="s">
        <v>15</v>
      </c>
      <c r="E193" s="4">
        <v>42981</v>
      </c>
      <c r="F193" s="4"/>
      <c r="G193" s="3" t="s">
        <v>29</v>
      </c>
      <c r="H193" s="5">
        <v>16809</v>
      </c>
      <c r="I193" s="3" t="str">
        <f>VLOOKUP(Tabela1[[#This Row],[Advogado]],Tabela2[],2,FALSE)</f>
        <v>Renê Amaranto</v>
      </c>
      <c r="J193" s="17">
        <f>IF(Tabela1[[#This Row],[Data de conclusão]]="",NETWORKDAYS(Tabela1[[#This Row],[Data de entrada]],$J$2),NETWORKDAYS(Tabela1[[#This Row],[Data de entrada]],Tabela1[[#This Row],[Data de conclusão]]))</f>
        <v>182</v>
      </c>
      <c r="K193" s="1"/>
    </row>
    <row r="194" spans="2:11" x14ac:dyDescent="0.25">
      <c r="B194" s="3">
        <v>301</v>
      </c>
      <c r="C194" s="3" t="s">
        <v>8</v>
      </c>
      <c r="D194" s="3" t="s">
        <v>16</v>
      </c>
      <c r="E194" s="4">
        <v>42503</v>
      </c>
      <c r="F194" s="4"/>
      <c r="G194" s="3" t="s">
        <v>29</v>
      </c>
      <c r="H194" s="5">
        <v>33377</v>
      </c>
      <c r="I194" s="3" t="str">
        <f>VLOOKUP(Tabela1[[#This Row],[Advogado]],Tabela2[],2,FALSE)</f>
        <v>Renê Amaranto</v>
      </c>
      <c r="J194" s="17">
        <f>IF(Tabela1[[#This Row],[Data de conclusão]]="",NETWORKDAYS(Tabela1[[#This Row],[Data de entrada]],$J$2),NETWORKDAYS(Tabela1[[#This Row],[Data de entrada]],Tabela1[[#This Row],[Data de conclusão]]))</f>
        <v>523</v>
      </c>
      <c r="K194" s="1"/>
    </row>
    <row r="195" spans="2:11" x14ac:dyDescent="0.25">
      <c r="B195" s="3">
        <v>302</v>
      </c>
      <c r="C195" s="3" t="s">
        <v>9</v>
      </c>
      <c r="D195" s="3" t="s">
        <v>17</v>
      </c>
      <c r="E195" s="4">
        <v>42536</v>
      </c>
      <c r="F195" s="4"/>
      <c r="G195" s="3" t="s">
        <v>29</v>
      </c>
      <c r="H195" s="5">
        <v>18583</v>
      </c>
      <c r="I195" s="3" t="str">
        <f>VLOOKUP(Tabela1[[#This Row],[Advogado]],Tabela2[],2,FALSE)</f>
        <v>Renê Amaranto</v>
      </c>
      <c r="J195" s="17">
        <f>IF(Tabela1[[#This Row],[Data de conclusão]]="",NETWORKDAYS(Tabela1[[#This Row],[Data de entrada]],$J$2),NETWORKDAYS(Tabela1[[#This Row],[Data de entrada]],Tabela1[[#This Row],[Data de conclusão]]))</f>
        <v>500</v>
      </c>
      <c r="K195" s="1"/>
    </row>
    <row r="196" spans="2:11" x14ac:dyDescent="0.25">
      <c r="B196" s="3">
        <v>303</v>
      </c>
      <c r="C196" s="3" t="s">
        <v>7</v>
      </c>
      <c r="D196" s="3" t="s">
        <v>10</v>
      </c>
      <c r="E196" s="4">
        <v>42676</v>
      </c>
      <c r="F196" s="4"/>
      <c r="G196" s="3" t="s">
        <v>29</v>
      </c>
      <c r="H196" s="5">
        <v>10923</v>
      </c>
      <c r="I196" s="3" t="str">
        <f>VLOOKUP(Tabela1[[#This Row],[Advogado]],Tabela2[],2,FALSE)</f>
        <v>Caio Brito</v>
      </c>
      <c r="J196" s="17">
        <f>IF(Tabela1[[#This Row],[Data de conclusão]]="",NETWORKDAYS(Tabela1[[#This Row],[Data de entrada]],$J$2),NETWORKDAYS(Tabela1[[#This Row],[Data de entrada]],Tabela1[[#This Row],[Data de conclusão]]))</f>
        <v>400</v>
      </c>
      <c r="K196" s="1"/>
    </row>
    <row r="197" spans="2:11" x14ac:dyDescent="0.25">
      <c r="B197" s="3">
        <v>304</v>
      </c>
      <c r="C197" s="3" t="s">
        <v>8</v>
      </c>
      <c r="D197" s="3" t="s">
        <v>11</v>
      </c>
      <c r="E197" s="4">
        <v>42957</v>
      </c>
      <c r="F197" s="4">
        <v>43013</v>
      </c>
      <c r="G197" s="3" t="s">
        <v>28</v>
      </c>
      <c r="H197" s="5">
        <v>38628</v>
      </c>
      <c r="I197" s="3" t="str">
        <f>VLOOKUP(Tabela1[[#This Row],[Advogado]],Tabela2[],2,FALSE)</f>
        <v>Caio Brito</v>
      </c>
      <c r="J197" s="17">
        <f>IF(Tabela1[[#This Row],[Data de conclusão]]="",NETWORKDAYS(Tabela1[[#This Row],[Data de entrada]],$J$2),NETWORKDAYS(Tabela1[[#This Row],[Data de entrada]],Tabela1[[#This Row],[Data de conclusão]]))</f>
        <v>41</v>
      </c>
      <c r="K197" s="1"/>
    </row>
    <row r="198" spans="2:11" x14ac:dyDescent="0.25">
      <c r="B198" s="3">
        <v>305</v>
      </c>
      <c r="C198" s="3" t="s">
        <v>9</v>
      </c>
      <c r="D198" s="3" t="s">
        <v>12</v>
      </c>
      <c r="E198" s="4">
        <v>42925</v>
      </c>
      <c r="F198" s="4"/>
      <c r="G198" s="3" t="s">
        <v>27</v>
      </c>
      <c r="H198" s="5">
        <v>15216</v>
      </c>
      <c r="I198" s="3" t="str">
        <f>VLOOKUP(Tabela1[[#This Row],[Advogado]],Tabela2[],2,FALSE)</f>
        <v>Caio Brito</v>
      </c>
      <c r="J198" s="17">
        <f>IF(Tabela1[[#This Row],[Data de conclusão]]="",NETWORKDAYS(Tabela1[[#This Row],[Data de entrada]],$J$2),NETWORKDAYS(Tabela1[[#This Row],[Data de entrada]],Tabela1[[#This Row],[Data de conclusão]]))</f>
        <v>222</v>
      </c>
      <c r="K198" s="1"/>
    </row>
    <row r="199" spans="2:11" x14ac:dyDescent="0.25">
      <c r="B199" s="3">
        <v>306</v>
      </c>
      <c r="C199" s="3" t="s">
        <v>7</v>
      </c>
      <c r="D199" s="3" t="s">
        <v>13</v>
      </c>
      <c r="E199" s="4">
        <v>43002</v>
      </c>
      <c r="F199" s="4"/>
      <c r="G199" s="3" t="s">
        <v>29</v>
      </c>
      <c r="H199" s="5">
        <v>59573</v>
      </c>
      <c r="I199" s="3" t="str">
        <f>VLOOKUP(Tabela1[[#This Row],[Advogado]],Tabela2[],2,FALSE)</f>
        <v>Caio Brito</v>
      </c>
      <c r="J199" s="17">
        <f>IF(Tabela1[[#This Row],[Data de conclusão]]="",NETWORKDAYS(Tabela1[[#This Row],[Data de entrada]],$J$2),NETWORKDAYS(Tabela1[[#This Row],[Data de entrada]],Tabela1[[#This Row],[Data de conclusão]]))</f>
        <v>167</v>
      </c>
      <c r="K199" s="1"/>
    </row>
    <row r="200" spans="2:11" x14ac:dyDescent="0.25">
      <c r="B200" s="3">
        <v>307</v>
      </c>
      <c r="C200" s="3" t="s">
        <v>8</v>
      </c>
      <c r="D200" s="3" t="s">
        <v>14</v>
      </c>
      <c r="E200" s="4">
        <v>43014</v>
      </c>
      <c r="F200" s="4"/>
      <c r="G200" s="3" t="s">
        <v>29</v>
      </c>
      <c r="H200" s="5">
        <v>33356</v>
      </c>
      <c r="I200" s="3" t="str">
        <f>VLOOKUP(Tabela1[[#This Row],[Advogado]],Tabela2[],2,FALSE)</f>
        <v>Renê Amaranto</v>
      </c>
      <c r="J200" s="17">
        <f>IF(Tabela1[[#This Row],[Data de conclusão]]="",NETWORKDAYS(Tabela1[[#This Row],[Data de entrada]],$J$2),NETWORKDAYS(Tabela1[[#This Row],[Data de entrada]],Tabela1[[#This Row],[Data de conclusão]]))</f>
        <v>158</v>
      </c>
      <c r="K200" s="1"/>
    </row>
    <row r="201" spans="2:11" x14ac:dyDescent="0.25">
      <c r="B201" s="3">
        <v>308</v>
      </c>
      <c r="C201" s="3" t="s">
        <v>9</v>
      </c>
      <c r="D201" s="3" t="s">
        <v>15</v>
      </c>
      <c r="E201" s="4">
        <v>42673</v>
      </c>
      <c r="F201" s="4"/>
      <c r="G201" s="3" t="s">
        <v>29</v>
      </c>
      <c r="H201" s="5">
        <v>27735</v>
      </c>
      <c r="I201" s="3" t="str">
        <f>VLOOKUP(Tabela1[[#This Row],[Advogado]],Tabela2[],2,FALSE)</f>
        <v>Renê Amaranto</v>
      </c>
      <c r="J201" s="17">
        <f>IF(Tabela1[[#This Row],[Data de conclusão]]="",NETWORKDAYS(Tabela1[[#This Row],[Data de entrada]],$J$2),NETWORKDAYS(Tabela1[[#This Row],[Data de entrada]],Tabela1[[#This Row],[Data de conclusão]]))</f>
        <v>402</v>
      </c>
      <c r="K201" s="1"/>
    </row>
    <row r="202" spans="2:11" x14ac:dyDescent="0.25">
      <c r="B202" s="3">
        <v>309</v>
      </c>
      <c r="C202" s="3" t="s">
        <v>7</v>
      </c>
      <c r="D202" s="3" t="s">
        <v>16</v>
      </c>
      <c r="E202" s="4">
        <v>42874</v>
      </c>
      <c r="F202" s="4"/>
      <c r="G202" s="3" t="s">
        <v>29</v>
      </c>
      <c r="H202" s="5">
        <v>22243</v>
      </c>
      <c r="I202" s="3" t="str">
        <f>VLOOKUP(Tabela1[[#This Row],[Advogado]],Tabela2[],2,FALSE)</f>
        <v>Renê Amaranto</v>
      </c>
      <c r="J202" s="17">
        <f>IF(Tabela1[[#This Row],[Data de conclusão]]="",NETWORKDAYS(Tabela1[[#This Row],[Data de entrada]],$J$2),NETWORKDAYS(Tabela1[[#This Row],[Data de entrada]],Tabela1[[#This Row],[Data de conclusão]]))</f>
        <v>258</v>
      </c>
      <c r="K202" s="1"/>
    </row>
    <row r="203" spans="2:11" x14ac:dyDescent="0.25">
      <c r="B203" s="3">
        <v>310</v>
      </c>
      <c r="C203" s="3" t="s">
        <v>8</v>
      </c>
      <c r="D203" s="3" t="s">
        <v>17</v>
      </c>
      <c r="E203" s="4">
        <v>42962</v>
      </c>
      <c r="F203" s="4"/>
      <c r="G203" s="3" t="s">
        <v>29</v>
      </c>
      <c r="H203" s="5">
        <v>39097</v>
      </c>
      <c r="I203" s="3" t="str">
        <f>VLOOKUP(Tabela1[[#This Row],[Advogado]],Tabela2[],2,FALSE)</f>
        <v>Renê Amaranto</v>
      </c>
      <c r="J203" s="17">
        <f>IF(Tabela1[[#This Row],[Data de conclusão]]="",NETWORKDAYS(Tabela1[[#This Row],[Data de entrada]],$J$2),NETWORKDAYS(Tabela1[[#This Row],[Data de entrada]],Tabela1[[#This Row],[Data de conclusão]]))</f>
        <v>196</v>
      </c>
      <c r="K203" s="1"/>
    </row>
    <row r="204" spans="2:11" x14ac:dyDescent="0.25">
      <c r="B204" s="3">
        <v>311</v>
      </c>
      <c r="C204" s="3" t="s">
        <v>9</v>
      </c>
      <c r="D204" s="3" t="s">
        <v>10</v>
      </c>
      <c r="E204" s="4">
        <v>42899</v>
      </c>
      <c r="F204" s="4"/>
      <c r="G204" s="3" t="s">
        <v>29</v>
      </c>
      <c r="H204" s="5">
        <v>57614</v>
      </c>
      <c r="I204" s="3" t="str">
        <f>VLOOKUP(Tabela1[[#This Row],[Advogado]],Tabela2[],2,FALSE)</f>
        <v>Caio Brito</v>
      </c>
      <c r="J204" s="17">
        <f>IF(Tabela1[[#This Row],[Data de conclusão]]="",NETWORKDAYS(Tabela1[[#This Row],[Data de entrada]],$J$2),NETWORKDAYS(Tabela1[[#This Row],[Data de entrada]],Tabela1[[#This Row],[Data de conclusão]]))</f>
        <v>241</v>
      </c>
      <c r="K204" s="1"/>
    </row>
    <row r="205" spans="2:11" x14ac:dyDescent="0.25">
      <c r="B205" s="3">
        <v>312</v>
      </c>
      <c r="C205" s="3" t="s">
        <v>7</v>
      </c>
      <c r="D205" s="3" t="s">
        <v>11</v>
      </c>
      <c r="E205" s="4">
        <v>43083</v>
      </c>
      <c r="F205" s="4"/>
      <c r="G205" s="3" t="s">
        <v>29</v>
      </c>
      <c r="H205" s="5">
        <v>5883</v>
      </c>
      <c r="I205" s="3" t="str">
        <f>VLOOKUP(Tabela1[[#This Row],[Advogado]],Tabela2[],2,FALSE)</f>
        <v>Caio Brito</v>
      </c>
      <c r="J205" s="17">
        <f>IF(Tabela1[[#This Row],[Data de conclusão]]="",NETWORKDAYS(Tabela1[[#This Row],[Data de entrada]],$J$2),NETWORKDAYS(Tabela1[[#This Row],[Data de entrada]],Tabela1[[#This Row],[Data de conclusão]]))</f>
        <v>109</v>
      </c>
      <c r="K205" s="1"/>
    </row>
    <row r="206" spans="2:11" x14ac:dyDescent="0.25">
      <c r="B206" s="3">
        <v>313</v>
      </c>
      <c r="C206" s="3" t="s">
        <v>8</v>
      </c>
      <c r="D206" s="3" t="s">
        <v>12</v>
      </c>
      <c r="E206" s="4">
        <v>42658</v>
      </c>
      <c r="F206" s="4"/>
      <c r="G206" s="3" t="s">
        <v>29</v>
      </c>
      <c r="H206" s="5">
        <v>32515</v>
      </c>
      <c r="I206" s="3" t="str">
        <f>VLOOKUP(Tabela1[[#This Row],[Advogado]],Tabela2[],2,FALSE)</f>
        <v>Caio Brito</v>
      </c>
      <c r="J206" s="17">
        <f>IF(Tabela1[[#This Row],[Data de conclusão]]="",NETWORKDAYS(Tabela1[[#This Row],[Data de entrada]],$J$2),NETWORKDAYS(Tabela1[[#This Row],[Data de entrada]],Tabela1[[#This Row],[Data de conclusão]]))</f>
        <v>412</v>
      </c>
      <c r="K206" s="1"/>
    </row>
    <row r="207" spans="2:11" x14ac:dyDescent="0.25">
      <c r="B207" s="3">
        <v>314</v>
      </c>
      <c r="C207" s="3" t="s">
        <v>9</v>
      </c>
      <c r="D207" s="3" t="s">
        <v>13</v>
      </c>
      <c r="E207" s="4">
        <v>42781</v>
      </c>
      <c r="F207" s="4"/>
      <c r="G207" s="3" t="s">
        <v>29</v>
      </c>
      <c r="H207" s="5">
        <v>23732</v>
      </c>
      <c r="I207" s="3" t="str">
        <f>VLOOKUP(Tabela1[[#This Row],[Advogado]],Tabela2[],2,FALSE)</f>
        <v>Caio Brito</v>
      </c>
      <c r="J207" s="17">
        <f>IF(Tabela1[[#This Row],[Data de conclusão]]="",NETWORKDAYS(Tabela1[[#This Row],[Data de entrada]],$J$2),NETWORKDAYS(Tabela1[[#This Row],[Data de entrada]],Tabela1[[#This Row],[Data de conclusão]]))</f>
        <v>325</v>
      </c>
      <c r="K207" s="1"/>
    </row>
    <row r="208" spans="2:11" x14ac:dyDescent="0.25">
      <c r="B208" s="3">
        <v>315</v>
      </c>
      <c r="C208" s="3" t="s">
        <v>7</v>
      </c>
      <c r="D208" s="3" t="s">
        <v>14</v>
      </c>
      <c r="E208" s="4">
        <v>42876</v>
      </c>
      <c r="F208" s="4"/>
      <c r="G208" s="3" t="s">
        <v>29</v>
      </c>
      <c r="H208" s="5">
        <v>27897</v>
      </c>
      <c r="I208" s="3" t="str">
        <f>VLOOKUP(Tabela1[[#This Row],[Advogado]],Tabela2[],2,FALSE)</f>
        <v>Renê Amaranto</v>
      </c>
      <c r="J208" s="17">
        <f>IF(Tabela1[[#This Row],[Data de conclusão]]="",NETWORKDAYS(Tabela1[[#This Row],[Data de entrada]],$J$2),NETWORKDAYS(Tabela1[[#This Row],[Data de entrada]],Tabela1[[#This Row],[Data de conclusão]]))</f>
        <v>257</v>
      </c>
      <c r="K208" s="1"/>
    </row>
    <row r="209" spans="2:11" x14ac:dyDescent="0.25">
      <c r="B209" s="3">
        <v>316</v>
      </c>
      <c r="C209" s="3" t="s">
        <v>8</v>
      </c>
      <c r="D209" s="3" t="s">
        <v>15</v>
      </c>
      <c r="E209" s="4">
        <v>42725</v>
      </c>
      <c r="F209" s="4"/>
      <c r="G209" s="3" t="s">
        <v>29</v>
      </c>
      <c r="H209" s="5">
        <v>57700</v>
      </c>
      <c r="I209" s="3" t="str">
        <f>VLOOKUP(Tabela1[[#This Row],[Advogado]],Tabela2[],2,FALSE)</f>
        <v>Renê Amaranto</v>
      </c>
      <c r="J209" s="17">
        <f>IF(Tabela1[[#This Row],[Data de conclusão]]="",NETWORKDAYS(Tabela1[[#This Row],[Data de entrada]],$J$2),NETWORKDAYS(Tabela1[[#This Row],[Data de entrada]],Tabela1[[#This Row],[Data de conclusão]]))</f>
        <v>365</v>
      </c>
      <c r="K209" s="1"/>
    </row>
    <row r="210" spans="2:11" x14ac:dyDescent="0.25">
      <c r="B210" s="3">
        <v>317</v>
      </c>
      <c r="C210" s="3" t="s">
        <v>9</v>
      </c>
      <c r="D210" s="3" t="s">
        <v>16</v>
      </c>
      <c r="E210" s="4">
        <v>42692</v>
      </c>
      <c r="F210" s="4">
        <v>42744</v>
      </c>
      <c r="G210" s="3" t="s">
        <v>28</v>
      </c>
      <c r="H210" s="5">
        <v>25945</v>
      </c>
      <c r="I210" s="3" t="str">
        <f>VLOOKUP(Tabela1[[#This Row],[Advogado]],Tabela2[],2,FALSE)</f>
        <v>Renê Amaranto</v>
      </c>
      <c r="J210" s="17">
        <f>IF(Tabela1[[#This Row],[Data de conclusão]]="",NETWORKDAYS(Tabela1[[#This Row],[Data de entrada]],$J$2),NETWORKDAYS(Tabela1[[#This Row],[Data de entrada]],Tabela1[[#This Row],[Data de conclusão]]))</f>
        <v>37</v>
      </c>
      <c r="K210" s="1"/>
    </row>
    <row r="211" spans="2:11" x14ac:dyDescent="0.25">
      <c r="B211" s="3">
        <v>318</v>
      </c>
      <c r="C211" s="3" t="s">
        <v>7</v>
      </c>
      <c r="D211" s="3" t="s">
        <v>17</v>
      </c>
      <c r="E211" s="4">
        <v>42761</v>
      </c>
      <c r="F211" s="4"/>
      <c r="G211" s="3" t="s">
        <v>27</v>
      </c>
      <c r="H211" s="5">
        <v>28629</v>
      </c>
      <c r="I211" s="3" t="str">
        <f>VLOOKUP(Tabela1[[#This Row],[Advogado]],Tabela2[],2,FALSE)</f>
        <v>Renê Amaranto</v>
      </c>
      <c r="J211" s="17">
        <f>IF(Tabela1[[#This Row],[Data de conclusão]]="",NETWORKDAYS(Tabela1[[#This Row],[Data de entrada]],$J$2),NETWORKDAYS(Tabela1[[#This Row],[Data de entrada]],Tabela1[[#This Row],[Data de conclusão]]))</f>
        <v>339</v>
      </c>
      <c r="K211" s="1"/>
    </row>
    <row r="212" spans="2:11" x14ac:dyDescent="0.25">
      <c r="B212" s="3">
        <v>319</v>
      </c>
      <c r="C212" s="3" t="s">
        <v>8</v>
      </c>
      <c r="D212" s="3" t="s">
        <v>10</v>
      </c>
      <c r="E212" s="4">
        <v>42850</v>
      </c>
      <c r="F212" s="4"/>
      <c r="G212" s="3" t="s">
        <v>29</v>
      </c>
      <c r="H212" s="5">
        <v>55857</v>
      </c>
      <c r="I212" s="3" t="str">
        <f>VLOOKUP(Tabela1[[#This Row],[Advogado]],Tabela2[],2,FALSE)</f>
        <v>Caio Brito</v>
      </c>
      <c r="J212" s="17">
        <f>IF(Tabela1[[#This Row],[Data de conclusão]]="",NETWORKDAYS(Tabela1[[#This Row],[Data de entrada]],$J$2),NETWORKDAYS(Tabela1[[#This Row],[Data de entrada]],Tabela1[[#This Row],[Data de conclusão]]))</f>
        <v>276</v>
      </c>
      <c r="K212" s="1"/>
    </row>
    <row r="213" spans="2:11" x14ac:dyDescent="0.25">
      <c r="B213" s="3">
        <v>320</v>
      </c>
      <c r="C213" s="3" t="s">
        <v>9</v>
      </c>
      <c r="D213" s="3" t="s">
        <v>11</v>
      </c>
      <c r="E213" s="4">
        <v>42775</v>
      </c>
      <c r="F213" s="4"/>
      <c r="G213" s="3" t="s">
        <v>29</v>
      </c>
      <c r="H213" s="5">
        <v>55068</v>
      </c>
      <c r="I213" s="3" t="str">
        <f>VLOOKUP(Tabela1[[#This Row],[Advogado]],Tabela2[],2,FALSE)</f>
        <v>Caio Brito</v>
      </c>
      <c r="J213" s="17">
        <f>IF(Tabela1[[#This Row],[Data de conclusão]]="",NETWORKDAYS(Tabela1[[#This Row],[Data de entrada]],$J$2),NETWORKDAYS(Tabela1[[#This Row],[Data de entrada]],Tabela1[[#This Row],[Data de conclusão]]))</f>
        <v>329</v>
      </c>
      <c r="K213" s="1"/>
    </row>
    <row r="214" spans="2:11" x14ac:dyDescent="0.25">
      <c r="B214" s="3">
        <v>321</v>
      </c>
      <c r="C214" s="3" t="s">
        <v>7</v>
      </c>
      <c r="D214" s="3" t="s">
        <v>12</v>
      </c>
      <c r="E214" s="4">
        <v>42526</v>
      </c>
      <c r="F214" s="4"/>
      <c r="G214" s="3" t="s">
        <v>29</v>
      </c>
      <c r="H214" s="5">
        <v>39615</v>
      </c>
      <c r="I214" s="3" t="str">
        <f>VLOOKUP(Tabela1[[#This Row],[Advogado]],Tabela2[],2,FALSE)</f>
        <v>Caio Brito</v>
      </c>
      <c r="J214" s="17">
        <f>IF(Tabela1[[#This Row],[Data de conclusão]]="",NETWORKDAYS(Tabela1[[#This Row],[Data de entrada]],$J$2),NETWORKDAYS(Tabela1[[#This Row],[Data de entrada]],Tabela1[[#This Row],[Data de conclusão]]))</f>
        <v>507</v>
      </c>
      <c r="K214" s="1"/>
    </row>
    <row r="215" spans="2:11" x14ac:dyDescent="0.25">
      <c r="B215" s="3">
        <v>322</v>
      </c>
      <c r="C215" s="3" t="s">
        <v>8</v>
      </c>
      <c r="D215" s="3" t="s">
        <v>13</v>
      </c>
      <c r="E215" s="4">
        <v>42513</v>
      </c>
      <c r="F215" s="4"/>
      <c r="G215" s="3" t="s">
        <v>29</v>
      </c>
      <c r="H215" s="5">
        <v>7444</v>
      </c>
      <c r="I215" s="3" t="str">
        <f>VLOOKUP(Tabela1[[#This Row],[Advogado]],Tabela2[],2,FALSE)</f>
        <v>Caio Brito</v>
      </c>
      <c r="J215" s="17">
        <f>IF(Tabela1[[#This Row],[Data de conclusão]]="",NETWORKDAYS(Tabela1[[#This Row],[Data de entrada]],$J$2),NETWORKDAYS(Tabela1[[#This Row],[Data de entrada]],Tabela1[[#This Row],[Data de conclusão]]))</f>
        <v>517</v>
      </c>
      <c r="K215" s="1"/>
    </row>
    <row r="216" spans="2:11" x14ac:dyDescent="0.25">
      <c r="B216" s="3">
        <v>323</v>
      </c>
      <c r="C216" s="3" t="s">
        <v>9</v>
      </c>
      <c r="D216" s="3" t="s">
        <v>14</v>
      </c>
      <c r="E216" s="4">
        <v>42638</v>
      </c>
      <c r="F216" s="4"/>
      <c r="G216" s="3" t="s">
        <v>29</v>
      </c>
      <c r="H216" s="5">
        <v>3585</v>
      </c>
      <c r="I216" s="3" t="str">
        <f>VLOOKUP(Tabela1[[#This Row],[Advogado]],Tabela2[],2,FALSE)</f>
        <v>Renê Amaranto</v>
      </c>
      <c r="J216" s="17">
        <f>IF(Tabela1[[#This Row],[Data de conclusão]]="",NETWORKDAYS(Tabela1[[#This Row],[Data de entrada]],$J$2),NETWORKDAYS(Tabela1[[#This Row],[Data de entrada]],Tabela1[[#This Row],[Data de conclusão]]))</f>
        <v>427</v>
      </c>
      <c r="K216" s="1"/>
    </row>
    <row r="217" spans="2:11" x14ac:dyDescent="0.25">
      <c r="B217" s="3">
        <v>324</v>
      </c>
      <c r="C217" s="3" t="s">
        <v>7</v>
      </c>
      <c r="D217" s="3" t="s">
        <v>15</v>
      </c>
      <c r="E217" s="4">
        <v>42406</v>
      </c>
      <c r="F217" s="4"/>
      <c r="G217" s="3" t="s">
        <v>29</v>
      </c>
      <c r="H217" s="5">
        <v>43579</v>
      </c>
      <c r="I217" s="3" t="str">
        <f>VLOOKUP(Tabela1[[#This Row],[Advogado]],Tabela2[],2,FALSE)</f>
        <v>Renê Amaranto</v>
      </c>
      <c r="J217" s="17">
        <f>IF(Tabela1[[#This Row],[Data de conclusão]]="",NETWORKDAYS(Tabela1[[#This Row],[Data de entrada]],$J$2),NETWORKDAYS(Tabela1[[#This Row],[Data de entrada]],Tabela1[[#This Row],[Data de conclusão]]))</f>
        <v>592</v>
      </c>
      <c r="K217" s="1"/>
    </row>
    <row r="218" spans="2:11" x14ac:dyDescent="0.25">
      <c r="B218" s="3">
        <v>325</v>
      </c>
      <c r="C218" s="3" t="s">
        <v>8</v>
      </c>
      <c r="D218" s="3" t="s">
        <v>16</v>
      </c>
      <c r="E218" s="4">
        <v>43001</v>
      </c>
      <c r="F218" s="4"/>
      <c r="G218" s="3" t="s">
        <v>29</v>
      </c>
      <c r="H218" s="5">
        <v>42091</v>
      </c>
      <c r="I218" s="3" t="str">
        <f>VLOOKUP(Tabela1[[#This Row],[Advogado]],Tabela2[],2,FALSE)</f>
        <v>Renê Amaranto</v>
      </c>
      <c r="J218" s="17">
        <f>IF(Tabela1[[#This Row],[Data de conclusão]]="",NETWORKDAYS(Tabela1[[#This Row],[Data de entrada]],$J$2),NETWORKDAYS(Tabela1[[#This Row],[Data de entrada]],Tabela1[[#This Row],[Data de conclusão]]))</f>
        <v>167</v>
      </c>
      <c r="K218" s="1"/>
    </row>
    <row r="219" spans="2:11" x14ac:dyDescent="0.25">
      <c r="B219" s="3">
        <v>326</v>
      </c>
      <c r="C219" s="3" t="s">
        <v>9</v>
      </c>
      <c r="D219" s="3" t="s">
        <v>17</v>
      </c>
      <c r="E219" s="4">
        <v>42449</v>
      </c>
      <c r="F219" s="4"/>
      <c r="G219" s="3" t="s">
        <v>29</v>
      </c>
      <c r="H219" s="5">
        <v>14299</v>
      </c>
      <c r="I219" s="3" t="str">
        <f>VLOOKUP(Tabela1[[#This Row],[Advogado]],Tabela2[],2,FALSE)</f>
        <v>Renê Amaranto</v>
      </c>
      <c r="J219" s="17">
        <f>IF(Tabela1[[#This Row],[Data de conclusão]]="",NETWORKDAYS(Tabela1[[#This Row],[Data de entrada]],$J$2),NETWORKDAYS(Tabela1[[#This Row],[Data de entrada]],Tabela1[[#This Row],[Data de conclusão]]))</f>
        <v>562</v>
      </c>
      <c r="K219" s="1"/>
    </row>
    <row r="220" spans="2:11" x14ac:dyDescent="0.25">
      <c r="B220" s="3">
        <v>327</v>
      </c>
      <c r="C220" s="3" t="s">
        <v>7</v>
      </c>
      <c r="D220" s="3" t="s">
        <v>10</v>
      </c>
      <c r="E220" s="4">
        <v>42874</v>
      </c>
      <c r="F220" s="4"/>
      <c r="G220" s="3" t="s">
        <v>29</v>
      </c>
      <c r="H220" s="5">
        <v>16281</v>
      </c>
      <c r="I220" s="3" t="str">
        <f>VLOOKUP(Tabela1[[#This Row],[Advogado]],Tabela2[],2,FALSE)</f>
        <v>Caio Brito</v>
      </c>
      <c r="J220" s="17">
        <f>IF(Tabela1[[#This Row],[Data de conclusão]]="",NETWORKDAYS(Tabela1[[#This Row],[Data de entrada]],$J$2),NETWORKDAYS(Tabela1[[#This Row],[Data de entrada]],Tabela1[[#This Row],[Data de conclusão]]))</f>
        <v>258</v>
      </c>
      <c r="K220" s="1"/>
    </row>
    <row r="221" spans="2:11" x14ac:dyDescent="0.25">
      <c r="B221" s="3">
        <v>328</v>
      </c>
      <c r="C221" s="3" t="s">
        <v>8</v>
      </c>
      <c r="D221" s="3" t="s">
        <v>11</v>
      </c>
      <c r="E221" s="4">
        <v>42537</v>
      </c>
      <c r="F221" s="4"/>
      <c r="G221" s="3" t="s">
        <v>29</v>
      </c>
      <c r="H221" s="5">
        <v>10400</v>
      </c>
      <c r="I221" s="3" t="str">
        <f>VLOOKUP(Tabela1[[#This Row],[Advogado]],Tabela2[],2,FALSE)</f>
        <v>Caio Brito</v>
      </c>
      <c r="J221" s="17">
        <f>IF(Tabela1[[#This Row],[Data de conclusão]]="",NETWORKDAYS(Tabela1[[#This Row],[Data de entrada]],$J$2),NETWORKDAYS(Tabela1[[#This Row],[Data de entrada]],Tabela1[[#This Row],[Data de conclusão]]))</f>
        <v>499</v>
      </c>
      <c r="K221" s="1"/>
    </row>
    <row r="222" spans="2:11" x14ac:dyDescent="0.25">
      <c r="B222" s="3">
        <v>329</v>
      </c>
      <c r="C222" s="3" t="s">
        <v>9</v>
      </c>
      <c r="D222" s="3" t="s">
        <v>12</v>
      </c>
      <c r="E222" s="4">
        <v>42929</v>
      </c>
      <c r="F222" s="4"/>
      <c r="G222" s="3" t="s">
        <v>29</v>
      </c>
      <c r="H222" s="5">
        <v>11393</v>
      </c>
      <c r="I222" s="3" t="str">
        <f>VLOOKUP(Tabela1[[#This Row],[Advogado]],Tabela2[],2,FALSE)</f>
        <v>Caio Brito</v>
      </c>
      <c r="J222" s="17">
        <f>IF(Tabela1[[#This Row],[Data de conclusão]]="",NETWORKDAYS(Tabela1[[#This Row],[Data de entrada]],$J$2),NETWORKDAYS(Tabela1[[#This Row],[Data de entrada]],Tabela1[[#This Row],[Data de conclusão]]))</f>
        <v>219</v>
      </c>
      <c r="K222" s="1"/>
    </row>
    <row r="223" spans="2:11" x14ac:dyDescent="0.25">
      <c r="B223" s="3">
        <v>330</v>
      </c>
      <c r="C223" s="3" t="s">
        <v>7</v>
      </c>
      <c r="D223" s="3" t="s">
        <v>13</v>
      </c>
      <c r="E223" s="4">
        <v>42803</v>
      </c>
      <c r="F223" s="4">
        <v>42875</v>
      </c>
      <c r="G223" s="3" t="s">
        <v>28</v>
      </c>
      <c r="H223" s="5">
        <v>46698</v>
      </c>
      <c r="I223" s="3" t="str">
        <f>VLOOKUP(Tabela1[[#This Row],[Advogado]],Tabela2[],2,FALSE)</f>
        <v>Caio Brito</v>
      </c>
      <c r="J223" s="17">
        <f>IF(Tabela1[[#This Row],[Data de conclusão]]="",NETWORKDAYS(Tabela1[[#This Row],[Data de entrada]],$J$2),NETWORKDAYS(Tabela1[[#This Row],[Data de entrada]],Tabela1[[#This Row],[Data de conclusão]]))</f>
        <v>52</v>
      </c>
      <c r="K223" s="1"/>
    </row>
    <row r="224" spans="2:11" x14ac:dyDescent="0.25">
      <c r="B224" s="3">
        <v>331</v>
      </c>
      <c r="C224" s="3" t="s">
        <v>8</v>
      </c>
      <c r="D224" s="3" t="s">
        <v>14</v>
      </c>
      <c r="E224" s="4">
        <v>42539</v>
      </c>
      <c r="F224" s="4"/>
      <c r="G224" s="3" t="s">
        <v>27</v>
      </c>
      <c r="H224" s="5">
        <v>23175</v>
      </c>
      <c r="I224" s="3" t="str">
        <f>VLOOKUP(Tabela1[[#This Row],[Advogado]],Tabela2[],2,FALSE)</f>
        <v>Renê Amaranto</v>
      </c>
      <c r="J224" s="17">
        <f>IF(Tabela1[[#This Row],[Data de conclusão]]="",NETWORKDAYS(Tabela1[[#This Row],[Data de entrada]],$J$2),NETWORKDAYS(Tabela1[[#This Row],[Data de entrada]],Tabela1[[#This Row],[Data de conclusão]]))</f>
        <v>497</v>
      </c>
      <c r="K224" s="1"/>
    </row>
    <row r="225" spans="2:11" x14ac:dyDescent="0.25">
      <c r="B225" s="3">
        <v>332</v>
      </c>
      <c r="C225" s="3" t="s">
        <v>9</v>
      </c>
      <c r="D225" s="3" t="s">
        <v>15</v>
      </c>
      <c r="E225" s="4">
        <v>42947</v>
      </c>
      <c r="F225" s="4"/>
      <c r="G225" s="3" t="s">
        <v>29</v>
      </c>
      <c r="H225" s="5">
        <v>33995</v>
      </c>
      <c r="I225" s="3" t="str">
        <f>VLOOKUP(Tabela1[[#This Row],[Advogado]],Tabela2[],2,FALSE)</f>
        <v>Renê Amaranto</v>
      </c>
      <c r="J225" s="17">
        <f>IF(Tabela1[[#This Row],[Data de conclusão]]="",NETWORKDAYS(Tabela1[[#This Row],[Data de entrada]],$J$2),NETWORKDAYS(Tabela1[[#This Row],[Data de entrada]],Tabela1[[#This Row],[Data de conclusão]]))</f>
        <v>207</v>
      </c>
      <c r="K225" s="1"/>
    </row>
    <row r="226" spans="2:11" x14ac:dyDescent="0.25">
      <c r="B226" s="3">
        <v>333</v>
      </c>
      <c r="C226" s="3" t="s">
        <v>7</v>
      </c>
      <c r="D226" s="3" t="s">
        <v>16</v>
      </c>
      <c r="E226" s="4">
        <v>42467</v>
      </c>
      <c r="F226" s="4"/>
      <c r="G226" s="3" t="s">
        <v>29</v>
      </c>
      <c r="H226" s="5">
        <v>7256</v>
      </c>
      <c r="I226" s="3" t="str">
        <f>VLOOKUP(Tabela1[[#This Row],[Advogado]],Tabela2[],2,FALSE)</f>
        <v>Renê Amaranto</v>
      </c>
      <c r="J226" s="17">
        <f>IF(Tabela1[[#This Row],[Data de conclusão]]="",NETWORKDAYS(Tabela1[[#This Row],[Data de entrada]],$J$2),NETWORKDAYS(Tabela1[[#This Row],[Data de entrada]],Tabela1[[#This Row],[Data de conclusão]]))</f>
        <v>549</v>
      </c>
      <c r="K226" s="1"/>
    </row>
    <row r="227" spans="2:11" x14ac:dyDescent="0.25">
      <c r="B227" s="3">
        <v>334</v>
      </c>
      <c r="C227" s="3" t="s">
        <v>8</v>
      </c>
      <c r="D227" s="3" t="s">
        <v>17</v>
      </c>
      <c r="E227" s="4">
        <v>42894</v>
      </c>
      <c r="F227" s="4"/>
      <c r="G227" s="3" t="s">
        <v>29</v>
      </c>
      <c r="H227" s="5">
        <v>47824</v>
      </c>
      <c r="I227" s="3" t="str">
        <f>VLOOKUP(Tabela1[[#This Row],[Advogado]],Tabela2[],2,FALSE)</f>
        <v>Renê Amaranto</v>
      </c>
      <c r="J227" s="17">
        <f>IF(Tabela1[[#This Row],[Data de conclusão]]="",NETWORKDAYS(Tabela1[[#This Row],[Data de entrada]],$J$2),NETWORKDAYS(Tabela1[[#This Row],[Data de entrada]],Tabela1[[#This Row],[Data de conclusão]]))</f>
        <v>244</v>
      </c>
      <c r="K227" s="1"/>
    </row>
    <row r="228" spans="2:11" x14ac:dyDescent="0.25">
      <c r="B228" s="3">
        <v>335</v>
      </c>
      <c r="C228" s="3" t="s">
        <v>9</v>
      </c>
      <c r="D228" s="3" t="s">
        <v>10</v>
      </c>
      <c r="E228" s="4">
        <v>42490</v>
      </c>
      <c r="F228" s="4"/>
      <c r="G228" s="3" t="s">
        <v>29</v>
      </c>
      <c r="H228" s="5">
        <v>21876</v>
      </c>
      <c r="I228" s="3" t="str">
        <f>VLOOKUP(Tabela1[[#This Row],[Advogado]],Tabela2[],2,FALSE)</f>
        <v>Caio Brito</v>
      </c>
      <c r="J228" s="17">
        <f>IF(Tabela1[[#This Row],[Data de conclusão]]="",NETWORKDAYS(Tabela1[[#This Row],[Data de entrada]],$J$2),NETWORKDAYS(Tabela1[[#This Row],[Data de entrada]],Tabela1[[#This Row],[Data de conclusão]]))</f>
        <v>532</v>
      </c>
      <c r="K228" s="1"/>
    </row>
    <row r="229" spans="2:11" x14ac:dyDescent="0.25">
      <c r="B229" s="3">
        <v>336</v>
      </c>
      <c r="C229" s="3" t="s">
        <v>7</v>
      </c>
      <c r="D229" s="3" t="s">
        <v>11</v>
      </c>
      <c r="E229" s="4">
        <v>43004</v>
      </c>
      <c r="F229" s="4"/>
      <c r="G229" s="3" t="s">
        <v>29</v>
      </c>
      <c r="H229" s="5">
        <v>37714</v>
      </c>
      <c r="I229" s="3" t="str">
        <f>VLOOKUP(Tabela1[[#This Row],[Advogado]],Tabela2[],2,FALSE)</f>
        <v>Caio Brito</v>
      </c>
      <c r="J229" s="17">
        <f>IF(Tabela1[[#This Row],[Data de conclusão]]="",NETWORKDAYS(Tabela1[[#This Row],[Data de entrada]],$J$2),NETWORKDAYS(Tabela1[[#This Row],[Data de entrada]],Tabela1[[#This Row],[Data de conclusão]]))</f>
        <v>166</v>
      </c>
      <c r="K229" s="1"/>
    </row>
    <row r="230" spans="2:11" x14ac:dyDescent="0.25">
      <c r="B230" s="3">
        <v>337</v>
      </c>
      <c r="C230" s="3" t="s">
        <v>8</v>
      </c>
      <c r="D230" s="3" t="s">
        <v>12</v>
      </c>
      <c r="E230" s="4">
        <v>42657</v>
      </c>
      <c r="F230" s="4"/>
      <c r="G230" s="3" t="s">
        <v>29</v>
      </c>
      <c r="H230" s="5">
        <v>40497</v>
      </c>
      <c r="I230" s="3" t="str">
        <f>VLOOKUP(Tabela1[[#This Row],[Advogado]],Tabela2[],2,FALSE)</f>
        <v>Caio Brito</v>
      </c>
      <c r="J230" s="17">
        <f>IF(Tabela1[[#This Row],[Data de conclusão]]="",NETWORKDAYS(Tabela1[[#This Row],[Data de entrada]],$J$2),NETWORKDAYS(Tabela1[[#This Row],[Data de entrada]],Tabela1[[#This Row],[Data de conclusão]]))</f>
        <v>413</v>
      </c>
      <c r="K230" s="1"/>
    </row>
    <row r="231" spans="2:11" x14ac:dyDescent="0.25">
      <c r="B231" s="3">
        <v>338</v>
      </c>
      <c r="C231" s="3" t="s">
        <v>9</v>
      </c>
      <c r="D231" s="3" t="s">
        <v>13</v>
      </c>
      <c r="E231" s="4">
        <v>42617</v>
      </c>
      <c r="F231" s="4"/>
      <c r="G231" s="3" t="s">
        <v>29</v>
      </c>
      <c r="H231" s="5">
        <v>47047</v>
      </c>
      <c r="I231" s="3" t="str">
        <f>VLOOKUP(Tabela1[[#This Row],[Advogado]],Tabela2[],2,FALSE)</f>
        <v>Caio Brito</v>
      </c>
      <c r="J231" s="17">
        <f>IF(Tabela1[[#This Row],[Data de conclusão]]="",NETWORKDAYS(Tabela1[[#This Row],[Data de entrada]],$J$2),NETWORKDAYS(Tabela1[[#This Row],[Data de entrada]],Tabela1[[#This Row],[Data de conclusão]]))</f>
        <v>442</v>
      </c>
      <c r="K231" s="1"/>
    </row>
    <row r="232" spans="2:11" x14ac:dyDescent="0.25">
      <c r="B232" s="3">
        <v>339</v>
      </c>
      <c r="C232" s="3" t="s">
        <v>7</v>
      </c>
      <c r="D232" s="3" t="s">
        <v>14</v>
      </c>
      <c r="E232" s="4">
        <v>42737</v>
      </c>
      <c r="F232" s="4"/>
      <c r="G232" s="3" t="s">
        <v>29</v>
      </c>
      <c r="H232" s="5">
        <v>16138</v>
      </c>
      <c r="I232" s="3" t="str">
        <f>VLOOKUP(Tabela1[[#This Row],[Advogado]],Tabela2[],2,FALSE)</f>
        <v>Renê Amaranto</v>
      </c>
      <c r="J232" s="17">
        <f>IF(Tabela1[[#This Row],[Data de conclusão]]="",NETWORKDAYS(Tabela1[[#This Row],[Data de entrada]],$J$2),NETWORKDAYS(Tabela1[[#This Row],[Data de entrada]],Tabela1[[#This Row],[Data de conclusão]]))</f>
        <v>357</v>
      </c>
      <c r="K232" s="1"/>
    </row>
    <row r="233" spans="2:11" x14ac:dyDescent="0.25">
      <c r="B233" s="3">
        <v>340</v>
      </c>
      <c r="C233" s="3" t="s">
        <v>8</v>
      </c>
      <c r="D233" s="3" t="s">
        <v>15</v>
      </c>
      <c r="E233" s="4">
        <v>42458</v>
      </c>
      <c r="F233" s="4"/>
      <c r="G233" s="3" t="s">
        <v>29</v>
      </c>
      <c r="H233" s="5">
        <v>54255</v>
      </c>
      <c r="I233" s="3" t="str">
        <f>VLOOKUP(Tabela1[[#This Row],[Advogado]],Tabela2[],2,FALSE)</f>
        <v>Renê Amaranto</v>
      </c>
      <c r="J233" s="17">
        <f>IF(Tabela1[[#This Row],[Data de conclusão]]="",NETWORKDAYS(Tabela1[[#This Row],[Data de entrada]],$J$2),NETWORKDAYS(Tabela1[[#This Row],[Data de entrada]],Tabela1[[#This Row],[Data de conclusão]]))</f>
        <v>556</v>
      </c>
      <c r="K233" s="1"/>
    </row>
    <row r="234" spans="2:11" x14ac:dyDescent="0.25">
      <c r="B234" s="3">
        <v>341</v>
      </c>
      <c r="C234" s="3" t="s">
        <v>9</v>
      </c>
      <c r="D234" s="3" t="s">
        <v>16</v>
      </c>
      <c r="E234" s="4">
        <v>43081</v>
      </c>
      <c r="F234" s="4"/>
      <c r="G234" s="3" t="s">
        <v>29</v>
      </c>
      <c r="H234" s="5">
        <v>39642</v>
      </c>
      <c r="I234" s="3" t="str">
        <f>VLOOKUP(Tabela1[[#This Row],[Advogado]],Tabela2[],2,FALSE)</f>
        <v>Renê Amaranto</v>
      </c>
      <c r="J234" s="17">
        <f>IF(Tabela1[[#This Row],[Data de conclusão]]="",NETWORKDAYS(Tabela1[[#This Row],[Data de entrada]],$J$2),NETWORKDAYS(Tabela1[[#This Row],[Data de entrada]],Tabela1[[#This Row],[Data de conclusão]]))</f>
        <v>111</v>
      </c>
      <c r="K234" s="1"/>
    </row>
    <row r="235" spans="2:11" x14ac:dyDescent="0.25">
      <c r="B235" s="3">
        <v>342</v>
      </c>
      <c r="C235" s="3" t="s">
        <v>7</v>
      </c>
      <c r="D235" s="3" t="s">
        <v>17</v>
      </c>
      <c r="E235" s="4">
        <v>42599</v>
      </c>
      <c r="F235" s="4"/>
      <c r="G235" s="3" t="s">
        <v>29</v>
      </c>
      <c r="H235" s="5">
        <v>24165</v>
      </c>
      <c r="I235" s="3" t="str">
        <f>VLOOKUP(Tabela1[[#This Row],[Advogado]],Tabela2[],2,FALSE)</f>
        <v>Renê Amaranto</v>
      </c>
      <c r="J235" s="17">
        <f>IF(Tabela1[[#This Row],[Data de conclusão]]="",NETWORKDAYS(Tabela1[[#This Row],[Data de entrada]],$J$2),NETWORKDAYS(Tabela1[[#This Row],[Data de entrada]],Tabela1[[#This Row],[Data de conclusão]]))</f>
        <v>455</v>
      </c>
      <c r="K235" s="1"/>
    </row>
    <row r="236" spans="2:11" x14ac:dyDescent="0.25">
      <c r="B236" s="3">
        <v>343</v>
      </c>
      <c r="C236" s="3" t="s">
        <v>8</v>
      </c>
      <c r="D236" s="3" t="s">
        <v>10</v>
      </c>
      <c r="E236" s="4">
        <v>42999</v>
      </c>
      <c r="F236" s="4">
        <v>43046</v>
      </c>
      <c r="G236" s="3" t="s">
        <v>28</v>
      </c>
      <c r="H236" s="5">
        <v>51388</v>
      </c>
      <c r="I236" s="3" t="str">
        <f>VLOOKUP(Tabela1[[#This Row],[Advogado]],Tabela2[],2,FALSE)</f>
        <v>Caio Brito</v>
      </c>
      <c r="J236" s="17">
        <f>IF(Tabela1[[#This Row],[Data de conclusão]]="",NETWORKDAYS(Tabela1[[#This Row],[Data de entrada]],$J$2),NETWORKDAYS(Tabela1[[#This Row],[Data de entrada]],Tabela1[[#This Row],[Data de conclusão]]))</f>
        <v>34</v>
      </c>
      <c r="K236" s="1"/>
    </row>
    <row r="237" spans="2:11" x14ac:dyDescent="0.25">
      <c r="B237" s="3">
        <v>344</v>
      </c>
      <c r="C237" s="3" t="s">
        <v>9</v>
      </c>
      <c r="D237" s="3" t="s">
        <v>11</v>
      </c>
      <c r="E237" s="4">
        <v>42489</v>
      </c>
      <c r="F237" s="4"/>
      <c r="G237" s="3" t="s">
        <v>27</v>
      </c>
      <c r="H237" s="5">
        <v>45884</v>
      </c>
      <c r="I237" s="3" t="str">
        <f>VLOOKUP(Tabela1[[#This Row],[Advogado]],Tabela2[],2,FALSE)</f>
        <v>Caio Brito</v>
      </c>
      <c r="J237" s="17">
        <f>IF(Tabela1[[#This Row],[Data de conclusão]]="",NETWORKDAYS(Tabela1[[#This Row],[Data de entrada]],$J$2),NETWORKDAYS(Tabela1[[#This Row],[Data de entrada]],Tabela1[[#This Row],[Data de conclusão]]))</f>
        <v>533</v>
      </c>
      <c r="K237" s="1"/>
    </row>
    <row r="238" spans="2:11" x14ac:dyDescent="0.25">
      <c r="B238" s="3">
        <v>345</v>
      </c>
      <c r="C238" s="3" t="s">
        <v>7</v>
      </c>
      <c r="D238" s="3" t="s">
        <v>12</v>
      </c>
      <c r="E238" s="4">
        <v>42852</v>
      </c>
      <c r="F238" s="4"/>
      <c r="G238" s="3" t="s">
        <v>29</v>
      </c>
      <c r="H238" s="5">
        <v>24522</v>
      </c>
      <c r="I238" s="3" t="str">
        <f>VLOOKUP(Tabela1[[#This Row],[Advogado]],Tabela2[],2,FALSE)</f>
        <v>Caio Brito</v>
      </c>
      <c r="J238" s="17">
        <f>IF(Tabela1[[#This Row],[Data de conclusão]]="",NETWORKDAYS(Tabela1[[#This Row],[Data de entrada]],$J$2),NETWORKDAYS(Tabela1[[#This Row],[Data de entrada]],Tabela1[[#This Row],[Data de conclusão]]))</f>
        <v>274</v>
      </c>
      <c r="K238" s="1"/>
    </row>
    <row r="239" spans="2:11" x14ac:dyDescent="0.25">
      <c r="B239" s="3">
        <v>346</v>
      </c>
      <c r="C239" s="3" t="s">
        <v>8</v>
      </c>
      <c r="D239" s="3" t="s">
        <v>13</v>
      </c>
      <c r="E239" s="4">
        <v>42608</v>
      </c>
      <c r="F239" s="4"/>
      <c r="G239" s="3" t="s">
        <v>29</v>
      </c>
      <c r="H239" s="5">
        <v>54082</v>
      </c>
      <c r="I239" s="3" t="str">
        <f>VLOOKUP(Tabela1[[#This Row],[Advogado]],Tabela2[],2,FALSE)</f>
        <v>Caio Brito</v>
      </c>
      <c r="J239" s="17">
        <f>IF(Tabela1[[#This Row],[Data de conclusão]]="",NETWORKDAYS(Tabela1[[#This Row],[Data de entrada]],$J$2),NETWORKDAYS(Tabela1[[#This Row],[Data de entrada]],Tabela1[[#This Row],[Data de conclusão]]))</f>
        <v>448</v>
      </c>
      <c r="K239" s="1"/>
    </row>
    <row r="240" spans="2:11" x14ac:dyDescent="0.25">
      <c r="B240" s="3">
        <v>347</v>
      </c>
      <c r="C240" s="3" t="s">
        <v>9</v>
      </c>
      <c r="D240" s="3" t="s">
        <v>14</v>
      </c>
      <c r="E240" s="4">
        <v>42710</v>
      </c>
      <c r="F240" s="4"/>
      <c r="G240" s="3" t="s">
        <v>29</v>
      </c>
      <c r="H240" s="5">
        <v>42263</v>
      </c>
      <c r="I240" s="3" t="str">
        <f>VLOOKUP(Tabela1[[#This Row],[Advogado]],Tabela2[],2,FALSE)</f>
        <v>Renê Amaranto</v>
      </c>
      <c r="J240" s="17">
        <f>IF(Tabela1[[#This Row],[Data de conclusão]]="",NETWORKDAYS(Tabela1[[#This Row],[Data de entrada]],$J$2),NETWORKDAYS(Tabela1[[#This Row],[Data de entrada]],Tabela1[[#This Row],[Data de conclusão]]))</f>
        <v>376</v>
      </c>
      <c r="K240" s="1"/>
    </row>
    <row r="241" spans="2:11" x14ac:dyDescent="0.25">
      <c r="B241" s="3">
        <v>348</v>
      </c>
      <c r="C241" s="3" t="s">
        <v>7</v>
      </c>
      <c r="D241" s="3" t="s">
        <v>15</v>
      </c>
      <c r="E241" s="4">
        <v>42519</v>
      </c>
      <c r="F241" s="4"/>
      <c r="G241" s="3" t="s">
        <v>29</v>
      </c>
      <c r="H241" s="5">
        <v>22942</v>
      </c>
      <c r="I241" s="3" t="str">
        <f>VLOOKUP(Tabela1[[#This Row],[Advogado]],Tabela2[],2,FALSE)</f>
        <v>Renê Amaranto</v>
      </c>
      <c r="J241" s="17">
        <f>IF(Tabela1[[#This Row],[Data de conclusão]]="",NETWORKDAYS(Tabela1[[#This Row],[Data de entrada]],$J$2),NETWORKDAYS(Tabela1[[#This Row],[Data de entrada]],Tabela1[[#This Row],[Data de conclusão]]))</f>
        <v>512</v>
      </c>
      <c r="K241" s="1"/>
    </row>
    <row r="242" spans="2:11" x14ac:dyDescent="0.25">
      <c r="B242" s="3">
        <v>349</v>
      </c>
      <c r="C242" s="3" t="s">
        <v>8</v>
      </c>
      <c r="D242" s="3" t="s">
        <v>16</v>
      </c>
      <c r="E242" s="4">
        <v>43023</v>
      </c>
      <c r="F242" s="4"/>
      <c r="G242" s="3" t="s">
        <v>29</v>
      </c>
      <c r="H242" s="5">
        <v>39090</v>
      </c>
      <c r="I242" s="3" t="str">
        <f>VLOOKUP(Tabela1[[#This Row],[Advogado]],Tabela2[],2,FALSE)</f>
        <v>Renê Amaranto</v>
      </c>
      <c r="J242" s="17">
        <f>IF(Tabela1[[#This Row],[Data de conclusão]]="",NETWORKDAYS(Tabela1[[#This Row],[Data de entrada]],$J$2),NETWORKDAYS(Tabela1[[#This Row],[Data de entrada]],Tabela1[[#This Row],[Data de conclusão]]))</f>
        <v>152</v>
      </c>
      <c r="K242" s="1"/>
    </row>
    <row r="243" spans="2:11" x14ac:dyDescent="0.25">
      <c r="B243" s="3">
        <v>350</v>
      </c>
      <c r="C243" s="3" t="s">
        <v>9</v>
      </c>
      <c r="D243" s="3" t="s">
        <v>17</v>
      </c>
      <c r="E243" s="4">
        <v>42671</v>
      </c>
      <c r="F243" s="4"/>
      <c r="G243" s="3" t="s">
        <v>29</v>
      </c>
      <c r="H243" s="5">
        <v>15188</v>
      </c>
      <c r="I243" s="3" t="str">
        <f>VLOOKUP(Tabela1[[#This Row],[Advogado]],Tabela2[],2,FALSE)</f>
        <v>Renê Amaranto</v>
      </c>
      <c r="J243" s="17">
        <f>IF(Tabela1[[#This Row],[Data de conclusão]]="",NETWORKDAYS(Tabela1[[#This Row],[Data de entrada]],$J$2),NETWORKDAYS(Tabela1[[#This Row],[Data de entrada]],Tabela1[[#This Row],[Data de conclusão]]))</f>
        <v>403</v>
      </c>
      <c r="K243" s="1"/>
    </row>
    <row r="244" spans="2:11" x14ac:dyDescent="0.25">
      <c r="B244" s="3">
        <v>351</v>
      </c>
      <c r="C244" s="3" t="s">
        <v>7</v>
      </c>
      <c r="D244" s="3" t="s">
        <v>10</v>
      </c>
      <c r="E244" s="4">
        <v>42785</v>
      </c>
      <c r="F244" s="4"/>
      <c r="G244" s="3" t="s">
        <v>29</v>
      </c>
      <c r="H244" s="5">
        <v>56128</v>
      </c>
      <c r="I244" s="3" t="str">
        <f>VLOOKUP(Tabela1[[#This Row],[Advogado]],Tabela2[],2,FALSE)</f>
        <v>Caio Brito</v>
      </c>
      <c r="J244" s="17">
        <f>IF(Tabela1[[#This Row],[Data de conclusão]]="",NETWORKDAYS(Tabela1[[#This Row],[Data de entrada]],$J$2),NETWORKDAYS(Tabela1[[#This Row],[Data de entrada]],Tabela1[[#This Row],[Data de conclusão]]))</f>
        <v>322</v>
      </c>
      <c r="K244" s="1"/>
    </row>
    <row r="245" spans="2:11" x14ac:dyDescent="0.25">
      <c r="B245" s="3">
        <v>352</v>
      </c>
      <c r="C245" s="3" t="s">
        <v>8</v>
      </c>
      <c r="D245" s="3" t="s">
        <v>11</v>
      </c>
      <c r="E245" s="4">
        <v>42623</v>
      </c>
      <c r="F245" s="4"/>
      <c r="G245" s="3" t="s">
        <v>29</v>
      </c>
      <c r="H245" s="5">
        <v>55594</v>
      </c>
      <c r="I245" s="3" t="str">
        <f>VLOOKUP(Tabela1[[#This Row],[Advogado]],Tabela2[],2,FALSE)</f>
        <v>Caio Brito</v>
      </c>
      <c r="J245" s="17">
        <f>IF(Tabela1[[#This Row],[Data de conclusão]]="",NETWORKDAYS(Tabela1[[#This Row],[Data de entrada]],$J$2),NETWORKDAYS(Tabela1[[#This Row],[Data de entrada]],Tabela1[[#This Row],[Data de conclusão]]))</f>
        <v>437</v>
      </c>
      <c r="K245" s="1"/>
    </row>
    <row r="246" spans="2:11" x14ac:dyDescent="0.25">
      <c r="B246" s="3">
        <v>353</v>
      </c>
      <c r="C246" s="3" t="s">
        <v>9</v>
      </c>
      <c r="D246" s="3" t="s">
        <v>12</v>
      </c>
      <c r="E246" s="4">
        <v>42522</v>
      </c>
      <c r="F246" s="4"/>
      <c r="G246" s="3" t="s">
        <v>29</v>
      </c>
      <c r="H246" s="5">
        <v>38257</v>
      </c>
      <c r="I246" s="3" t="str">
        <f>VLOOKUP(Tabela1[[#This Row],[Advogado]],Tabela2[],2,FALSE)</f>
        <v>Caio Brito</v>
      </c>
      <c r="J246" s="17">
        <f>IF(Tabela1[[#This Row],[Data de conclusão]]="",NETWORKDAYS(Tabela1[[#This Row],[Data de entrada]],$J$2),NETWORKDAYS(Tabela1[[#This Row],[Data de entrada]],Tabela1[[#This Row],[Data de conclusão]]))</f>
        <v>510</v>
      </c>
      <c r="K246" s="1"/>
    </row>
    <row r="247" spans="2:11" x14ac:dyDescent="0.25">
      <c r="B247" s="3">
        <v>354</v>
      </c>
      <c r="C247" s="3" t="s">
        <v>7</v>
      </c>
      <c r="D247" s="3" t="s">
        <v>13</v>
      </c>
      <c r="E247" s="4">
        <v>43029</v>
      </c>
      <c r="F247" s="4"/>
      <c r="G247" s="3" t="s">
        <v>29</v>
      </c>
      <c r="H247" s="5">
        <v>27957</v>
      </c>
      <c r="I247" s="3" t="str">
        <f>VLOOKUP(Tabela1[[#This Row],[Advogado]],Tabela2[],2,FALSE)</f>
        <v>Caio Brito</v>
      </c>
      <c r="J247" s="17">
        <f>IF(Tabela1[[#This Row],[Data de conclusão]]="",NETWORKDAYS(Tabela1[[#This Row],[Data de entrada]],$J$2),NETWORKDAYS(Tabela1[[#This Row],[Data de entrada]],Tabela1[[#This Row],[Data de conclusão]]))</f>
        <v>147</v>
      </c>
      <c r="K247" s="1"/>
    </row>
    <row r="248" spans="2:11" x14ac:dyDescent="0.25">
      <c r="B248" s="3">
        <v>355</v>
      </c>
      <c r="C248" s="3" t="s">
        <v>8</v>
      </c>
      <c r="D248" s="3" t="s">
        <v>14</v>
      </c>
      <c r="E248" s="4">
        <v>42716</v>
      </c>
      <c r="F248" s="4"/>
      <c r="G248" s="3" t="s">
        <v>29</v>
      </c>
      <c r="H248" s="5">
        <v>44187</v>
      </c>
      <c r="I248" s="3" t="str">
        <f>VLOOKUP(Tabela1[[#This Row],[Advogado]],Tabela2[],2,FALSE)</f>
        <v>Renê Amaranto</v>
      </c>
      <c r="J248" s="17">
        <f>IF(Tabela1[[#This Row],[Data de conclusão]]="",NETWORKDAYS(Tabela1[[#This Row],[Data de entrada]],$J$2),NETWORKDAYS(Tabela1[[#This Row],[Data de entrada]],Tabela1[[#This Row],[Data de conclusão]]))</f>
        <v>372</v>
      </c>
      <c r="K248" s="1"/>
    </row>
    <row r="249" spans="2:11" x14ac:dyDescent="0.25">
      <c r="B249" s="3">
        <v>356</v>
      </c>
      <c r="C249" s="3" t="s">
        <v>9</v>
      </c>
      <c r="D249" s="3" t="s">
        <v>15</v>
      </c>
      <c r="E249" s="4">
        <v>42491</v>
      </c>
      <c r="F249" s="4">
        <v>42543</v>
      </c>
      <c r="G249" s="3" t="s">
        <v>28</v>
      </c>
      <c r="H249" s="5">
        <v>49390</v>
      </c>
      <c r="I249" s="3" t="str">
        <f>VLOOKUP(Tabela1[[#This Row],[Advogado]],Tabela2[],2,FALSE)</f>
        <v>Renê Amaranto</v>
      </c>
      <c r="J249" s="17">
        <f>IF(Tabela1[[#This Row],[Data de conclusão]]="",NETWORKDAYS(Tabela1[[#This Row],[Data de entrada]],$J$2),NETWORKDAYS(Tabela1[[#This Row],[Data de entrada]],Tabela1[[#This Row],[Data de conclusão]]))</f>
        <v>38</v>
      </c>
      <c r="K249" s="1"/>
    </row>
    <row r="250" spans="2:11" x14ac:dyDescent="0.25">
      <c r="B250" s="3">
        <v>357</v>
      </c>
      <c r="C250" s="3" t="s">
        <v>7</v>
      </c>
      <c r="D250" s="3" t="s">
        <v>16</v>
      </c>
      <c r="E250" s="4">
        <v>42887</v>
      </c>
      <c r="F250" s="4"/>
      <c r="G250" s="3" t="s">
        <v>27</v>
      </c>
      <c r="H250" s="5">
        <v>46216</v>
      </c>
      <c r="I250" s="3" t="str">
        <f>VLOOKUP(Tabela1[[#This Row],[Advogado]],Tabela2[],2,FALSE)</f>
        <v>Renê Amaranto</v>
      </c>
      <c r="J250" s="17">
        <f>IF(Tabela1[[#This Row],[Data de conclusão]]="",NETWORKDAYS(Tabela1[[#This Row],[Data de entrada]],$J$2),NETWORKDAYS(Tabela1[[#This Row],[Data de entrada]],Tabela1[[#This Row],[Data de conclusão]]))</f>
        <v>249</v>
      </c>
      <c r="K250" s="1"/>
    </row>
    <row r="251" spans="2:11" x14ac:dyDescent="0.25">
      <c r="B251" s="3">
        <v>358</v>
      </c>
      <c r="C251" s="3" t="s">
        <v>8</v>
      </c>
      <c r="D251" s="3" t="s">
        <v>17</v>
      </c>
      <c r="E251" s="4">
        <v>42385</v>
      </c>
      <c r="F251" s="4"/>
      <c r="G251" s="3" t="s">
        <v>29</v>
      </c>
      <c r="H251" s="5">
        <v>52787</v>
      </c>
      <c r="I251" s="3" t="str">
        <f>VLOOKUP(Tabela1[[#This Row],[Advogado]],Tabela2[],2,FALSE)</f>
        <v>Renê Amaranto</v>
      </c>
      <c r="J251" s="17">
        <f>IF(Tabela1[[#This Row],[Data de conclusão]]="",NETWORKDAYS(Tabela1[[#This Row],[Data de entrada]],$J$2),NETWORKDAYS(Tabela1[[#This Row],[Data de entrada]],Tabela1[[#This Row],[Data de conclusão]]))</f>
        <v>607</v>
      </c>
      <c r="K251" s="1"/>
    </row>
    <row r="252" spans="2:11" x14ac:dyDescent="0.25">
      <c r="B252" s="3">
        <v>359</v>
      </c>
      <c r="C252" s="3" t="s">
        <v>9</v>
      </c>
      <c r="D252" s="3" t="s">
        <v>10</v>
      </c>
      <c r="E252" s="4">
        <v>42980</v>
      </c>
      <c r="F252" s="4"/>
      <c r="G252" s="3" t="s">
        <v>29</v>
      </c>
      <c r="H252" s="5">
        <v>54943</v>
      </c>
      <c r="I252" s="3" t="str">
        <f>VLOOKUP(Tabela1[[#This Row],[Advogado]],Tabela2[],2,FALSE)</f>
        <v>Caio Brito</v>
      </c>
      <c r="J252" s="17">
        <f>IF(Tabela1[[#This Row],[Data de conclusão]]="",NETWORKDAYS(Tabela1[[#This Row],[Data de entrada]],$J$2),NETWORKDAYS(Tabela1[[#This Row],[Data de entrada]],Tabela1[[#This Row],[Data de conclusão]]))</f>
        <v>182</v>
      </c>
      <c r="K252" s="1"/>
    </row>
    <row r="253" spans="2:11" x14ac:dyDescent="0.25">
      <c r="B253" s="3">
        <v>360</v>
      </c>
      <c r="C253" s="3" t="s">
        <v>7</v>
      </c>
      <c r="D253" s="3" t="s">
        <v>11</v>
      </c>
      <c r="E253" s="4">
        <v>42906</v>
      </c>
      <c r="F253" s="4"/>
      <c r="G253" s="3" t="s">
        <v>29</v>
      </c>
      <c r="H253" s="5">
        <v>43191</v>
      </c>
      <c r="I253" s="3" t="str">
        <f>VLOOKUP(Tabela1[[#This Row],[Advogado]],Tabela2[],2,FALSE)</f>
        <v>Caio Brito</v>
      </c>
      <c r="J253" s="17">
        <f>IF(Tabela1[[#This Row],[Data de conclusão]]="",NETWORKDAYS(Tabela1[[#This Row],[Data de entrada]],$J$2),NETWORKDAYS(Tabela1[[#This Row],[Data de entrada]],Tabela1[[#This Row],[Data de conclusão]]))</f>
        <v>236</v>
      </c>
      <c r="K253" s="1"/>
    </row>
    <row r="254" spans="2:11" x14ac:dyDescent="0.25">
      <c r="B254" s="3">
        <v>361</v>
      </c>
      <c r="C254" s="3" t="s">
        <v>8</v>
      </c>
      <c r="D254" s="3" t="s">
        <v>12</v>
      </c>
      <c r="E254" s="4">
        <v>42694</v>
      </c>
      <c r="F254" s="4"/>
      <c r="G254" s="3" t="s">
        <v>29</v>
      </c>
      <c r="H254" s="5">
        <v>10558</v>
      </c>
      <c r="I254" s="3" t="str">
        <f>VLOOKUP(Tabela1[[#This Row],[Advogado]],Tabela2[],2,FALSE)</f>
        <v>Caio Brito</v>
      </c>
      <c r="J254" s="17">
        <f>IF(Tabela1[[#This Row],[Data de conclusão]]="",NETWORKDAYS(Tabela1[[#This Row],[Data de entrada]],$J$2),NETWORKDAYS(Tabela1[[#This Row],[Data de entrada]],Tabela1[[#This Row],[Data de conclusão]]))</f>
        <v>387</v>
      </c>
      <c r="K254" s="1"/>
    </row>
    <row r="255" spans="2:11" x14ac:dyDescent="0.25">
      <c r="B255" s="3">
        <v>362</v>
      </c>
      <c r="C255" s="3" t="s">
        <v>9</v>
      </c>
      <c r="D255" s="3" t="s">
        <v>13</v>
      </c>
      <c r="E255" s="4">
        <v>42530</v>
      </c>
      <c r="F255" s="4"/>
      <c r="G255" s="3" t="s">
        <v>29</v>
      </c>
      <c r="H255" s="5">
        <v>30061</v>
      </c>
      <c r="I255" s="3" t="str">
        <f>VLOOKUP(Tabela1[[#This Row],[Advogado]],Tabela2[],2,FALSE)</f>
        <v>Caio Brito</v>
      </c>
      <c r="J255" s="17">
        <f>IF(Tabela1[[#This Row],[Data de conclusão]]="",NETWORKDAYS(Tabela1[[#This Row],[Data de entrada]],$J$2),NETWORKDAYS(Tabela1[[#This Row],[Data de entrada]],Tabela1[[#This Row],[Data de conclusão]]))</f>
        <v>504</v>
      </c>
      <c r="K255" s="1"/>
    </row>
    <row r="256" spans="2:11" x14ac:dyDescent="0.25">
      <c r="B256" s="3">
        <v>363</v>
      </c>
      <c r="C256" s="3" t="s">
        <v>7</v>
      </c>
      <c r="D256" s="3" t="s">
        <v>14</v>
      </c>
      <c r="E256" s="4">
        <v>42601</v>
      </c>
      <c r="F256" s="4"/>
      <c r="G256" s="3" t="s">
        <v>29</v>
      </c>
      <c r="H256" s="5">
        <v>37302</v>
      </c>
      <c r="I256" s="3" t="str">
        <f>VLOOKUP(Tabela1[[#This Row],[Advogado]],Tabela2[],2,FALSE)</f>
        <v>Renê Amaranto</v>
      </c>
      <c r="J256" s="17">
        <f>IF(Tabela1[[#This Row],[Data de conclusão]]="",NETWORKDAYS(Tabela1[[#This Row],[Data de entrada]],$J$2),NETWORKDAYS(Tabela1[[#This Row],[Data de entrada]],Tabela1[[#This Row],[Data de conclusão]]))</f>
        <v>453</v>
      </c>
      <c r="K256" s="1"/>
    </row>
    <row r="257" spans="2:11" x14ac:dyDescent="0.25">
      <c r="B257" s="3">
        <v>364</v>
      </c>
      <c r="C257" s="3" t="s">
        <v>8</v>
      </c>
      <c r="D257" s="3" t="s">
        <v>15</v>
      </c>
      <c r="E257" s="4">
        <v>42401</v>
      </c>
      <c r="F257" s="4"/>
      <c r="G257" s="3" t="s">
        <v>29</v>
      </c>
      <c r="H257" s="5">
        <v>18538</v>
      </c>
      <c r="I257" s="3" t="str">
        <f>VLOOKUP(Tabela1[[#This Row],[Advogado]],Tabela2[],2,FALSE)</f>
        <v>Renê Amaranto</v>
      </c>
      <c r="J257" s="17">
        <f>IF(Tabela1[[#This Row],[Data de conclusão]]="",NETWORKDAYS(Tabela1[[#This Row],[Data de entrada]],$J$2),NETWORKDAYS(Tabela1[[#This Row],[Data de entrada]],Tabela1[[#This Row],[Data de conclusão]]))</f>
        <v>597</v>
      </c>
      <c r="K257" s="1"/>
    </row>
    <row r="258" spans="2:11" x14ac:dyDescent="0.25">
      <c r="B258" s="3">
        <v>365</v>
      </c>
      <c r="C258" s="3" t="s">
        <v>9</v>
      </c>
      <c r="D258" s="3" t="s">
        <v>16</v>
      </c>
      <c r="E258" s="4">
        <v>42569</v>
      </c>
      <c r="F258" s="4"/>
      <c r="G258" s="3" t="s">
        <v>29</v>
      </c>
      <c r="H258" s="5">
        <v>42108</v>
      </c>
      <c r="I258" s="3" t="str">
        <f>VLOOKUP(Tabela1[[#This Row],[Advogado]],Tabela2[],2,FALSE)</f>
        <v>Renê Amaranto</v>
      </c>
      <c r="J258" s="17">
        <f>IF(Tabela1[[#This Row],[Data de conclusão]]="",NETWORKDAYS(Tabela1[[#This Row],[Data de entrada]],$J$2),NETWORKDAYS(Tabela1[[#This Row],[Data de entrada]],Tabela1[[#This Row],[Data de conclusão]]))</f>
        <v>477</v>
      </c>
      <c r="K258" s="1"/>
    </row>
    <row r="259" spans="2:11" x14ac:dyDescent="0.25">
      <c r="B259" s="3">
        <v>366</v>
      </c>
      <c r="C259" s="3" t="s">
        <v>7</v>
      </c>
      <c r="D259" s="3" t="s">
        <v>17</v>
      </c>
      <c r="E259" s="4">
        <v>43083</v>
      </c>
      <c r="F259" s="4"/>
      <c r="G259" s="3" t="s">
        <v>29</v>
      </c>
      <c r="H259" s="5">
        <v>46087</v>
      </c>
      <c r="I259" s="3" t="str">
        <f>VLOOKUP(Tabela1[[#This Row],[Advogado]],Tabela2[],2,FALSE)</f>
        <v>Renê Amaranto</v>
      </c>
      <c r="J259" s="17">
        <f>IF(Tabela1[[#This Row],[Data de conclusão]]="",NETWORKDAYS(Tabela1[[#This Row],[Data de entrada]],$J$2),NETWORKDAYS(Tabela1[[#This Row],[Data de entrada]],Tabela1[[#This Row],[Data de conclusão]]))</f>
        <v>109</v>
      </c>
      <c r="K259" s="1"/>
    </row>
    <row r="260" spans="2:11" x14ac:dyDescent="0.25">
      <c r="B260" s="3">
        <v>367</v>
      </c>
      <c r="C260" s="3" t="s">
        <v>8</v>
      </c>
      <c r="D260" s="3" t="s">
        <v>10</v>
      </c>
      <c r="E260" s="4">
        <v>42883</v>
      </c>
      <c r="F260" s="4"/>
      <c r="G260" s="3" t="s">
        <v>29</v>
      </c>
      <c r="H260" s="5">
        <v>35776</v>
      </c>
      <c r="I260" s="3" t="str">
        <f>VLOOKUP(Tabela1[[#This Row],[Advogado]],Tabela2[],2,FALSE)</f>
        <v>Caio Brito</v>
      </c>
      <c r="J260" s="17">
        <f>IF(Tabela1[[#This Row],[Data de conclusão]]="",NETWORKDAYS(Tabela1[[#This Row],[Data de entrada]],$J$2),NETWORKDAYS(Tabela1[[#This Row],[Data de entrada]],Tabela1[[#This Row],[Data de conclusão]]))</f>
        <v>252</v>
      </c>
      <c r="K260" s="1"/>
    </row>
    <row r="261" spans="2:11" x14ac:dyDescent="0.25">
      <c r="B261" s="3">
        <v>368</v>
      </c>
      <c r="C261" s="3" t="s">
        <v>9</v>
      </c>
      <c r="D261" s="3" t="s">
        <v>11</v>
      </c>
      <c r="E261" s="4">
        <v>42442</v>
      </c>
      <c r="F261" s="4"/>
      <c r="G261" s="3" t="s">
        <v>29</v>
      </c>
      <c r="H261" s="5">
        <v>56056</v>
      </c>
      <c r="I261" s="3" t="str">
        <f>VLOOKUP(Tabela1[[#This Row],[Advogado]],Tabela2[],2,FALSE)</f>
        <v>Caio Brito</v>
      </c>
      <c r="J261" s="17">
        <f>IF(Tabela1[[#This Row],[Data de conclusão]]="",NETWORKDAYS(Tabela1[[#This Row],[Data de entrada]],$J$2),NETWORKDAYS(Tabela1[[#This Row],[Data de entrada]],Tabela1[[#This Row],[Data de conclusão]]))</f>
        <v>567</v>
      </c>
      <c r="K261" s="1"/>
    </row>
    <row r="262" spans="2:11" x14ac:dyDescent="0.25">
      <c r="B262" s="3">
        <v>369</v>
      </c>
      <c r="C262" s="3" t="s">
        <v>7</v>
      </c>
      <c r="D262" s="3" t="s">
        <v>12</v>
      </c>
      <c r="E262" s="4">
        <v>42377</v>
      </c>
      <c r="F262" s="4">
        <v>42410</v>
      </c>
      <c r="G262" s="3" t="s">
        <v>28</v>
      </c>
      <c r="H262" s="5">
        <v>19439</v>
      </c>
      <c r="I262" s="3" t="str">
        <f>VLOOKUP(Tabela1[[#This Row],[Advogado]],Tabela2[],2,FALSE)</f>
        <v>Caio Brito</v>
      </c>
      <c r="J262" s="17">
        <f>IF(Tabela1[[#This Row],[Data de conclusão]]="",NETWORKDAYS(Tabela1[[#This Row],[Data de entrada]],$J$2),NETWORKDAYS(Tabela1[[#This Row],[Data de entrada]],Tabela1[[#This Row],[Data de conclusão]]))</f>
        <v>24</v>
      </c>
      <c r="K262" s="1"/>
    </row>
    <row r="263" spans="2:11" x14ac:dyDescent="0.25">
      <c r="B263" s="3">
        <v>370</v>
      </c>
      <c r="C263" s="3" t="s">
        <v>8</v>
      </c>
      <c r="D263" s="3" t="s">
        <v>13</v>
      </c>
      <c r="E263" s="4">
        <v>42406</v>
      </c>
      <c r="F263" s="4"/>
      <c r="G263" s="3" t="s">
        <v>27</v>
      </c>
      <c r="H263" s="5">
        <v>6337</v>
      </c>
      <c r="I263" s="3" t="str">
        <f>VLOOKUP(Tabela1[[#This Row],[Advogado]],Tabela2[],2,FALSE)</f>
        <v>Caio Brito</v>
      </c>
      <c r="J263" s="17">
        <f>IF(Tabela1[[#This Row],[Data de conclusão]]="",NETWORKDAYS(Tabela1[[#This Row],[Data de entrada]],$J$2),NETWORKDAYS(Tabela1[[#This Row],[Data de entrada]],Tabela1[[#This Row],[Data de conclusão]]))</f>
        <v>592</v>
      </c>
      <c r="K263" s="1"/>
    </row>
    <row r="264" spans="2:11" x14ac:dyDescent="0.25">
      <c r="B264" s="3">
        <v>371</v>
      </c>
      <c r="C264" s="3" t="s">
        <v>9</v>
      </c>
      <c r="D264" s="3" t="s">
        <v>14</v>
      </c>
      <c r="E264" s="4">
        <v>42695</v>
      </c>
      <c r="F264" s="4"/>
      <c r="G264" s="3" t="s">
        <v>29</v>
      </c>
      <c r="H264" s="5">
        <v>27083</v>
      </c>
      <c r="I264" s="3" t="str">
        <f>VLOOKUP(Tabela1[[#This Row],[Advogado]],Tabela2[],2,FALSE)</f>
        <v>Renê Amaranto</v>
      </c>
      <c r="J264" s="17">
        <f>IF(Tabela1[[#This Row],[Data de conclusão]]="",NETWORKDAYS(Tabela1[[#This Row],[Data de entrada]],$J$2),NETWORKDAYS(Tabela1[[#This Row],[Data de entrada]],Tabela1[[#This Row],[Data de conclusão]]))</f>
        <v>387</v>
      </c>
      <c r="K264" s="1"/>
    </row>
    <row r="265" spans="2:11" x14ac:dyDescent="0.25">
      <c r="B265" s="3">
        <v>372</v>
      </c>
      <c r="C265" s="3" t="s">
        <v>7</v>
      </c>
      <c r="D265" s="3" t="s">
        <v>15</v>
      </c>
      <c r="E265" s="4">
        <v>42567</v>
      </c>
      <c r="F265" s="4"/>
      <c r="G265" s="3" t="s">
        <v>29</v>
      </c>
      <c r="H265" s="5">
        <v>26355</v>
      </c>
      <c r="I265" s="3" t="str">
        <f>VLOOKUP(Tabela1[[#This Row],[Advogado]],Tabela2[],2,FALSE)</f>
        <v>Renê Amaranto</v>
      </c>
      <c r="J265" s="17">
        <f>IF(Tabela1[[#This Row],[Data de conclusão]]="",NETWORKDAYS(Tabela1[[#This Row],[Data de entrada]],$J$2),NETWORKDAYS(Tabela1[[#This Row],[Data de entrada]],Tabela1[[#This Row],[Data de conclusão]]))</f>
        <v>477</v>
      </c>
      <c r="K265" s="1"/>
    </row>
    <row r="266" spans="2:11" x14ac:dyDescent="0.25">
      <c r="B266" s="3">
        <v>373</v>
      </c>
      <c r="C266" s="3" t="s">
        <v>8</v>
      </c>
      <c r="D266" s="3" t="s">
        <v>16</v>
      </c>
      <c r="E266" s="4">
        <v>42891</v>
      </c>
      <c r="F266" s="4"/>
      <c r="G266" s="3" t="s">
        <v>29</v>
      </c>
      <c r="H266" s="5">
        <v>53941</v>
      </c>
      <c r="I266" s="3" t="str">
        <f>VLOOKUP(Tabela1[[#This Row],[Advogado]],Tabela2[],2,FALSE)</f>
        <v>Renê Amaranto</v>
      </c>
      <c r="J266" s="17">
        <f>IF(Tabela1[[#This Row],[Data de conclusão]]="",NETWORKDAYS(Tabela1[[#This Row],[Data de entrada]],$J$2),NETWORKDAYS(Tabela1[[#This Row],[Data de entrada]],Tabela1[[#This Row],[Data de conclusão]]))</f>
        <v>247</v>
      </c>
      <c r="K266" s="1"/>
    </row>
    <row r="267" spans="2:11" x14ac:dyDescent="0.25">
      <c r="B267" s="3">
        <v>374</v>
      </c>
      <c r="C267" s="3" t="s">
        <v>9</v>
      </c>
      <c r="D267" s="3" t="s">
        <v>17</v>
      </c>
      <c r="E267" s="4">
        <v>42373</v>
      </c>
      <c r="F267" s="4"/>
      <c r="G267" s="3" t="s">
        <v>29</v>
      </c>
      <c r="H267" s="5">
        <v>26062</v>
      </c>
      <c r="I267" s="3" t="str">
        <f>VLOOKUP(Tabela1[[#This Row],[Advogado]],Tabela2[],2,FALSE)</f>
        <v>Renê Amaranto</v>
      </c>
      <c r="J267" s="17">
        <f>IF(Tabela1[[#This Row],[Data de conclusão]]="",NETWORKDAYS(Tabela1[[#This Row],[Data de entrada]],$J$2),NETWORKDAYS(Tabela1[[#This Row],[Data de entrada]],Tabela1[[#This Row],[Data de conclusão]]))</f>
        <v>617</v>
      </c>
      <c r="K267" s="1"/>
    </row>
    <row r="268" spans="2:11" x14ac:dyDescent="0.25">
      <c r="B268" s="3">
        <v>375</v>
      </c>
      <c r="C268" s="3" t="s">
        <v>7</v>
      </c>
      <c r="D268" s="3" t="s">
        <v>10</v>
      </c>
      <c r="E268" s="4">
        <v>42495</v>
      </c>
      <c r="F268" s="4"/>
      <c r="G268" s="3" t="s">
        <v>29</v>
      </c>
      <c r="H268" s="5">
        <v>38738</v>
      </c>
      <c r="I268" s="3" t="str">
        <f>VLOOKUP(Tabela1[[#This Row],[Advogado]],Tabela2[],2,FALSE)</f>
        <v>Caio Brito</v>
      </c>
      <c r="J268" s="17">
        <f>IF(Tabela1[[#This Row],[Data de conclusão]]="",NETWORKDAYS(Tabela1[[#This Row],[Data de entrada]],$J$2),NETWORKDAYS(Tabela1[[#This Row],[Data de entrada]],Tabela1[[#This Row],[Data de conclusão]]))</f>
        <v>529</v>
      </c>
      <c r="K268" s="1"/>
    </row>
    <row r="269" spans="2:11" x14ac:dyDescent="0.25">
      <c r="B269" s="3">
        <v>376</v>
      </c>
      <c r="C269" s="3" t="s">
        <v>8</v>
      </c>
      <c r="D269" s="3" t="s">
        <v>11</v>
      </c>
      <c r="E269" s="4">
        <v>42868</v>
      </c>
      <c r="F269" s="4"/>
      <c r="G269" s="3" t="s">
        <v>29</v>
      </c>
      <c r="H269" s="5">
        <v>45861</v>
      </c>
      <c r="I269" s="3" t="str">
        <f>VLOOKUP(Tabela1[[#This Row],[Advogado]],Tabela2[],2,FALSE)</f>
        <v>Caio Brito</v>
      </c>
      <c r="J269" s="17">
        <f>IF(Tabela1[[#This Row],[Data de conclusão]]="",NETWORKDAYS(Tabela1[[#This Row],[Data de entrada]],$J$2),NETWORKDAYS(Tabela1[[#This Row],[Data de entrada]],Tabela1[[#This Row],[Data de conclusão]]))</f>
        <v>262</v>
      </c>
      <c r="K269" s="1"/>
    </row>
    <row r="270" spans="2:11" x14ac:dyDescent="0.25">
      <c r="B270" s="3">
        <v>377</v>
      </c>
      <c r="C270" s="3" t="s">
        <v>9</v>
      </c>
      <c r="D270" s="3" t="s">
        <v>12</v>
      </c>
      <c r="E270" s="4">
        <v>42798</v>
      </c>
      <c r="F270" s="4"/>
      <c r="G270" s="3" t="s">
        <v>29</v>
      </c>
      <c r="H270" s="5">
        <v>40657</v>
      </c>
      <c r="I270" s="3" t="str">
        <f>VLOOKUP(Tabela1[[#This Row],[Advogado]],Tabela2[],2,FALSE)</f>
        <v>Caio Brito</v>
      </c>
      <c r="J270" s="17">
        <f>IF(Tabela1[[#This Row],[Data de conclusão]]="",NETWORKDAYS(Tabela1[[#This Row],[Data de entrada]],$J$2),NETWORKDAYS(Tabela1[[#This Row],[Data de entrada]],Tabela1[[#This Row],[Data de conclusão]]))</f>
        <v>312</v>
      </c>
      <c r="K270" s="1"/>
    </row>
    <row r="271" spans="2:11" x14ac:dyDescent="0.25">
      <c r="B271" s="3">
        <v>378</v>
      </c>
      <c r="C271" s="3" t="s">
        <v>7</v>
      </c>
      <c r="D271" s="3" t="s">
        <v>13</v>
      </c>
      <c r="E271" s="4">
        <v>42681</v>
      </c>
      <c r="F271" s="4"/>
      <c r="G271" s="3" t="s">
        <v>29</v>
      </c>
      <c r="H271" s="5">
        <v>30415</v>
      </c>
      <c r="I271" s="3" t="str">
        <f>VLOOKUP(Tabela1[[#This Row],[Advogado]],Tabela2[],2,FALSE)</f>
        <v>Caio Brito</v>
      </c>
      <c r="J271" s="17">
        <f>IF(Tabela1[[#This Row],[Data de conclusão]]="",NETWORKDAYS(Tabela1[[#This Row],[Data de entrada]],$J$2),NETWORKDAYS(Tabela1[[#This Row],[Data de entrada]],Tabela1[[#This Row],[Data de conclusão]]))</f>
        <v>397</v>
      </c>
      <c r="K271" s="1"/>
    </row>
    <row r="272" spans="2:11" x14ac:dyDescent="0.25">
      <c r="B272" s="3">
        <v>379</v>
      </c>
      <c r="C272" s="3" t="s">
        <v>8</v>
      </c>
      <c r="D272" s="3" t="s">
        <v>14</v>
      </c>
      <c r="E272" s="4">
        <v>42609</v>
      </c>
      <c r="F272" s="4"/>
      <c r="G272" s="3" t="s">
        <v>29</v>
      </c>
      <c r="H272" s="5">
        <v>23337</v>
      </c>
      <c r="I272" s="3" t="str">
        <f>VLOOKUP(Tabela1[[#This Row],[Advogado]],Tabela2[],2,FALSE)</f>
        <v>Renê Amaranto</v>
      </c>
      <c r="J272" s="17">
        <f>IF(Tabela1[[#This Row],[Data de conclusão]]="",NETWORKDAYS(Tabela1[[#This Row],[Data de entrada]],$J$2),NETWORKDAYS(Tabela1[[#This Row],[Data de entrada]],Tabela1[[#This Row],[Data de conclusão]]))</f>
        <v>447</v>
      </c>
      <c r="K272" s="1"/>
    </row>
    <row r="273" spans="2:11" x14ac:dyDescent="0.25">
      <c r="B273" s="3">
        <v>380</v>
      </c>
      <c r="C273" s="3" t="s">
        <v>9</v>
      </c>
      <c r="D273" s="3" t="s">
        <v>15</v>
      </c>
      <c r="E273" s="4">
        <v>42812</v>
      </c>
      <c r="F273" s="4"/>
      <c r="G273" s="3" t="s">
        <v>29</v>
      </c>
      <c r="H273" s="5">
        <v>51806</v>
      </c>
      <c r="I273" s="3" t="str">
        <f>VLOOKUP(Tabela1[[#This Row],[Advogado]],Tabela2[],2,FALSE)</f>
        <v>Renê Amaranto</v>
      </c>
      <c r="J273" s="17">
        <f>IF(Tabela1[[#This Row],[Data de conclusão]]="",NETWORKDAYS(Tabela1[[#This Row],[Data de entrada]],$J$2),NETWORKDAYS(Tabela1[[#This Row],[Data de entrada]],Tabela1[[#This Row],[Data de conclusão]]))</f>
        <v>302</v>
      </c>
      <c r="K273" s="1"/>
    </row>
    <row r="274" spans="2:11" x14ac:dyDescent="0.25">
      <c r="B274" s="3">
        <v>381</v>
      </c>
      <c r="C274" s="3" t="s">
        <v>7</v>
      </c>
      <c r="D274" s="3" t="s">
        <v>16</v>
      </c>
      <c r="E274" s="4">
        <v>42778</v>
      </c>
      <c r="F274" s="4"/>
      <c r="G274" s="3" t="s">
        <v>29</v>
      </c>
      <c r="H274" s="5">
        <v>15398</v>
      </c>
      <c r="I274" s="3" t="str">
        <f>VLOOKUP(Tabela1[[#This Row],[Advogado]],Tabela2[],2,FALSE)</f>
        <v>Renê Amaranto</v>
      </c>
      <c r="J274" s="17">
        <f>IF(Tabela1[[#This Row],[Data de conclusão]]="",NETWORKDAYS(Tabela1[[#This Row],[Data de entrada]],$J$2),NETWORKDAYS(Tabela1[[#This Row],[Data de entrada]],Tabela1[[#This Row],[Data de conclusão]]))</f>
        <v>327</v>
      </c>
      <c r="K274" s="1"/>
    </row>
    <row r="275" spans="2:11" x14ac:dyDescent="0.25">
      <c r="B275" s="3">
        <v>382</v>
      </c>
      <c r="C275" s="3" t="s">
        <v>8</v>
      </c>
      <c r="D275" s="3" t="s">
        <v>17</v>
      </c>
      <c r="E275" s="4">
        <v>43099</v>
      </c>
      <c r="F275" s="4">
        <v>43178</v>
      </c>
      <c r="G275" s="3" t="s">
        <v>28</v>
      </c>
      <c r="H275" s="5">
        <v>47091</v>
      </c>
      <c r="I275" s="3" t="str">
        <f>VLOOKUP(Tabela1[[#This Row],[Advogado]],Tabela2[],2,FALSE)</f>
        <v>Renê Amaranto</v>
      </c>
      <c r="J275" s="17">
        <f>IF(Tabela1[[#This Row],[Data de conclusão]]="",NETWORKDAYS(Tabela1[[#This Row],[Data de entrada]],$J$2),NETWORKDAYS(Tabela1[[#This Row],[Data de entrada]],Tabela1[[#This Row],[Data de conclusão]]))</f>
        <v>56</v>
      </c>
      <c r="K275" s="1"/>
    </row>
    <row r="276" spans="2:11" x14ac:dyDescent="0.25">
      <c r="B276" s="3">
        <v>383</v>
      </c>
      <c r="C276" s="3" t="s">
        <v>9</v>
      </c>
      <c r="D276" s="3" t="s">
        <v>10</v>
      </c>
      <c r="E276" s="4">
        <v>42774</v>
      </c>
      <c r="F276" s="4"/>
      <c r="G276" s="3" t="s">
        <v>27</v>
      </c>
      <c r="H276" s="5">
        <v>13127</v>
      </c>
      <c r="I276" s="3" t="str">
        <f>VLOOKUP(Tabela1[[#This Row],[Advogado]],Tabela2[],2,FALSE)</f>
        <v>Caio Brito</v>
      </c>
      <c r="J276" s="17">
        <f>IF(Tabela1[[#This Row],[Data de conclusão]]="",NETWORKDAYS(Tabela1[[#This Row],[Data de entrada]],$J$2),NETWORKDAYS(Tabela1[[#This Row],[Data de entrada]],Tabela1[[#This Row],[Data de conclusão]]))</f>
        <v>330</v>
      </c>
      <c r="K276" s="1"/>
    </row>
    <row r="277" spans="2:11" x14ac:dyDescent="0.25">
      <c r="B277" s="3">
        <v>384</v>
      </c>
      <c r="C277" s="3" t="s">
        <v>7</v>
      </c>
      <c r="D277" s="3" t="s">
        <v>11</v>
      </c>
      <c r="E277" s="4">
        <v>42879</v>
      </c>
      <c r="F277" s="4"/>
      <c r="G277" s="3" t="s">
        <v>29</v>
      </c>
      <c r="H277" s="5">
        <v>52752</v>
      </c>
      <c r="I277" s="3" t="str">
        <f>VLOOKUP(Tabela1[[#This Row],[Advogado]],Tabela2[],2,FALSE)</f>
        <v>Caio Brito</v>
      </c>
      <c r="J277" s="17">
        <f>IF(Tabela1[[#This Row],[Data de conclusão]]="",NETWORKDAYS(Tabela1[[#This Row],[Data de entrada]],$J$2),NETWORKDAYS(Tabela1[[#This Row],[Data de entrada]],Tabela1[[#This Row],[Data de conclusão]]))</f>
        <v>255</v>
      </c>
      <c r="K277" s="1"/>
    </row>
    <row r="278" spans="2:11" x14ac:dyDescent="0.25">
      <c r="B278" s="3">
        <v>385</v>
      </c>
      <c r="C278" s="3" t="s">
        <v>8</v>
      </c>
      <c r="D278" s="3" t="s">
        <v>12</v>
      </c>
      <c r="E278" s="4">
        <v>42726</v>
      </c>
      <c r="F278" s="4"/>
      <c r="G278" s="3" t="s">
        <v>29</v>
      </c>
      <c r="H278" s="5">
        <v>57665</v>
      </c>
      <c r="I278" s="3" t="str">
        <f>VLOOKUP(Tabela1[[#This Row],[Advogado]],Tabela2[],2,FALSE)</f>
        <v>Caio Brito</v>
      </c>
      <c r="J278" s="17">
        <f>IF(Tabela1[[#This Row],[Data de conclusão]]="",NETWORKDAYS(Tabela1[[#This Row],[Data de entrada]],$J$2),NETWORKDAYS(Tabela1[[#This Row],[Data de entrada]],Tabela1[[#This Row],[Data de conclusão]]))</f>
        <v>364</v>
      </c>
      <c r="K278" s="1"/>
    </row>
    <row r="279" spans="2:11" x14ac:dyDescent="0.25">
      <c r="B279" s="3">
        <v>386</v>
      </c>
      <c r="C279" s="3" t="s">
        <v>9</v>
      </c>
      <c r="D279" s="3" t="s">
        <v>13</v>
      </c>
      <c r="E279" s="4">
        <v>42822</v>
      </c>
      <c r="F279" s="4"/>
      <c r="G279" s="3" t="s">
        <v>29</v>
      </c>
      <c r="H279" s="5">
        <v>15391</v>
      </c>
      <c r="I279" s="3" t="str">
        <f>VLOOKUP(Tabela1[[#This Row],[Advogado]],Tabela2[],2,FALSE)</f>
        <v>Caio Brito</v>
      </c>
      <c r="J279" s="17">
        <f>IF(Tabela1[[#This Row],[Data de conclusão]]="",NETWORKDAYS(Tabela1[[#This Row],[Data de entrada]],$J$2),NETWORKDAYS(Tabela1[[#This Row],[Data de entrada]],Tabela1[[#This Row],[Data de conclusão]]))</f>
        <v>296</v>
      </c>
      <c r="K279" s="1"/>
    </row>
    <row r="280" spans="2:11" x14ac:dyDescent="0.25">
      <c r="B280" s="3">
        <v>387</v>
      </c>
      <c r="C280" s="3" t="s">
        <v>7</v>
      </c>
      <c r="D280" s="3" t="s">
        <v>14</v>
      </c>
      <c r="E280" s="4">
        <v>42635</v>
      </c>
      <c r="F280" s="4"/>
      <c r="G280" s="3" t="s">
        <v>29</v>
      </c>
      <c r="H280" s="5">
        <v>6661</v>
      </c>
      <c r="I280" s="3" t="str">
        <f>VLOOKUP(Tabela1[[#This Row],[Advogado]],Tabela2[],2,FALSE)</f>
        <v>Renê Amaranto</v>
      </c>
      <c r="J280" s="17">
        <f>IF(Tabela1[[#This Row],[Data de conclusão]]="",NETWORKDAYS(Tabela1[[#This Row],[Data de entrada]],$J$2),NETWORKDAYS(Tabela1[[#This Row],[Data de entrada]],Tabela1[[#This Row],[Data de conclusão]]))</f>
        <v>429</v>
      </c>
      <c r="K280" s="1"/>
    </row>
    <row r="281" spans="2:11" x14ac:dyDescent="0.25">
      <c r="B281" s="3">
        <v>388</v>
      </c>
      <c r="C281" s="3" t="s">
        <v>8</v>
      </c>
      <c r="D281" s="3" t="s">
        <v>15</v>
      </c>
      <c r="E281" s="4">
        <v>42619</v>
      </c>
      <c r="F281" s="4"/>
      <c r="G281" s="3" t="s">
        <v>29</v>
      </c>
      <c r="H281" s="5">
        <v>52869</v>
      </c>
      <c r="I281" s="3" t="str">
        <f>VLOOKUP(Tabela1[[#This Row],[Advogado]],Tabela2[],2,FALSE)</f>
        <v>Renê Amaranto</v>
      </c>
      <c r="J281" s="17">
        <f>IF(Tabela1[[#This Row],[Data de conclusão]]="",NETWORKDAYS(Tabela1[[#This Row],[Data de entrada]],$J$2),NETWORKDAYS(Tabela1[[#This Row],[Data de entrada]],Tabela1[[#This Row],[Data de conclusão]]))</f>
        <v>441</v>
      </c>
      <c r="K281" s="1"/>
    </row>
    <row r="282" spans="2:11" x14ac:dyDescent="0.25">
      <c r="B282" s="3">
        <v>389</v>
      </c>
      <c r="C282" s="3" t="s">
        <v>9</v>
      </c>
      <c r="D282" s="3" t="s">
        <v>16</v>
      </c>
      <c r="E282" s="4">
        <v>42774</v>
      </c>
      <c r="F282" s="4"/>
      <c r="G282" s="3" t="s">
        <v>29</v>
      </c>
      <c r="H282" s="5">
        <v>2935</v>
      </c>
      <c r="I282" s="3" t="str">
        <f>VLOOKUP(Tabela1[[#This Row],[Advogado]],Tabela2[],2,FALSE)</f>
        <v>Renê Amaranto</v>
      </c>
      <c r="J282" s="17">
        <f>IF(Tabela1[[#This Row],[Data de conclusão]]="",NETWORKDAYS(Tabela1[[#This Row],[Data de entrada]],$J$2),NETWORKDAYS(Tabela1[[#This Row],[Data de entrada]],Tabela1[[#This Row],[Data de conclusão]]))</f>
        <v>330</v>
      </c>
      <c r="K282" s="1"/>
    </row>
    <row r="283" spans="2:11" x14ac:dyDescent="0.25">
      <c r="B283" s="3">
        <v>390</v>
      </c>
      <c r="C283" s="3" t="s">
        <v>7</v>
      </c>
      <c r="D283" s="3" t="s">
        <v>17</v>
      </c>
      <c r="E283" s="4">
        <v>43071</v>
      </c>
      <c r="F283" s="4"/>
      <c r="G283" s="3" t="s">
        <v>29</v>
      </c>
      <c r="H283" s="5">
        <v>21097</v>
      </c>
      <c r="I283" s="3" t="str">
        <f>VLOOKUP(Tabela1[[#This Row],[Advogado]],Tabela2[],2,FALSE)</f>
        <v>Renê Amaranto</v>
      </c>
      <c r="J283" s="17">
        <f>IF(Tabela1[[#This Row],[Data de conclusão]]="",NETWORKDAYS(Tabela1[[#This Row],[Data de entrada]],$J$2),NETWORKDAYS(Tabela1[[#This Row],[Data de entrada]],Tabela1[[#This Row],[Data de conclusão]]))</f>
        <v>117</v>
      </c>
      <c r="K283" s="1"/>
    </row>
    <row r="284" spans="2:11" x14ac:dyDescent="0.25">
      <c r="B284" s="3">
        <v>391</v>
      </c>
      <c r="C284" s="3" t="s">
        <v>8</v>
      </c>
      <c r="D284" s="3" t="s">
        <v>10</v>
      </c>
      <c r="E284" s="4">
        <v>42530</v>
      </c>
      <c r="F284" s="4"/>
      <c r="G284" s="3" t="s">
        <v>29</v>
      </c>
      <c r="H284" s="5">
        <v>49728</v>
      </c>
      <c r="I284" s="3" t="str">
        <f>VLOOKUP(Tabela1[[#This Row],[Advogado]],Tabela2[],2,FALSE)</f>
        <v>Caio Brito</v>
      </c>
      <c r="J284" s="17">
        <f>IF(Tabela1[[#This Row],[Data de conclusão]]="",NETWORKDAYS(Tabela1[[#This Row],[Data de entrada]],$J$2),NETWORKDAYS(Tabela1[[#This Row],[Data de entrada]],Tabela1[[#This Row],[Data de conclusão]]))</f>
        <v>504</v>
      </c>
      <c r="K284" s="1"/>
    </row>
    <row r="285" spans="2:11" x14ac:dyDescent="0.25">
      <c r="B285" s="3">
        <v>392</v>
      </c>
      <c r="C285" s="3" t="s">
        <v>9</v>
      </c>
      <c r="D285" s="3" t="s">
        <v>11</v>
      </c>
      <c r="E285" s="4">
        <v>42987</v>
      </c>
      <c r="F285" s="4"/>
      <c r="G285" s="3" t="s">
        <v>29</v>
      </c>
      <c r="H285" s="5">
        <v>23032</v>
      </c>
      <c r="I285" s="3" t="str">
        <f>VLOOKUP(Tabela1[[#This Row],[Advogado]],Tabela2[],2,FALSE)</f>
        <v>Caio Brito</v>
      </c>
      <c r="J285" s="17">
        <f>IF(Tabela1[[#This Row],[Data de conclusão]]="",NETWORKDAYS(Tabela1[[#This Row],[Data de entrada]],$J$2),NETWORKDAYS(Tabela1[[#This Row],[Data de entrada]],Tabela1[[#This Row],[Data de conclusão]]))</f>
        <v>177</v>
      </c>
      <c r="K285" s="1"/>
    </row>
    <row r="286" spans="2:11" x14ac:dyDescent="0.25">
      <c r="B286" s="3">
        <v>393</v>
      </c>
      <c r="C286" s="3" t="s">
        <v>7</v>
      </c>
      <c r="D286" s="3" t="s">
        <v>12</v>
      </c>
      <c r="E286" s="4">
        <v>42671</v>
      </c>
      <c r="F286" s="4"/>
      <c r="G286" s="3" t="s">
        <v>29</v>
      </c>
      <c r="H286" s="5">
        <v>28502</v>
      </c>
      <c r="I286" s="3" t="str">
        <f>VLOOKUP(Tabela1[[#This Row],[Advogado]],Tabela2[],2,FALSE)</f>
        <v>Caio Brito</v>
      </c>
      <c r="J286" s="17">
        <f>IF(Tabela1[[#This Row],[Data de conclusão]]="",NETWORKDAYS(Tabela1[[#This Row],[Data de entrada]],$J$2),NETWORKDAYS(Tabela1[[#This Row],[Data de entrada]],Tabela1[[#This Row],[Data de conclusão]]))</f>
        <v>403</v>
      </c>
      <c r="K286" s="1"/>
    </row>
    <row r="287" spans="2:11" x14ac:dyDescent="0.25">
      <c r="B287" s="3">
        <v>394</v>
      </c>
      <c r="C287" s="3" t="s">
        <v>8</v>
      </c>
      <c r="D287" s="3" t="s">
        <v>13</v>
      </c>
      <c r="E287" s="4">
        <v>42827</v>
      </c>
      <c r="F287" s="4"/>
      <c r="G287" s="3" t="s">
        <v>29</v>
      </c>
      <c r="H287" s="5">
        <v>33429</v>
      </c>
      <c r="I287" s="3" t="str">
        <f>VLOOKUP(Tabela1[[#This Row],[Advogado]],Tabela2[],2,FALSE)</f>
        <v>Caio Brito</v>
      </c>
      <c r="J287" s="17">
        <f>IF(Tabela1[[#This Row],[Data de conclusão]]="",NETWORKDAYS(Tabela1[[#This Row],[Data de entrada]],$J$2),NETWORKDAYS(Tabela1[[#This Row],[Data de entrada]],Tabela1[[#This Row],[Data de conclusão]]))</f>
        <v>292</v>
      </c>
      <c r="K287" s="1"/>
    </row>
    <row r="288" spans="2:11" x14ac:dyDescent="0.25">
      <c r="B288" s="3">
        <v>395</v>
      </c>
      <c r="C288" s="3" t="s">
        <v>9</v>
      </c>
      <c r="D288" s="3" t="s">
        <v>14</v>
      </c>
      <c r="E288" s="4">
        <v>42671</v>
      </c>
      <c r="F288" s="4">
        <v>42701</v>
      </c>
      <c r="G288" s="3" t="s">
        <v>28</v>
      </c>
      <c r="H288" s="5">
        <v>23572</v>
      </c>
      <c r="I288" s="3" t="str">
        <f>VLOOKUP(Tabela1[[#This Row],[Advogado]],Tabela2[],2,FALSE)</f>
        <v>Renê Amaranto</v>
      </c>
      <c r="J288" s="17">
        <f>IF(Tabela1[[#This Row],[Data de conclusão]]="",NETWORKDAYS(Tabela1[[#This Row],[Data de entrada]],$J$2),NETWORKDAYS(Tabela1[[#This Row],[Data de entrada]],Tabela1[[#This Row],[Data de conclusão]]))</f>
        <v>21</v>
      </c>
      <c r="K288" s="1"/>
    </row>
    <row r="289" spans="2:11" x14ac:dyDescent="0.25">
      <c r="B289" s="3">
        <v>396</v>
      </c>
      <c r="C289" s="3" t="s">
        <v>7</v>
      </c>
      <c r="D289" s="3" t="s">
        <v>15</v>
      </c>
      <c r="E289" s="4">
        <v>42556</v>
      </c>
      <c r="F289" s="4"/>
      <c r="G289" s="3" t="s">
        <v>27</v>
      </c>
      <c r="H289" s="5">
        <v>36370</v>
      </c>
      <c r="I289" s="3" t="str">
        <f>VLOOKUP(Tabela1[[#This Row],[Advogado]],Tabela2[],2,FALSE)</f>
        <v>Renê Amaranto</v>
      </c>
      <c r="J289" s="17">
        <f>IF(Tabela1[[#This Row],[Data de conclusão]]="",NETWORKDAYS(Tabela1[[#This Row],[Data de entrada]],$J$2),NETWORKDAYS(Tabela1[[#This Row],[Data de entrada]],Tabela1[[#This Row],[Data de conclusão]]))</f>
        <v>486</v>
      </c>
      <c r="K289" s="1"/>
    </row>
    <row r="290" spans="2:11" x14ac:dyDescent="0.25">
      <c r="B290" s="3">
        <v>397</v>
      </c>
      <c r="C290" s="3" t="s">
        <v>8</v>
      </c>
      <c r="D290" s="3" t="s">
        <v>16</v>
      </c>
      <c r="E290" s="4">
        <v>43050</v>
      </c>
      <c r="F290" s="4"/>
      <c r="G290" s="3" t="s">
        <v>29</v>
      </c>
      <c r="H290" s="5">
        <v>1068</v>
      </c>
      <c r="I290" s="3" t="str">
        <f>VLOOKUP(Tabela1[[#This Row],[Advogado]],Tabela2[],2,FALSE)</f>
        <v>Renê Amaranto</v>
      </c>
      <c r="J290" s="17">
        <f>IF(Tabela1[[#This Row],[Data de conclusão]]="",NETWORKDAYS(Tabela1[[#This Row],[Data de entrada]],$J$2),NETWORKDAYS(Tabela1[[#This Row],[Data de entrada]],Tabela1[[#This Row],[Data de conclusão]]))</f>
        <v>132</v>
      </c>
      <c r="K290" s="1"/>
    </row>
    <row r="291" spans="2:11" x14ac:dyDescent="0.25">
      <c r="B291" s="3">
        <v>398</v>
      </c>
      <c r="C291" s="3" t="s">
        <v>9</v>
      </c>
      <c r="D291" s="3" t="s">
        <v>17</v>
      </c>
      <c r="E291" s="4">
        <v>42635</v>
      </c>
      <c r="F291" s="4"/>
      <c r="G291" s="3" t="s">
        <v>29</v>
      </c>
      <c r="H291" s="5">
        <v>29877</v>
      </c>
      <c r="I291" s="3" t="str">
        <f>VLOOKUP(Tabela1[[#This Row],[Advogado]],Tabela2[],2,FALSE)</f>
        <v>Renê Amaranto</v>
      </c>
      <c r="J291" s="17">
        <f>IF(Tabela1[[#This Row],[Data de conclusão]]="",NETWORKDAYS(Tabela1[[#This Row],[Data de entrada]],$J$2),NETWORKDAYS(Tabela1[[#This Row],[Data de entrada]],Tabela1[[#This Row],[Data de conclusão]]))</f>
        <v>429</v>
      </c>
      <c r="K291" s="1"/>
    </row>
    <row r="292" spans="2:11" x14ac:dyDescent="0.25">
      <c r="B292" s="3">
        <v>399</v>
      </c>
      <c r="C292" s="3" t="s">
        <v>7</v>
      </c>
      <c r="D292" s="3" t="s">
        <v>10</v>
      </c>
      <c r="E292" s="4">
        <v>42856</v>
      </c>
      <c r="F292" s="4"/>
      <c r="G292" s="3" t="s">
        <v>29</v>
      </c>
      <c r="H292" s="5">
        <v>1872</v>
      </c>
      <c r="I292" s="3" t="str">
        <f>VLOOKUP(Tabela1[[#This Row],[Advogado]],Tabela2[],2,FALSE)</f>
        <v>Caio Brito</v>
      </c>
      <c r="J292" s="17">
        <f>IF(Tabela1[[#This Row],[Data de conclusão]]="",NETWORKDAYS(Tabela1[[#This Row],[Data de entrada]],$J$2),NETWORKDAYS(Tabela1[[#This Row],[Data de entrada]],Tabela1[[#This Row],[Data de conclusão]]))</f>
        <v>272</v>
      </c>
      <c r="K292" s="1"/>
    </row>
    <row r="293" spans="2:11" x14ac:dyDescent="0.25">
      <c r="B293" s="3">
        <v>400</v>
      </c>
      <c r="C293" s="3" t="s">
        <v>8</v>
      </c>
      <c r="D293" s="3" t="s">
        <v>11</v>
      </c>
      <c r="E293" s="4">
        <v>42724</v>
      </c>
      <c r="F293" s="4"/>
      <c r="G293" s="3" t="s">
        <v>29</v>
      </c>
      <c r="H293" s="5">
        <v>5761</v>
      </c>
      <c r="I293" s="3" t="str">
        <f>VLOOKUP(Tabela1[[#This Row],[Advogado]],Tabela2[],2,FALSE)</f>
        <v>Caio Brito</v>
      </c>
      <c r="J293" s="17">
        <f>IF(Tabela1[[#This Row],[Data de conclusão]]="",NETWORKDAYS(Tabela1[[#This Row],[Data de entrada]],$J$2),NETWORKDAYS(Tabela1[[#This Row],[Data de entrada]],Tabela1[[#This Row],[Data de conclusão]]))</f>
        <v>366</v>
      </c>
      <c r="K293" s="1"/>
    </row>
    <row r="294" spans="2:11" x14ac:dyDescent="0.25">
      <c r="B294" s="3">
        <v>401</v>
      </c>
      <c r="C294" s="3" t="s">
        <v>9</v>
      </c>
      <c r="D294" s="3" t="s">
        <v>12</v>
      </c>
      <c r="E294" s="4">
        <v>43053</v>
      </c>
      <c r="F294" s="4"/>
      <c r="G294" s="3" t="s">
        <v>29</v>
      </c>
      <c r="H294" s="5">
        <v>8674</v>
      </c>
      <c r="I294" s="3" t="str">
        <f>VLOOKUP(Tabela1[[#This Row],[Advogado]],Tabela2[],2,FALSE)</f>
        <v>Caio Brito</v>
      </c>
      <c r="J294" s="17">
        <f>IF(Tabela1[[#This Row],[Data de conclusão]]="",NETWORKDAYS(Tabela1[[#This Row],[Data de entrada]],$J$2),NETWORKDAYS(Tabela1[[#This Row],[Data de entrada]],Tabela1[[#This Row],[Data de conclusão]]))</f>
        <v>131</v>
      </c>
      <c r="K294" s="1"/>
    </row>
    <row r="295" spans="2:11" x14ac:dyDescent="0.25">
      <c r="B295" s="3">
        <v>402</v>
      </c>
      <c r="C295" s="3" t="s">
        <v>7</v>
      </c>
      <c r="D295" s="3" t="s">
        <v>13</v>
      </c>
      <c r="E295" s="4">
        <v>42734</v>
      </c>
      <c r="F295" s="4"/>
      <c r="G295" s="3" t="s">
        <v>29</v>
      </c>
      <c r="H295" s="5">
        <v>45378</v>
      </c>
      <c r="I295" s="3" t="str">
        <f>VLOOKUP(Tabela1[[#This Row],[Advogado]],Tabela2[],2,FALSE)</f>
        <v>Caio Brito</v>
      </c>
      <c r="J295" s="17">
        <f>IF(Tabela1[[#This Row],[Data de conclusão]]="",NETWORKDAYS(Tabela1[[#This Row],[Data de entrada]],$J$2),NETWORKDAYS(Tabela1[[#This Row],[Data de entrada]],Tabela1[[#This Row],[Data de conclusão]]))</f>
        <v>358</v>
      </c>
      <c r="K295" s="1"/>
    </row>
    <row r="296" spans="2:11" x14ac:dyDescent="0.25">
      <c r="B296" s="3">
        <v>403</v>
      </c>
      <c r="C296" s="3" t="s">
        <v>8</v>
      </c>
      <c r="D296" s="3" t="s">
        <v>14</v>
      </c>
      <c r="E296" s="4">
        <v>42608</v>
      </c>
      <c r="F296" s="4"/>
      <c r="G296" s="3" t="s">
        <v>29</v>
      </c>
      <c r="H296" s="5">
        <v>30813</v>
      </c>
      <c r="I296" s="3" t="str">
        <f>VLOOKUP(Tabela1[[#This Row],[Advogado]],Tabela2[],2,FALSE)</f>
        <v>Renê Amaranto</v>
      </c>
      <c r="J296" s="17">
        <f>IF(Tabela1[[#This Row],[Data de conclusão]]="",NETWORKDAYS(Tabela1[[#This Row],[Data de entrada]],$J$2),NETWORKDAYS(Tabela1[[#This Row],[Data de entrada]],Tabela1[[#This Row],[Data de conclusão]]))</f>
        <v>448</v>
      </c>
      <c r="K296" s="1"/>
    </row>
    <row r="297" spans="2:11" x14ac:dyDescent="0.25">
      <c r="B297" s="3">
        <v>404</v>
      </c>
      <c r="C297" s="3" t="s">
        <v>9</v>
      </c>
      <c r="D297" s="3" t="s">
        <v>15</v>
      </c>
      <c r="E297" s="4">
        <v>42612</v>
      </c>
      <c r="F297" s="4"/>
      <c r="G297" s="3" t="s">
        <v>29</v>
      </c>
      <c r="H297" s="5">
        <v>9200</v>
      </c>
      <c r="I297" s="3" t="str">
        <f>VLOOKUP(Tabela1[[#This Row],[Advogado]],Tabela2[],2,FALSE)</f>
        <v>Renê Amaranto</v>
      </c>
      <c r="J297" s="17">
        <f>IF(Tabela1[[#This Row],[Data de conclusão]]="",NETWORKDAYS(Tabela1[[#This Row],[Data de entrada]],$J$2),NETWORKDAYS(Tabela1[[#This Row],[Data de entrada]],Tabela1[[#This Row],[Data de conclusão]]))</f>
        <v>446</v>
      </c>
      <c r="K297" s="1"/>
    </row>
    <row r="298" spans="2:11" x14ac:dyDescent="0.25">
      <c r="B298" s="3">
        <v>405</v>
      </c>
      <c r="C298" s="3" t="s">
        <v>7</v>
      </c>
      <c r="D298" s="3" t="s">
        <v>16</v>
      </c>
      <c r="E298" s="4">
        <v>42653</v>
      </c>
      <c r="F298" s="4"/>
      <c r="G298" s="3" t="s">
        <v>29</v>
      </c>
      <c r="H298" s="5">
        <v>23079</v>
      </c>
      <c r="I298" s="3" t="str">
        <f>VLOOKUP(Tabela1[[#This Row],[Advogado]],Tabela2[],2,FALSE)</f>
        <v>Renê Amaranto</v>
      </c>
      <c r="J298" s="17">
        <f>IF(Tabela1[[#This Row],[Data de conclusão]]="",NETWORKDAYS(Tabela1[[#This Row],[Data de entrada]],$J$2),NETWORKDAYS(Tabela1[[#This Row],[Data de entrada]],Tabela1[[#This Row],[Data de conclusão]]))</f>
        <v>417</v>
      </c>
      <c r="K298" s="1"/>
    </row>
    <row r="299" spans="2:11" x14ac:dyDescent="0.25">
      <c r="B299" s="3">
        <v>406</v>
      </c>
      <c r="C299" s="3" t="s">
        <v>8</v>
      </c>
      <c r="D299" s="3" t="s">
        <v>17</v>
      </c>
      <c r="E299" s="4">
        <v>42436</v>
      </c>
      <c r="F299" s="4"/>
      <c r="G299" s="3" t="s">
        <v>29</v>
      </c>
      <c r="H299" s="5">
        <v>41897</v>
      </c>
      <c r="I299" s="3" t="str">
        <f>VLOOKUP(Tabela1[[#This Row],[Advogado]],Tabela2[],2,FALSE)</f>
        <v>Renê Amaranto</v>
      </c>
      <c r="J299" s="17">
        <f>IF(Tabela1[[#This Row],[Data de conclusão]]="",NETWORKDAYS(Tabela1[[#This Row],[Data de entrada]],$J$2),NETWORKDAYS(Tabela1[[#This Row],[Data de entrada]],Tabela1[[#This Row],[Data de conclusão]]))</f>
        <v>572</v>
      </c>
      <c r="K299" s="1"/>
    </row>
    <row r="300" spans="2:11" x14ac:dyDescent="0.25">
      <c r="B300" s="3">
        <v>407</v>
      </c>
      <c r="C300" s="3" t="s">
        <v>9</v>
      </c>
      <c r="D300" s="3" t="s">
        <v>10</v>
      </c>
      <c r="E300" s="4">
        <v>42476</v>
      </c>
      <c r="F300" s="4"/>
      <c r="G300" s="3" t="s">
        <v>29</v>
      </c>
      <c r="H300" s="5">
        <v>56577</v>
      </c>
      <c r="I300" s="3" t="str">
        <f>VLOOKUP(Tabela1[[#This Row],[Advogado]],Tabela2[],2,FALSE)</f>
        <v>Caio Brito</v>
      </c>
      <c r="J300" s="17">
        <f>IF(Tabela1[[#This Row],[Data de conclusão]]="",NETWORKDAYS(Tabela1[[#This Row],[Data de entrada]],$J$2),NETWORKDAYS(Tabela1[[#This Row],[Data de entrada]],Tabela1[[#This Row],[Data de conclusão]]))</f>
        <v>542</v>
      </c>
      <c r="K300" s="1"/>
    </row>
    <row r="301" spans="2:11" x14ac:dyDescent="0.25">
      <c r="B301" s="3">
        <v>408</v>
      </c>
      <c r="C301" s="3" t="s">
        <v>7</v>
      </c>
      <c r="D301" s="3" t="s">
        <v>11</v>
      </c>
      <c r="E301" s="4">
        <v>42733</v>
      </c>
      <c r="F301" s="4">
        <v>42785</v>
      </c>
      <c r="G301" s="3" t="s">
        <v>28</v>
      </c>
      <c r="H301" s="5">
        <v>37618</v>
      </c>
      <c r="I301" s="3" t="str">
        <f>VLOOKUP(Tabela1[[#This Row],[Advogado]],Tabela2[],2,FALSE)</f>
        <v>Caio Brito</v>
      </c>
      <c r="J301" s="17">
        <f>IF(Tabela1[[#This Row],[Data de conclusão]]="",NETWORKDAYS(Tabela1[[#This Row],[Data de entrada]],$J$2),NETWORKDAYS(Tabela1[[#This Row],[Data de entrada]],Tabela1[[#This Row],[Data de conclusão]]))</f>
        <v>37</v>
      </c>
      <c r="K301" s="1"/>
    </row>
    <row r="302" spans="2:11" x14ac:dyDescent="0.25">
      <c r="B302" s="3">
        <v>409</v>
      </c>
      <c r="C302" s="3" t="s">
        <v>8</v>
      </c>
      <c r="D302" s="3" t="s">
        <v>12</v>
      </c>
      <c r="E302" s="4">
        <v>42452</v>
      </c>
      <c r="F302" s="4"/>
      <c r="G302" s="3" t="s">
        <v>27</v>
      </c>
      <c r="H302" s="5">
        <v>45944</v>
      </c>
      <c r="I302" s="3" t="str">
        <f>VLOOKUP(Tabela1[[#This Row],[Advogado]],Tabela2[],2,FALSE)</f>
        <v>Caio Brito</v>
      </c>
      <c r="J302" s="17">
        <f>IF(Tabela1[[#This Row],[Data de conclusão]]="",NETWORKDAYS(Tabela1[[#This Row],[Data de entrada]],$J$2),NETWORKDAYS(Tabela1[[#This Row],[Data de entrada]],Tabela1[[#This Row],[Data de conclusão]]))</f>
        <v>560</v>
      </c>
      <c r="K302" s="1"/>
    </row>
    <row r="303" spans="2:11" x14ac:dyDescent="0.25">
      <c r="B303" s="3">
        <v>410</v>
      </c>
      <c r="C303" s="3" t="s">
        <v>9</v>
      </c>
      <c r="D303" s="3" t="s">
        <v>13</v>
      </c>
      <c r="E303" s="4">
        <v>42959</v>
      </c>
      <c r="F303" s="4"/>
      <c r="G303" s="3" t="s">
        <v>29</v>
      </c>
      <c r="H303" s="5">
        <v>42139</v>
      </c>
      <c r="I303" s="3" t="str">
        <f>VLOOKUP(Tabela1[[#This Row],[Advogado]],Tabela2[],2,FALSE)</f>
        <v>Caio Brito</v>
      </c>
      <c r="J303" s="17">
        <f>IF(Tabela1[[#This Row],[Data de conclusão]]="",NETWORKDAYS(Tabela1[[#This Row],[Data de entrada]],$J$2),NETWORKDAYS(Tabela1[[#This Row],[Data de entrada]],Tabela1[[#This Row],[Data de conclusão]]))</f>
        <v>197</v>
      </c>
      <c r="K303" s="1"/>
    </row>
    <row r="304" spans="2:11" x14ac:dyDescent="0.25">
      <c r="B304" s="3">
        <v>411</v>
      </c>
      <c r="C304" s="3" t="s">
        <v>7</v>
      </c>
      <c r="D304" s="3" t="s">
        <v>14</v>
      </c>
      <c r="E304" s="4">
        <v>42372</v>
      </c>
      <c r="F304" s="4"/>
      <c r="G304" s="3" t="s">
        <v>29</v>
      </c>
      <c r="H304" s="5">
        <v>39120</v>
      </c>
      <c r="I304" s="3" t="str">
        <f>VLOOKUP(Tabela1[[#This Row],[Advogado]],Tabela2[],2,FALSE)</f>
        <v>Renê Amaranto</v>
      </c>
      <c r="J304" s="17">
        <f>IF(Tabela1[[#This Row],[Data de conclusão]]="",NETWORKDAYS(Tabela1[[#This Row],[Data de entrada]],$J$2),NETWORKDAYS(Tabela1[[#This Row],[Data de entrada]],Tabela1[[#This Row],[Data de conclusão]]))</f>
        <v>617</v>
      </c>
      <c r="K304" s="1"/>
    </row>
    <row r="305" spans="2:11" x14ac:dyDescent="0.25">
      <c r="B305" s="3">
        <v>412</v>
      </c>
      <c r="C305" s="3" t="s">
        <v>8</v>
      </c>
      <c r="D305" s="3" t="s">
        <v>15</v>
      </c>
      <c r="E305" s="4">
        <v>42714</v>
      </c>
      <c r="F305" s="4"/>
      <c r="G305" s="3" t="s">
        <v>29</v>
      </c>
      <c r="H305" s="5">
        <v>29175</v>
      </c>
      <c r="I305" s="3" t="str">
        <f>VLOOKUP(Tabela1[[#This Row],[Advogado]],Tabela2[],2,FALSE)</f>
        <v>Renê Amaranto</v>
      </c>
      <c r="J305" s="17">
        <f>IF(Tabela1[[#This Row],[Data de conclusão]]="",NETWORKDAYS(Tabela1[[#This Row],[Data de entrada]],$J$2),NETWORKDAYS(Tabela1[[#This Row],[Data de entrada]],Tabela1[[#This Row],[Data de conclusão]]))</f>
        <v>372</v>
      </c>
      <c r="K305" s="1"/>
    </row>
    <row r="306" spans="2:11" x14ac:dyDescent="0.25">
      <c r="B306" s="3">
        <v>413</v>
      </c>
      <c r="C306" s="3" t="s">
        <v>9</v>
      </c>
      <c r="D306" s="3" t="s">
        <v>16</v>
      </c>
      <c r="E306" s="4">
        <v>42397</v>
      </c>
      <c r="F306" s="4"/>
      <c r="G306" s="3" t="s">
        <v>29</v>
      </c>
      <c r="H306" s="5">
        <v>30128</v>
      </c>
      <c r="I306" s="3" t="str">
        <f>VLOOKUP(Tabela1[[#This Row],[Advogado]],Tabela2[],2,FALSE)</f>
        <v>Renê Amaranto</v>
      </c>
      <c r="J306" s="17">
        <f>IF(Tabela1[[#This Row],[Data de conclusão]]="",NETWORKDAYS(Tabela1[[#This Row],[Data de entrada]],$J$2),NETWORKDAYS(Tabela1[[#This Row],[Data de entrada]],Tabela1[[#This Row],[Data de conclusão]]))</f>
        <v>599</v>
      </c>
      <c r="K306" s="1"/>
    </row>
    <row r="307" spans="2:11" x14ac:dyDescent="0.25">
      <c r="B307" s="3">
        <v>414</v>
      </c>
      <c r="C307" s="3" t="s">
        <v>7</v>
      </c>
      <c r="D307" s="3" t="s">
        <v>17</v>
      </c>
      <c r="E307" s="4">
        <v>43007</v>
      </c>
      <c r="F307" s="4"/>
      <c r="G307" s="3" t="s">
        <v>29</v>
      </c>
      <c r="H307" s="5">
        <v>7159</v>
      </c>
      <c r="I307" s="3" t="str">
        <f>VLOOKUP(Tabela1[[#This Row],[Advogado]],Tabela2[],2,FALSE)</f>
        <v>Renê Amaranto</v>
      </c>
      <c r="J307" s="17">
        <f>IF(Tabela1[[#This Row],[Data de conclusão]]="",NETWORKDAYS(Tabela1[[#This Row],[Data de entrada]],$J$2),NETWORKDAYS(Tabela1[[#This Row],[Data de entrada]],Tabela1[[#This Row],[Data de conclusão]]))</f>
        <v>163</v>
      </c>
      <c r="K307" s="1"/>
    </row>
    <row r="308" spans="2:11" x14ac:dyDescent="0.25">
      <c r="B308" s="3">
        <v>415</v>
      </c>
      <c r="C308" s="3" t="s">
        <v>8</v>
      </c>
      <c r="D308" s="3" t="s">
        <v>10</v>
      </c>
      <c r="E308" s="4">
        <v>42897</v>
      </c>
      <c r="F308" s="4"/>
      <c r="G308" s="3" t="s">
        <v>29</v>
      </c>
      <c r="H308" s="5">
        <v>16558</v>
      </c>
      <c r="I308" s="3" t="str">
        <f>VLOOKUP(Tabela1[[#This Row],[Advogado]],Tabela2[],2,FALSE)</f>
        <v>Caio Brito</v>
      </c>
      <c r="J308" s="17">
        <f>IF(Tabela1[[#This Row],[Data de conclusão]]="",NETWORKDAYS(Tabela1[[#This Row],[Data de entrada]],$J$2),NETWORKDAYS(Tabela1[[#This Row],[Data de entrada]],Tabela1[[#This Row],[Data de conclusão]]))</f>
        <v>242</v>
      </c>
      <c r="K308" s="1"/>
    </row>
    <row r="309" spans="2:11" x14ac:dyDescent="0.25">
      <c r="B309" s="3">
        <v>416</v>
      </c>
      <c r="C309" s="3" t="s">
        <v>9</v>
      </c>
      <c r="D309" s="3" t="s">
        <v>11</v>
      </c>
      <c r="E309" s="4">
        <v>43004</v>
      </c>
      <c r="F309" s="4"/>
      <c r="G309" s="3" t="s">
        <v>29</v>
      </c>
      <c r="H309" s="5">
        <v>25243</v>
      </c>
      <c r="I309" s="3" t="str">
        <f>VLOOKUP(Tabela1[[#This Row],[Advogado]],Tabela2[],2,FALSE)</f>
        <v>Caio Brito</v>
      </c>
      <c r="J309" s="17">
        <f>IF(Tabela1[[#This Row],[Data de conclusão]]="",NETWORKDAYS(Tabela1[[#This Row],[Data de entrada]],$J$2),NETWORKDAYS(Tabela1[[#This Row],[Data de entrada]],Tabela1[[#This Row],[Data de conclusão]]))</f>
        <v>166</v>
      </c>
      <c r="K309" s="1"/>
    </row>
    <row r="310" spans="2:11" x14ac:dyDescent="0.25">
      <c r="B310" s="3">
        <v>417</v>
      </c>
      <c r="C310" s="3" t="s">
        <v>7</v>
      </c>
      <c r="D310" s="3" t="s">
        <v>12</v>
      </c>
      <c r="E310" s="4">
        <v>43075</v>
      </c>
      <c r="F310" s="4"/>
      <c r="G310" s="3" t="s">
        <v>29</v>
      </c>
      <c r="H310" s="5">
        <v>24582</v>
      </c>
      <c r="I310" s="3" t="str">
        <f>VLOOKUP(Tabela1[[#This Row],[Advogado]],Tabela2[],2,FALSE)</f>
        <v>Caio Brito</v>
      </c>
      <c r="J310" s="17">
        <f>IF(Tabela1[[#This Row],[Data de conclusão]]="",NETWORKDAYS(Tabela1[[#This Row],[Data de entrada]],$J$2),NETWORKDAYS(Tabela1[[#This Row],[Data de entrada]],Tabela1[[#This Row],[Data de conclusão]]))</f>
        <v>115</v>
      </c>
      <c r="K310" s="1"/>
    </row>
    <row r="311" spans="2:11" x14ac:dyDescent="0.25">
      <c r="B311" s="3">
        <v>418</v>
      </c>
      <c r="C311" s="3" t="s">
        <v>8</v>
      </c>
      <c r="D311" s="3" t="s">
        <v>13</v>
      </c>
      <c r="E311" s="4">
        <v>42854</v>
      </c>
      <c r="F311" s="4"/>
      <c r="G311" s="3" t="s">
        <v>29</v>
      </c>
      <c r="H311" s="5">
        <v>3182</v>
      </c>
      <c r="I311" s="3" t="str">
        <f>VLOOKUP(Tabela1[[#This Row],[Advogado]],Tabela2[],2,FALSE)</f>
        <v>Caio Brito</v>
      </c>
      <c r="J311" s="17">
        <f>IF(Tabela1[[#This Row],[Data de conclusão]]="",NETWORKDAYS(Tabela1[[#This Row],[Data de entrada]],$J$2),NETWORKDAYS(Tabela1[[#This Row],[Data de entrada]],Tabela1[[#This Row],[Data de conclusão]]))</f>
        <v>272</v>
      </c>
      <c r="K311" s="1"/>
    </row>
    <row r="312" spans="2:11" x14ac:dyDescent="0.25">
      <c r="B312" s="3">
        <v>419</v>
      </c>
      <c r="C312" s="3" t="s">
        <v>9</v>
      </c>
      <c r="D312" s="3" t="s">
        <v>14</v>
      </c>
      <c r="E312" s="4">
        <v>42774</v>
      </c>
      <c r="F312" s="4"/>
      <c r="G312" s="3" t="s">
        <v>29</v>
      </c>
      <c r="H312" s="5">
        <v>23544</v>
      </c>
      <c r="I312" s="3" t="str">
        <f>VLOOKUP(Tabela1[[#This Row],[Advogado]],Tabela2[],2,FALSE)</f>
        <v>Renê Amaranto</v>
      </c>
      <c r="J312" s="17">
        <f>IF(Tabela1[[#This Row],[Data de conclusão]]="",NETWORKDAYS(Tabela1[[#This Row],[Data de entrada]],$J$2),NETWORKDAYS(Tabela1[[#This Row],[Data de entrada]],Tabela1[[#This Row],[Data de conclusão]]))</f>
        <v>330</v>
      </c>
      <c r="K312" s="1"/>
    </row>
    <row r="313" spans="2:11" x14ac:dyDescent="0.25">
      <c r="B313" s="3">
        <v>420</v>
      </c>
      <c r="C313" s="3" t="s">
        <v>7</v>
      </c>
      <c r="D313" s="3" t="s">
        <v>15</v>
      </c>
      <c r="E313" s="4">
        <v>42401</v>
      </c>
      <c r="F313" s="4"/>
      <c r="G313" s="3" t="s">
        <v>29</v>
      </c>
      <c r="H313" s="5">
        <v>37068</v>
      </c>
      <c r="I313" s="3" t="str">
        <f>VLOOKUP(Tabela1[[#This Row],[Advogado]],Tabela2[],2,FALSE)</f>
        <v>Renê Amaranto</v>
      </c>
      <c r="J313" s="17">
        <f>IF(Tabela1[[#This Row],[Data de conclusão]]="",NETWORKDAYS(Tabela1[[#This Row],[Data de entrada]],$J$2),NETWORKDAYS(Tabela1[[#This Row],[Data de entrada]],Tabela1[[#This Row],[Data de conclusão]]))</f>
        <v>597</v>
      </c>
      <c r="K313" s="1"/>
    </row>
    <row r="314" spans="2:11" x14ac:dyDescent="0.25">
      <c r="B314" s="3">
        <v>421</v>
      </c>
      <c r="C314" s="3" t="s">
        <v>8</v>
      </c>
      <c r="D314" s="3" t="s">
        <v>16</v>
      </c>
      <c r="E314" s="4">
        <v>43025</v>
      </c>
      <c r="F314" s="4">
        <v>43080</v>
      </c>
      <c r="G314" s="3" t="s">
        <v>28</v>
      </c>
      <c r="H314" s="5">
        <v>4576</v>
      </c>
      <c r="I314" s="3" t="str">
        <f>VLOOKUP(Tabela1[[#This Row],[Advogado]],Tabela2[],2,FALSE)</f>
        <v>Renê Amaranto</v>
      </c>
      <c r="J314" s="17">
        <f>IF(Tabela1[[#This Row],[Data de conclusão]]="",NETWORKDAYS(Tabela1[[#This Row],[Data de entrada]],$J$2),NETWORKDAYS(Tabela1[[#This Row],[Data de entrada]],Tabela1[[#This Row],[Data de conclusão]]))</f>
        <v>40</v>
      </c>
      <c r="K314" s="1"/>
    </row>
    <row r="315" spans="2:11" x14ac:dyDescent="0.25">
      <c r="B315" s="3">
        <v>422</v>
      </c>
      <c r="C315" s="3" t="s">
        <v>9</v>
      </c>
      <c r="D315" s="3" t="s">
        <v>17</v>
      </c>
      <c r="E315" s="4">
        <v>42731</v>
      </c>
      <c r="F315" s="4"/>
      <c r="G315" s="3" t="s">
        <v>27</v>
      </c>
      <c r="H315" s="5">
        <v>55663</v>
      </c>
      <c r="I315" s="3" t="str">
        <f>VLOOKUP(Tabela1[[#This Row],[Advogado]],Tabela2[],2,FALSE)</f>
        <v>Renê Amaranto</v>
      </c>
      <c r="J315" s="17">
        <f>IF(Tabela1[[#This Row],[Data de conclusão]]="",NETWORKDAYS(Tabela1[[#This Row],[Data de entrada]],$J$2),NETWORKDAYS(Tabela1[[#This Row],[Data de entrada]],Tabela1[[#This Row],[Data de conclusão]]))</f>
        <v>361</v>
      </c>
      <c r="K315" s="1"/>
    </row>
    <row r="316" spans="2:11" x14ac:dyDescent="0.25">
      <c r="B316" s="3">
        <v>423</v>
      </c>
      <c r="C316" s="3" t="s">
        <v>7</v>
      </c>
      <c r="D316" s="3" t="s">
        <v>10</v>
      </c>
      <c r="E316" s="4">
        <v>43065</v>
      </c>
      <c r="F316" s="4"/>
      <c r="G316" s="3" t="s">
        <v>29</v>
      </c>
      <c r="H316" s="5">
        <v>59388</v>
      </c>
      <c r="I316" s="3" t="str">
        <f>VLOOKUP(Tabela1[[#This Row],[Advogado]],Tabela2[],2,FALSE)</f>
        <v>Caio Brito</v>
      </c>
      <c r="J316" s="17">
        <f>IF(Tabela1[[#This Row],[Data de conclusão]]="",NETWORKDAYS(Tabela1[[#This Row],[Data de entrada]],$J$2),NETWORKDAYS(Tabela1[[#This Row],[Data de entrada]],Tabela1[[#This Row],[Data de conclusão]]))</f>
        <v>122</v>
      </c>
      <c r="K316" s="1"/>
    </row>
    <row r="317" spans="2:11" x14ac:dyDescent="0.25">
      <c r="B317" s="3">
        <v>424</v>
      </c>
      <c r="C317" s="3" t="s">
        <v>8</v>
      </c>
      <c r="D317" s="3" t="s">
        <v>11</v>
      </c>
      <c r="E317" s="4">
        <v>42445</v>
      </c>
      <c r="F317" s="4"/>
      <c r="G317" s="3" t="s">
        <v>29</v>
      </c>
      <c r="H317" s="5">
        <v>22454</v>
      </c>
      <c r="I317" s="3" t="str">
        <f>VLOOKUP(Tabela1[[#This Row],[Advogado]],Tabela2[],2,FALSE)</f>
        <v>Caio Brito</v>
      </c>
      <c r="J317" s="17">
        <f>IF(Tabela1[[#This Row],[Data de conclusão]]="",NETWORKDAYS(Tabela1[[#This Row],[Data de entrada]],$J$2),NETWORKDAYS(Tabela1[[#This Row],[Data de entrada]],Tabela1[[#This Row],[Data de conclusão]]))</f>
        <v>565</v>
      </c>
      <c r="K317" s="1"/>
    </row>
    <row r="318" spans="2:11" x14ac:dyDescent="0.25">
      <c r="B318" s="3">
        <v>425</v>
      </c>
      <c r="C318" s="3" t="s">
        <v>9</v>
      </c>
      <c r="D318" s="3" t="s">
        <v>12</v>
      </c>
      <c r="E318" s="4">
        <v>42684</v>
      </c>
      <c r="F318" s="4"/>
      <c r="G318" s="3" t="s">
        <v>29</v>
      </c>
      <c r="H318" s="5">
        <v>28092</v>
      </c>
      <c r="I318" s="3" t="str">
        <f>VLOOKUP(Tabela1[[#This Row],[Advogado]],Tabela2[],2,FALSE)</f>
        <v>Caio Brito</v>
      </c>
      <c r="J318" s="17">
        <f>IF(Tabela1[[#This Row],[Data de conclusão]]="",NETWORKDAYS(Tabela1[[#This Row],[Data de entrada]],$J$2),NETWORKDAYS(Tabela1[[#This Row],[Data de entrada]],Tabela1[[#This Row],[Data de conclusão]]))</f>
        <v>394</v>
      </c>
      <c r="K318" s="1"/>
    </row>
    <row r="319" spans="2:11" x14ac:dyDescent="0.25">
      <c r="B319" s="3">
        <v>426</v>
      </c>
      <c r="C319" s="3" t="s">
        <v>7</v>
      </c>
      <c r="D319" s="3" t="s">
        <v>13</v>
      </c>
      <c r="E319" s="4">
        <v>43093</v>
      </c>
      <c r="F319" s="4"/>
      <c r="G319" s="3" t="s">
        <v>29</v>
      </c>
      <c r="H319" s="5">
        <v>46259</v>
      </c>
      <c r="I319" s="3" t="str">
        <f>VLOOKUP(Tabela1[[#This Row],[Advogado]],Tabela2[],2,FALSE)</f>
        <v>Caio Brito</v>
      </c>
      <c r="J319" s="17">
        <f>IF(Tabela1[[#This Row],[Data de conclusão]]="",NETWORKDAYS(Tabela1[[#This Row],[Data de entrada]],$J$2),NETWORKDAYS(Tabela1[[#This Row],[Data de entrada]],Tabela1[[#This Row],[Data de conclusão]]))</f>
        <v>102</v>
      </c>
      <c r="K319" s="1"/>
    </row>
    <row r="320" spans="2:11" x14ac:dyDescent="0.25">
      <c r="B320" s="3">
        <v>427</v>
      </c>
      <c r="C320" s="3" t="s">
        <v>8</v>
      </c>
      <c r="D320" s="3" t="s">
        <v>14</v>
      </c>
      <c r="E320" s="4">
        <v>43035</v>
      </c>
      <c r="F320" s="4"/>
      <c r="G320" s="3" t="s">
        <v>29</v>
      </c>
      <c r="H320" s="5">
        <v>14854</v>
      </c>
      <c r="I320" s="3" t="str">
        <f>VLOOKUP(Tabela1[[#This Row],[Advogado]],Tabela2[],2,FALSE)</f>
        <v>Renê Amaranto</v>
      </c>
      <c r="J320" s="17">
        <f>IF(Tabela1[[#This Row],[Data de conclusão]]="",NETWORKDAYS(Tabela1[[#This Row],[Data de entrada]],$J$2),NETWORKDAYS(Tabela1[[#This Row],[Data de entrada]],Tabela1[[#This Row],[Data de conclusão]]))</f>
        <v>143</v>
      </c>
      <c r="K320" s="1"/>
    </row>
    <row r="321" spans="2:11" x14ac:dyDescent="0.25">
      <c r="B321" s="3">
        <v>428</v>
      </c>
      <c r="C321" s="3" t="s">
        <v>9</v>
      </c>
      <c r="D321" s="3" t="s">
        <v>15</v>
      </c>
      <c r="E321" s="4">
        <v>42468</v>
      </c>
      <c r="F321" s="4"/>
      <c r="G321" s="3" t="s">
        <v>29</v>
      </c>
      <c r="H321" s="5">
        <v>10301</v>
      </c>
      <c r="I321" s="3" t="str">
        <f>VLOOKUP(Tabela1[[#This Row],[Advogado]],Tabela2[],2,FALSE)</f>
        <v>Renê Amaranto</v>
      </c>
      <c r="J321" s="17">
        <f>IF(Tabela1[[#This Row],[Data de conclusão]]="",NETWORKDAYS(Tabela1[[#This Row],[Data de entrada]],$J$2),NETWORKDAYS(Tabela1[[#This Row],[Data de entrada]],Tabela1[[#This Row],[Data de conclusão]]))</f>
        <v>548</v>
      </c>
      <c r="K321" s="1"/>
    </row>
    <row r="322" spans="2:11" x14ac:dyDescent="0.25">
      <c r="B322" s="3">
        <v>429</v>
      </c>
      <c r="C322" s="3" t="s">
        <v>7</v>
      </c>
      <c r="D322" s="3" t="s">
        <v>16</v>
      </c>
      <c r="E322" s="4">
        <v>42762</v>
      </c>
      <c r="F322" s="4"/>
      <c r="G322" s="3" t="s">
        <v>29</v>
      </c>
      <c r="H322" s="5">
        <v>43196</v>
      </c>
      <c r="I322" s="3" t="str">
        <f>VLOOKUP(Tabela1[[#This Row],[Advogado]],Tabela2[],2,FALSE)</f>
        <v>Renê Amaranto</v>
      </c>
      <c r="J322" s="17">
        <f>IF(Tabela1[[#This Row],[Data de conclusão]]="",NETWORKDAYS(Tabela1[[#This Row],[Data de entrada]],$J$2),NETWORKDAYS(Tabela1[[#This Row],[Data de entrada]],Tabela1[[#This Row],[Data de conclusão]]))</f>
        <v>338</v>
      </c>
      <c r="K322" s="1"/>
    </row>
    <row r="323" spans="2:11" x14ac:dyDescent="0.25">
      <c r="B323" s="3">
        <v>430</v>
      </c>
      <c r="C323" s="3" t="s">
        <v>8</v>
      </c>
      <c r="D323" s="3" t="s">
        <v>17</v>
      </c>
      <c r="E323" s="4">
        <v>42485</v>
      </c>
      <c r="F323" s="4"/>
      <c r="G323" s="3" t="s">
        <v>29</v>
      </c>
      <c r="H323" s="5">
        <v>41297</v>
      </c>
      <c r="I323" s="3" t="str">
        <f>VLOOKUP(Tabela1[[#This Row],[Advogado]],Tabela2[],2,FALSE)</f>
        <v>Renê Amaranto</v>
      </c>
      <c r="J323" s="17">
        <f>IF(Tabela1[[#This Row],[Data de conclusão]]="",NETWORKDAYS(Tabela1[[#This Row],[Data de entrada]],$J$2),NETWORKDAYS(Tabela1[[#This Row],[Data de entrada]],Tabela1[[#This Row],[Data de conclusão]]))</f>
        <v>537</v>
      </c>
      <c r="K323" s="1"/>
    </row>
    <row r="324" spans="2:11" x14ac:dyDescent="0.25">
      <c r="B324" s="3">
        <v>431</v>
      </c>
      <c r="C324" s="3" t="s">
        <v>9</v>
      </c>
      <c r="D324" s="3" t="s">
        <v>10</v>
      </c>
      <c r="E324" s="4">
        <v>42916</v>
      </c>
      <c r="F324" s="4"/>
      <c r="G324" s="3" t="s">
        <v>29</v>
      </c>
      <c r="H324" s="5">
        <v>13971</v>
      </c>
      <c r="I324" s="3" t="str">
        <f>VLOOKUP(Tabela1[[#This Row],[Advogado]],Tabela2[],2,FALSE)</f>
        <v>Caio Brito</v>
      </c>
      <c r="J324" s="17">
        <f>IF(Tabela1[[#This Row],[Data de conclusão]]="",NETWORKDAYS(Tabela1[[#This Row],[Data de entrada]],$J$2),NETWORKDAYS(Tabela1[[#This Row],[Data de entrada]],Tabela1[[#This Row],[Data de conclusão]]))</f>
        <v>228</v>
      </c>
      <c r="K324" s="1"/>
    </row>
    <row r="325" spans="2:11" x14ac:dyDescent="0.25">
      <c r="B325" s="3">
        <v>432</v>
      </c>
      <c r="C325" s="3" t="s">
        <v>7</v>
      </c>
      <c r="D325" s="3" t="s">
        <v>11</v>
      </c>
      <c r="E325" s="4">
        <v>42876</v>
      </c>
      <c r="F325" s="4"/>
      <c r="G325" s="3" t="s">
        <v>29</v>
      </c>
      <c r="H325" s="5">
        <v>41346</v>
      </c>
      <c r="I325" s="3" t="str">
        <f>VLOOKUP(Tabela1[[#This Row],[Advogado]],Tabela2[],2,FALSE)</f>
        <v>Caio Brito</v>
      </c>
      <c r="J325" s="17">
        <f>IF(Tabela1[[#This Row],[Data de conclusão]]="",NETWORKDAYS(Tabela1[[#This Row],[Data de entrada]],$J$2),NETWORKDAYS(Tabela1[[#This Row],[Data de entrada]],Tabela1[[#This Row],[Data de conclusão]]))</f>
        <v>257</v>
      </c>
      <c r="K325" s="1"/>
    </row>
    <row r="326" spans="2:11" x14ac:dyDescent="0.25">
      <c r="B326" s="3">
        <v>433</v>
      </c>
      <c r="C326" s="3" t="s">
        <v>8</v>
      </c>
      <c r="D326" s="3" t="s">
        <v>12</v>
      </c>
      <c r="E326" s="4">
        <v>42607</v>
      </c>
      <c r="F326" s="4"/>
      <c r="G326" s="3" t="s">
        <v>29</v>
      </c>
      <c r="H326" s="5">
        <v>42125</v>
      </c>
      <c r="I326" s="3" t="str">
        <f>VLOOKUP(Tabela1[[#This Row],[Advogado]],Tabela2[],2,FALSE)</f>
        <v>Caio Brito</v>
      </c>
      <c r="J326" s="17">
        <f>IF(Tabela1[[#This Row],[Data de conclusão]]="",NETWORKDAYS(Tabela1[[#This Row],[Data de entrada]],$J$2),NETWORKDAYS(Tabela1[[#This Row],[Data de entrada]],Tabela1[[#This Row],[Data de conclusão]]))</f>
        <v>449</v>
      </c>
      <c r="K326" s="1"/>
    </row>
    <row r="327" spans="2:11" x14ac:dyDescent="0.25">
      <c r="B327" s="3">
        <v>434</v>
      </c>
      <c r="C327" s="3" t="s">
        <v>9</v>
      </c>
      <c r="D327" s="3" t="s">
        <v>13</v>
      </c>
      <c r="E327" s="4">
        <v>43093</v>
      </c>
      <c r="F327" s="4">
        <v>43211</v>
      </c>
      <c r="G327" s="3" t="s">
        <v>28</v>
      </c>
      <c r="H327" s="5">
        <v>12394</v>
      </c>
      <c r="I327" s="3" t="str">
        <f>VLOOKUP(Tabela1[[#This Row],[Advogado]],Tabela2[],2,FALSE)</f>
        <v>Caio Brito</v>
      </c>
      <c r="J327" s="17">
        <f>IF(Tabela1[[#This Row],[Data de conclusão]]="",NETWORKDAYS(Tabela1[[#This Row],[Data de entrada]],$J$2),NETWORKDAYS(Tabela1[[#This Row],[Data de entrada]],Tabela1[[#This Row],[Data de conclusão]]))</f>
        <v>85</v>
      </c>
      <c r="K327" s="1"/>
    </row>
    <row r="328" spans="2:11" x14ac:dyDescent="0.25">
      <c r="B328" s="3">
        <v>435</v>
      </c>
      <c r="C328" s="3" t="s">
        <v>7</v>
      </c>
      <c r="D328" s="3" t="s">
        <v>14</v>
      </c>
      <c r="E328" s="4">
        <v>43009</v>
      </c>
      <c r="F328" s="4"/>
      <c r="G328" s="3" t="s">
        <v>27</v>
      </c>
      <c r="H328" s="5">
        <v>57763</v>
      </c>
      <c r="I328" s="3" t="str">
        <f>VLOOKUP(Tabela1[[#This Row],[Advogado]],Tabela2[],2,FALSE)</f>
        <v>Renê Amaranto</v>
      </c>
      <c r="J328" s="17">
        <f>IF(Tabela1[[#This Row],[Data de conclusão]]="",NETWORKDAYS(Tabela1[[#This Row],[Data de entrada]],$J$2),NETWORKDAYS(Tabela1[[#This Row],[Data de entrada]],Tabela1[[#This Row],[Data de conclusão]]))</f>
        <v>162</v>
      </c>
      <c r="K328" s="1"/>
    </row>
    <row r="329" spans="2:11" x14ac:dyDescent="0.25">
      <c r="B329" s="3">
        <v>436</v>
      </c>
      <c r="C329" s="3" t="s">
        <v>8</v>
      </c>
      <c r="D329" s="3" t="s">
        <v>15</v>
      </c>
      <c r="E329" s="4">
        <v>42544</v>
      </c>
      <c r="F329" s="4"/>
      <c r="G329" s="3" t="s">
        <v>29</v>
      </c>
      <c r="H329" s="5">
        <v>27953</v>
      </c>
      <c r="I329" s="3" t="str">
        <f>VLOOKUP(Tabela1[[#This Row],[Advogado]],Tabela2[],2,FALSE)</f>
        <v>Renê Amaranto</v>
      </c>
      <c r="J329" s="17">
        <f>IF(Tabela1[[#This Row],[Data de conclusão]]="",NETWORKDAYS(Tabela1[[#This Row],[Data de entrada]],$J$2),NETWORKDAYS(Tabela1[[#This Row],[Data de entrada]],Tabela1[[#This Row],[Data de conclusão]]))</f>
        <v>494</v>
      </c>
      <c r="K329" s="1"/>
    </row>
    <row r="330" spans="2:11" x14ac:dyDescent="0.25">
      <c r="B330" s="3">
        <v>437</v>
      </c>
      <c r="C330" s="3" t="s">
        <v>9</v>
      </c>
      <c r="D330" s="3" t="s">
        <v>16</v>
      </c>
      <c r="E330" s="4">
        <v>42483</v>
      </c>
      <c r="F330" s="4"/>
      <c r="G330" s="3" t="s">
        <v>29</v>
      </c>
      <c r="H330" s="5">
        <v>2094</v>
      </c>
      <c r="I330" s="3" t="str">
        <f>VLOOKUP(Tabela1[[#This Row],[Advogado]],Tabela2[],2,FALSE)</f>
        <v>Renê Amaranto</v>
      </c>
      <c r="J330" s="17">
        <f>IF(Tabela1[[#This Row],[Data de conclusão]]="",NETWORKDAYS(Tabela1[[#This Row],[Data de entrada]],$J$2),NETWORKDAYS(Tabela1[[#This Row],[Data de entrada]],Tabela1[[#This Row],[Data de conclusão]]))</f>
        <v>537</v>
      </c>
      <c r="K330" s="1"/>
    </row>
    <row r="331" spans="2:11" x14ac:dyDescent="0.25">
      <c r="B331" s="3">
        <v>438</v>
      </c>
      <c r="C331" s="3" t="s">
        <v>7</v>
      </c>
      <c r="D331" s="3" t="s">
        <v>17</v>
      </c>
      <c r="E331" s="4">
        <v>42944</v>
      </c>
      <c r="F331" s="4"/>
      <c r="G331" s="3" t="s">
        <v>29</v>
      </c>
      <c r="H331" s="5">
        <v>11013</v>
      </c>
      <c r="I331" s="3" t="str">
        <f>VLOOKUP(Tabela1[[#This Row],[Advogado]],Tabela2[],2,FALSE)</f>
        <v>Renê Amaranto</v>
      </c>
      <c r="J331" s="17">
        <f>IF(Tabela1[[#This Row],[Data de conclusão]]="",NETWORKDAYS(Tabela1[[#This Row],[Data de entrada]],$J$2),NETWORKDAYS(Tabela1[[#This Row],[Data de entrada]],Tabela1[[#This Row],[Data de conclusão]]))</f>
        <v>208</v>
      </c>
      <c r="K331" s="1"/>
    </row>
    <row r="332" spans="2:11" x14ac:dyDescent="0.25">
      <c r="B332" s="3">
        <v>439</v>
      </c>
      <c r="C332" s="3" t="s">
        <v>8</v>
      </c>
      <c r="D332" s="3" t="s">
        <v>10</v>
      </c>
      <c r="E332" s="4">
        <v>42927</v>
      </c>
      <c r="F332" s="4"/>
      <c r="G332" s="3" t="s">
        <v>29</v>
      </c>
      <c r="H332" s="5">
        <v>36093</v>
      </c>
      <c r="I332" s="3" t="str">
        <f>VLOOKUP(Tabela1[[#This Row],[Advogado]],Tabela2[],2,FALSE)</f>
        <v>Caio Brito</v>
      </c>
      <c r="J332" s="17">
        <f>IF(Tabela1[[#This Row],[Data de conclusão]]="",NETWORKDAYS(Tabela1[[#This Row],[Data de entrada]],$J$2),NETWORKDAYS(Tabela1[[#This Row],[Data de entrada]],Tabela1[[#This Row],[Data de conclusão]]))</f>
        <v>221</v>
      </c>
      <c r="K332" s="1"/>
    </row>
    <row r="333" spans="2:11" x14ac:dyDescent="0.25">
      <c r="B333" s="3">
        <v>440</v>
      </c>
      <c r="C333" s="3" t="s">
        <v>9</v>
      </c>
      <c r="D333" s="3" t="s">
        <v>11</v>
      </c>
      <c r="E333" s="4">
        <v>42399</v>
      </c>
      <c r="F333" s="4"/>
      <c r="G333" s="3" t="s">
        <v>29</v>
      </c>
      <c r="H333" s="5">
        <v>48023</v>
      </c>
      <c r="I333" s="3" t="str">
        <f>VLOOKUP(Tabela1[[#This Row],[Advogado]],Tabela2[],2,FALSE)</f>
        <v>Caio Brito</v>
      </c>
      <c r="J333" s="17">
        <f>IF(Tabela1[[#This Row],[Data de conclusão]]="",NETWORKDAYS(Tabela1[[#This Row],[Data de entrada]],$J$2),NETWORKDAYS(Tabela1[[#This Row],[Data de entrada]],Tabela1[[#This Row],[Data de conclusão]]))</f>
        <v>597</v>
      </c>
      <c r="K333" s="1"/>
    </row>
    <row r="334" spans="2:11" x14ac:dyDescent="0.25">
      <c r="B334" s="3">
        <v>441</v>
      </c>
      <c r="C334" s="3" t="s">
        <v>7</v>
      </c>
      <c r="D334" s="3" t="s">
        <v>12</v>
      </c>
      <c r="E334" s="4">
        <v>42733</v>
      </c>
      <c r="F334" s="4"/>
      <c r="G334" s="3" t="s">
        <v>29</v>
      </c>
      <c r="H334" s="5">
        <v>52474</v>
      </c>
      <c r="I334" s="3" t="str">
        <f>VLOOKUP(Tabela1[[#This Row],[Advogado]],Tabela2[],2,FALSE)</f>
        <v>Caio Brito</v>
      </c>
      <c r="J334" s="17">
        <f>IF(Tabela1[[#This Row],[Data de conclusão]]="",NETWORKDAYS(Tabela1[[#This Row],[Data de entrada]],$J$2),NETWORKDAYS(Tabela1[[#This Row],[Data de entrada]],Tabela1[[#This Row],[Data de conclusão]]))</f>
        <v>359</v>
      </c>
      <c r="K334" s="1"/>
    </row>
    <row r="335" spans="2:11" x14ac:dyDescent="0.25">
      <c r="B335" s="3">
        <v>442</v>
      </c>
      <c r="C335" s="3" t="s">
        <v>8</v>
      </c>
      <c r="D335" s="3" t="s">
        <v>13</v>
      </c>
      <c r="E335" s="4">
        <v>42738</v>
      </c>
      <c r="F335" s="4"/>
      <c r="G335" s="3" t="s">
        <v>29</v>
      </c>
      <c r="H335" s="5">
        <v>10624</v>
      </c>
      <c r="I335" s="3" t="str">
        <f>VLOOKUP(Tabela1[[#This Row],[Advogado]],Tabela2[],2,FALSE)</f>
        <v>Caio Brito</v>
      </c>
      <c r="J335" s="17">
        <f>IF(Tabela1[[#This Row],[Data de conclusão]]="",NETWORKDAYS(Tabela1[[#This Row],[Data de entrada]],$J$2),NETWORKDAYS(Tabela1[[#This Row],[Data de entrada]],Tabela1[[#This Row],[Data de conclusão]]))</f>
        <v>356</v>
      </c>
      <c r="K335" s="1"/>
    </row>
    <row r="336" spans="2:11" x14ac:dyDescent="0.25">
      <c r="B336" s="3">
        <v>443</v>
      </c>
      <c r="C336" s="3" t="s">
        <v>9</v>
      </c>
      <c r="D336" s="3" t="s">
        <v>14</v>
      </c>
      <c r="E336" s="4">
        <v>42875</v>
      </c>
      <c r="F336" s="4"/>
      <c r="G336" s="3" t="s">
        <v>29</v>
      </c>
      <c r="H336" s="5">
        <v>15747</v>
      </c>
      <c r="I336" s="3" t="str">
        <f>VLOOKUP(Tabela1[[#This Row],[Advogado]],Tabela2[],2,FALSE)</f>
        <v>Renê Amaranto</v>
      </c>
      <c r="J336" s="17">
        <f>IF(Tabela1[[#This Row],[Data de conclusão]]="",NETWORKDAYS(Tabela1[[#This Row],[Data de entrada]],$J$2),NETWORKDAYS(Tabela1[[#This Row],[Data de entrada]],Tabela1[[#This Row],[Data de conclusão]]))</f>
        <v>257</v>
      </c>
      <c r="K336" s="1"/>
    </row>
    <row r="337" spans="2:11" x14ac:dyDescent="0.25">
      <c r="B337" s="3">
        <v>444</v>
      </c>
      <c r="C337" s="3" t="s">
        <v>7</v>
      </c>
      <c r="D337" s="3" t="s">
        <v>15</v>
      </c>
      <c r="E337" s="4">
        <v>42742</v>
      </c>
      <c r="F337" s="4"/>
      <c r="G337" s="3" t="s">
        <v>29</v>
      </c>
      <c r="H337" s="5">
        <v>31497</v>
      </c>
      <c r="I337" s="3" t="str">
        <f>VLOOKUP(Tabela1[[#This Row],[Advogado]],Tabela2[],2,FALSE)</f>
        <v>Renê Amaranto</v>
      </c>
      <c r="J337" s="17">
        <f>IF(Tabela1[[#This Row],[Data de conclusão]]="",NETWORKDAYS(Tabela1[[#This Row],[Data de entrada]],$J$2),NETWORKDAYS(Tabela1[[#This Row],[Data de entrada]],Tabela1[[#This Row],[Data de conclusão]]))</f>
        <v>352</v>
      </c>
      <c r="K337" s="1"/>
    </row>
    <row r="338" spans="2:11" x14ac:dyDescent="0.25">
      <c r="B338" s="3">
        <v>445</v>
      </c>
      <c r="C338" s="3" t="s">
        <v>8</v>
      </c>
      <c r="D338" s="3" t="s">
        <v>16</v>
      </c>
      <c r="E338" s="4">
        <v>42889</v>
      </c>
      <c r="F338" s="4"/>
      <c r="G338" s="3" t="s">
        <v>29</v>
      </c>
      <c r="H338" s="5">
        <v>54504</v>
      </c>
      <c r="I338" s="3" t="str">
        <f>VLOOKUP(Tabela1[[#This Row],[Advogado]],Tabela2[],2,FALSE)</f>
        <v>Renê Amaranto</v>
      </c>
      <c r="J338" s="17">
        <f>IF(Tabela1[[#This Row],[Data de conclusão]]="",NETWORKDAYS(Tabela1[[#This Row],[Data de entrada]],$J$2),NETWORKDAYS(Tabela1[[#This Row],[Data de entrada]],Tabela1[[#This Row],[Data de conclusão]]))</f>
        <v>247</v>
      </c>
      <c r="K338" s="1"/>
    </row>
    <row r="339" spans="2:11" x14ac:dyDescent="0.25">
      <c r="B339" s="3">
        <v>446</v>
      </c>
      <c r="C339" s="3" t="s">
        <v>9</v>
      </c>
      <c r="D339" s="3" t="s">
        <v>17</v>
      </c>
      <c r="E339" s="4">
        <v>43044</v>
      </c>
      <c r="F339" s="4"/>
      <c r="G339" s="3" t="s">
        <v>29</v>
      </c>
      <c r="H339" s="5">
        <v>14398</v>
      </c>
      <c r="I339" s="3" t="str">
        <f>VLOOKUP(Tabela1[[#This Row],[Advogado]],Tabela2[],2,FALSE)</f>
        <v>Renê Amaranto</v>
      </c>
      <c r="J339" s="17">
        <f>IF(Tabela1[[#This Row],[Data de conclusão]]="",NETWORKDAYS(Tabela1[[#This Row],[Data de entrada]],$J$2),NETWORKDAYS(Tabela1[[#This Row],[Data de entrada]],Tabela1[[#This Row],[Data de conclusão]]))</f>
        <v>137</v>
      </c>
      <c r="K339" s="1"/>
    </row>
    <row r="340" spans="2:11" x14ac:dyDescent="0.25">
      <c r="B340" s="3">
        <v>447</v>
      </c>
      <c r="C340" s="3" t="s">
        <v>7</v>
      </c>
      <c r="D340" s="3" t="s">
        <v>10</v>
      </c>
      <c r="E340" s="4">
        <v>42491</v>
      </c>
      <c r="F340" s="4">
        <v>42595</v>
      </c>
      <c r="G340" s="3" t="s">
        <v>28</v>
      </c>
      <c r="H340" s="5">
        <v>56702</v>
      </c>
      <c r="I340" s="3" t="str">
        <f>VLOOKUP(Tabela1[[#This Row],[Advogado]],Tabela2[],2,FALSE)</f>
        <v>Caio Brito</v>
      </c>
      <c r="J340" s="17">
        <f>IF(Tabela1[[#This Row],[Data de conclusão]]="",NETWORKDAYS(Tabela1[[#This Row],[Data de entrada]],$J$2),NETWORKDAYS(Tabela1[[#This Row],[Data de entrada]],Tabela1[[#This Row],[Data de conclusão]]))</f>
        <v>75</v>
      </c>
      <c r="K340" s="1"/>
    </row>
    <row r="341" spans="2:11" x14ac:dyDescent="0.25">
      <c r="B341" s="3">
        <v>448</v>
      </c>
      <c r="C341" s="3" t="s">
        <v>8</v>
      </c>
      <c r="D341" s="3" t="s">
        <v>11</v>
      </c>
      <c r="E341" s="4">
        <v>42491</v>
      </c>
      <c r="F341" s="4"/>
      <c r="G341" s="3" t="s">
        <v>27</v>
      </c>
      <c r="H341" s="5">
        <v>9686</v>
      </c>
      <c r="I341" s="3" t="str">
        <f>VLOOKUP(Tabela1[[#This Row],[Advogado]],Tabela2[],2,FALSE)</f>
        <v>Caio Brito</v>
      </c>
      <c r="J341" s="17">
        <f>IF(Tabela1[[#This Row],[Data de conclusão]]="",NETWORKDAYS(Tabela1[[#This Row],[Data de entrada]],$J$2),NETWORKDAYS(Tabela1[[#This Row],[Data de entrada]],Tabela1[[#This Row],[Data de conclusão]]))</f>
        <v>532</v>
      </c>
      <c r="K341" s="1"/>
    </row>
    <row r="342" spans="2:11" x14ac:dyDescent="0.25">
      <c r="B342" s="3">
        <v>449</v>
      </c>
      <c r="C342" s="3" t="s">
        <v>9</v>
      </c>
      <c r="D342" s="3" t="s">
        <v>12</v>
      </c>
      <c r="E342" s="4">
        <v>42825</v>
      </c>
      <c r="F342" s="4"/>
      <c r="G342" s="3" t="s">
        <v>29</v>
      </c>
      <c r="H342" s="5">
        <v>20720</v>
      </c>
      <c r="I342" s="3" t="str">
        <f>VLOOKUP(Tabela1[[#This Row],[Advogado]],Tabela2[],2,FALSE)</f>
        <v>Caio Brito</v>
      </c>
      <c r="J342" s="17">
        <f>IF(Tabela1[[#This Row],[Data de conclusão]]="",NETWORKDAYS(Tabela1[[#This Row],[Data de entrada]],$J$2),NETWORKDAYS(Tabela1[[#This Row],[Data de entrada]],Tabela1[[#This Row],[Data de conclusão]]))</f>
        <v>293</v>
      </c>
      <c r="K342" s="1"/>
    </row>
    <row r="343" spans="2:11" x14ac:dyDescent="0.25">
      <c r="B343" s="3">
        <v>450</v>
      </c>
      <c r="C343" s="3" t="s">
        <v>7</v>
      </c>
      <c r="D343" s="3" t="s">
        <v>13</v>
      </c>
      <c r="E343" s="4">
        <v>43037</v>
      </c>
      <c r="F343" s="4"/>
      <c r="G343" s="3" t="s">
        <v>29</v>
      </c>
      <c r="H343" s="5">
        <v>38854</v>
      </c>
      <c r="I343" s="3" t="str">
        <f>VLOOKUP(Tabela1[[#This Row],[Advogado]],Tabela2[],2,FALSE)</f>
        <v>Caio Brito</v>
      </c>
      <c r="J343" s="17">
        <f>IF(Tabela1[[#This Row],[Data de conclusão]]="",NETWORKDAYS(Tabela1[[#This Row],[Data de entrada]],$J$2),NETWORKDAYS(Tabela1[[#This Row],[Data de entrada]],Tabela1[[#This Row],[Data de conclusão]]))</f>
        <v>142</v>
      </c>
      <c r="K343" s="1"/>
    </row>
    <row r="344" spans="2:11" x14ac:dyDescent="0.25">
      <c r="B344" s="3">
        <v>451</v>
      </c>
      <c r="C344" s="3" t="s">
        <v>8</v>
      </c>
      <c r="D344" s="3" t="s">
        <v>14</v>
      </c>
      <c r="E344" s="4">
        <v>42886</v>
      </c>
      <c r="F344" s="4"/>
      <c r="G344" s="3" t="s">
        <v>29</v>
      </c>
      <c r="H344" s="5">
        <v>22120</v>
      </c>
      <c r="I344" s="3" t="str">
        <f>VLOOKUP(Tabela1[[#This Row],[Advogado]],Tabela2[],2,FALSE)</f>
        <v>Renê Amaranto</v>
      </c>
      <c r="J344" s="17">
        <f>IF(Tabela1[[#This Row],[Data de conclusão]]="",NETWORKDAYS(Tabela1[[#This Row],[Data de entrada]],$J$2),NETWORKDAYS(Tabela1[[#This Row],[Data de entrada]],Tabela1[[#This Row],[Data de conclusão]]))</f>
        <v>250</v>
      </c>
      <c r="K344" s="1"/>
    </row>
    <row r="345" spans="2:11" x14ac:dyDescent="0.25">
      <c r="B345" s="3">
        <v>452</v>
      </c>
      <c r="C345" s="3" t="s">
        <v>9</v>
      </c>
      <c r="D345" s="3" t="s">
        <v>15</v>
      </c>
      <c r="E345" s="4">
        <v>42505</v>
      </c>
      <c r="F345" s="4"/>
      <c r="G345" s="3" t="s">
        <v>29</v>
      </c>
      <c r="H345" s="5">
        <v>35982</v>
      </c>
      <c r="I345" s="3" t="str">
        <f>VLOOKUP(Tabela1[[#This Row],[Advogado]],Tabela2[],2,FALSE)</f>
        <v>Renê Amaranto</v>
      </c>
      <c r="J345" s="17">
        <f>IF(Tabela1[[#This Row],[Data de conclusão]]="",NETWORKDAYS(Tabela1[[#This Row],[Data de entrada]],$J$2),NETWORKDAYS(Tabela1[[#This Row],[Data de entrada]],Tabela1[[#This Row],[Data de conclusão]]))</f>
        <v>522</v>
      </c>
      <c r="K345" s="1"/>
    </row>
    <row r="346" spans="2:11" x14ac:dyDescent="0.25">
      <c r="B346" s="3">
        <v>453</v>
      </c>
      <c r="C346" s="3" t="s">
        <v>7</v>
      </c>
      <c r="D346" s="3" t="s">
        <v>16</v>
      </c>
      <c r="E346" s="4">
        <v>42973</v>
      </c>
      <c r="F346" s="4"/>
      <c r="G346" s="3" t="s">
        <v>29</v>
      </c>
      <c r="H346" s="5">
        <v>9148</v>
      </c>
      <c r="I346" s="3" t="str">
        <f>VLOOKUP(Tabela1[[#This Row],[Advogado]],Tabela2[],2,FALSE)</f>
        <v>Renê Amaranto</v>
      </c>
      <c r="J346" s="17">
        <f>IF(Tabela1[[#This Row],[Data de conclusão]]="",NETWORKDAYS(Tabela1[[#This Row],[Data de entrada]],$J$2),NETWORKDAYS(Tabela1[[#This Row],[Data de entrada]],Tabela1[[#This Row],[Data de conclusão]]))</f>
        <v>187</v>
      </c>
      <c r="K346" s="1"/>
    </row>
    <row r="347" spans="2:11" x14ac:dyDescent="0.25">
      <c r="B347" s="3">
        <v>454</v>
      </c>
      <c r="C347" s="3" t="s">
        <v>8</v>
      </c>
      <c r="D347" s="3" t="s">
        <v>17</v>
      </c>
      <c r="E347" s="4">
        <v>42827</v>
      </c>
      <c r="F347" s="4"/>
      <c r="G347" s="3" t="s">
        <v>29</v>
      </c>
      <c r="H347" s="5">
        <v>31719</v>
      </c>
      <c r="I347" s="3" t="str">
        <f>VLOOKUP(Tabela1[[#This Row],[Advogado]],Tabela2[],2,FALSE)</f>
        <v>Renê Amaranto</v>
      </c>
      <c r="J347" s="17">
        <f>IF(Tabela1[[#This Row],[Data de conclusão]]="",NETWORKDAYS(Tabela1[[#This Row],[Data de entrada]],$J$2),NETWORKDAYS(Tabela1[[#This Row],[Data de entrada]],Tabela1[[#This Row],[Data de conclusão]]))</f>
        <v>292</v>
      </c>
      <c r="K347" s="1"/>
    </row>
    <row r="348" spans="2:11" x14ac:dyDescent="0.25">
      <c r="B348" s="3">
        <v>455</v>
      </c>
      <c r="C348" s="3" t="s">
        <v>9</v>
      </c>
      <c r="D348" s="3" t="s">
        <v>10</v>
      </c>
      <c r="E348" s="4">
        <v>43092</v>
      </c>
      <c r="F348" s="4"/>
      <c r="G348" s="3" t="s">
        <v>29</v>
      </c>
      <c r="H348" s="5">
        <v>47910</v>
      </c>
      <c r="I348" s="3" t="str">
        <f>VLOOKUP(Tabela1[[#This Row],[Advogado]],Tabela2[],2,FALSE)</f>
        <v>Caio Brito</v>
      </c>
      <c r="J348" s="17">
        <f>IF(Tabela1[[#This Row],[Data de conclusão]]="",NETWORKDAYS(Tabela1[[#This Row],[Data de entrada]],$J$2),NETWORKDAYS(Tabela1[[#This Row],[Data de entrada]],Tabela1[[#This Row],[Data de conclusão]]))</f>
        <v>102</v>
      </c>
      <c r="K348" s="1"/>
    </row>
    <row r="349" spans="2:11" x14ac:dyDescent="0.25">
      <c r="B349" s="3">
        <v>456</v>
      </c>
      <c r="C349" s="3" t="s">
        <v>7</v>
      </c>
      <c r="D349" s="3" t="s">
        <v>11</v>
      </c>
      <c r="E349" s="4">
        <v>42824</v>
      </c>
      <c r="F349" s="4"/>
      <c r="G349" s="3" t="s">
        <v>29</v>
      </c>
      <c r="H349" s="5">
        <v>6063</v>
      </c>
      <c r="I349" s="3" t="str">
        <f>VLOOKUP(Tabela1[[#This Row],[Advogado]],Tabela2[],2,FALSE)</f>
        <v>Caio Brito</v>
      </c>
      <c r="J349" s="17">
        <f>IF(Tabela1[[#This Row],[Data de conclusão]]="",NETWORKDAYS(Tabela1[[#This Row],[Data de entrada]],$J$2),NETWORKDAYS(Tabela1[[#This Row],[Data de entrada]],Tabela1[[#This Row],[Data de conclusão]]))</f>
        <v>294</v>
      </c>
      <c r="K349" s="1"/>
    </row>
    <row r="350" spans="2:11" x14ac:dyDescent="0.25">
      <c r="B350" s="3">
        <v>457</v>
      </c>
      <c r="C350" s="3" t="s">
        <v>8</v>
      </c>
      <c r="D350" s="3" t="s">
        <v>12</v>
      </c>
      <c r="E350" s="4">
        <v>42810</v>
      </c>
      <c r="F350" s="4"/>
      <c r="G350" s="3" t="s">
        <v>29</v>
      </c>
      <c r="H350" s="5">
        <v>48832</v>
      </c>
      <c r="I350" s="3" t="str">
        <f>VLOOKUP(Tabela1[[#This Row],[Advogado]],Tabela2[],2,FALSE)</f>
        <v>Caio Brito</v>
      </c>
      <c r="J350" s="17">
        <f>IF(Tabela1[[#This Row],[Data de conclusão]]="",NETWORKDAYS(Tabela1[[#This Row],[Data de entrada]],$J$2),NETWORKDAYS(Tabela1[[#This Row],[Data de entrada]],Tabela1[[#This Row],[Data de conclusão]]))</f>
        <v>304</v>
      </c>
      <c r="K350" s="1"/>
    </row>
    <row r="351" spans="2:11" x14ac:dyDescent="0.25">
      <c r="B351" s="3">
        <v>458</v>
      </c>
      <c r="C351" s="3" t="s">
        <v>9</v>
      </c>
      <c r="D351" s="3" t="s">
        <v>13</v>
      </c>
      <c r="E351" s="4">
        <v>42601</v>
      </c>
      <c r="F351" s="4"/>
      <c r="G351" s="3" t="s">
        <v>29</v>
      </c>
      <c r="H351" s="5">
        <v>20636</v>
      </c>
      <c r="I351" s="3" t="str">
        <f>VLOOKUP(Tabela1[[#This Row],[Advogado]],Tabela2[],2,FALSE)</f>
        <v>Caio Brito</v>
      </c>
      <c r="J351" s="17">
        <f>IF(Tabela1[[#This Row],[Data de conclusão]]="",NETWORKDAYS(Tabela1[[#This Row],[Data de entrada]],$J$2),NETWORKDAYS(Tabela1[[#This Row],[Data de entrada]],Tabela1[[#This Row],[Data de conclusão]]))</f>
        <v>453</v>
      </c>
      <c r="K351" s="1"/>
    </row>
    <row r="352" spans="2:11" x14ac:dyDescent="0.25">
      <c r="B352" s="3">
        <v>459</v>
      </c>
      <c r="C352" s="3" t="s">
        <v>7</v>
      </c>
      <c r="D352" s="3" t="s">
        <v>14</v>
      </c>
      <c r="E352" s="4">
        <v>42727</v>
      </c>
      <c r="F352" s="4"/>
      <c r="G352" s="3" t="s">
        <v>29</v>
      </c>
      <c r="H352" s="5">
        <v>7644</v>
      </c>
      <c r="I352" s="3" t="str">
        <f>VLOOKUP(Tabela1[[#This Row],[Advogado]],Tabela2[],2,FALSE)</f>
        <v>Renê Amaranto</v>
      </c>
      <c r="J352" s="17">
        <f>IF(Tabela1[[#This Row],[Data de conclusão]]="",NETWORKDAYS(Tabela1[[#This Row],[Data de entrada]],$J$2),NETWORKDAYS(Tabela1[[#This Row],[Data de entrada]],Tabela1[[#This Row],[Data de conclusão]]))</f>
        <v>363</v>
      </c>
      <c r="K352" s="1"/>
    </row>
    <row r="353" spans="2:11" x14ac:dyDescent="0.25">
      <c r="B353" s="3">
        <v>460</v>
      </c>
      <c r="C353" s="3" t="s">
        <v>8</v>
      </c>
      <c r="D353" s="3" t="s">
        <v>15</v>
      </c>
      <c r="E353" s="4">
        <v>42442</v>
      </c>
      <c r="F353" s="4">
        <v>42531</v>
      </c>
      <c r="G353" s="3" t="s">
        <v>28</v>
      </c>
      <c r="H353" s="5">
        <v>42644</v>
      </c>
      <c r="I353" s="3" t="str">
        <f>VLOOKUP(Tabela1[[#This Row],[Advogado]],Tabela2[],2,FALSE)</f>
        <v>Renê Amaranto</v>
      </c>
      <c r="J353" s="17">
        <f>IF(Tabela1[[#This Row],[Data de conclusão]]="",NETWORKDAYS(Tabela1[[#This Row],[Data de entrada]],$J$2),NETWORKDAYS(Tabela1[[#This Row],[Data de entrada]],Tabela1[[#This Row],[Data de conclusão]]))</f>
        <v>65</v>
      </c>
      <c r="K353" s="1"/>
    </row>
    <row r="354" spans="2:11" x14ac:dyDescent="0.25">
      <c r="B354" s="3">
        <v>461</v>
      </c>
      <c r="C354" s="3" t="s">
        <v>9</v>
      </c>
      <c r="D354" s="3" t="s">
        <v>16</v>
      </c>
      <c r="E354" s="4">
        <v>42654</v>
      </c>
      <c r="F354" s="4"/>
      <c r="G354" s="3" t="s">
        <v>27</v>
      </c>
      <c r="H354" s="5">
        <v>49098</v>
      </c>
      <c r="I354" s="3" t="str">
        <f>VLOOKUP(Tabela1[[#This Row],[Advogado]],Tabela2[],2,FALSE)</f>
        <v>Renê Amaranto</v>
      </c>
      <c r="J354" s="17">
        <f>IF(Tabela1[[#This Row],[Data de conclusão]]="",NETWORKDAYS(Tabela1[[#This Row],[Data de entrada]],$J$2),NETWORKDAYS(Tabela1[[#This Row],[Data de entrada]],Tabela1[[#This Row],[Data de conclusão]]))</f>
        <v>416</v>
      </c>
      <c r="K354" s="1"/>
    </row>
    <row r="355" spans="2:11" x14ac:dyDescent="0.25">
      <c r="B355" s="3">
        <v>462</v>
      </c>
      <c r="C355" s="3" t="s">
        <v>7</v>
      </c>
      <c r="D355" s="3" t="s">
        <v>17</v>
      </c>
      <c r="E355" s="4">
        <v>42663</v>
      </c>
      <c r="F355" s="4"/>
      <c r="G355" s="3" t="s">
        <v>29</v>
      </c>
      <c r="H355" s="5">
        <v>1531</v>
      </c>
      <c r="I355" s="3" t="str">
        <f>VLOOKUP(Tabela1[[#This Row],[Advogado]],Tabela2[],2,FALSE)</f>
        <v>Renê Amaranto</v>
      </c>
      <c r="J355" s="17">
        <f>IF(Tabela1[[#This Row],[Data de conclusão]]="",NETWORKDAYS(Tabela1[[#This Row],[Data de entrada]],$J$2),NETWORKDAYS(Tabela1[[#This Row],[Data de entrada]],Tabela1[[#This Row],[Data de conclusão]]))</f>
        <v>409</v>
      </c>
      <c r="K355" s="1"/>
    </row>
    <row r="356" spans="2:11" x14ac:dyDescent="0.25">
      <c r="B356" s="3">
        <v>463</v>
      </c>
      <c r="C356" s="3" t="s">
        <v>8</v>
      </c>
      <c r="D356" s="3" t="s">
        <v>10</v>
      </c>
      <c r="E356" s="4">
        <v>43032</v>
      </c>
      <c r="F356" s="4"/>
      <c r="G356" s="3" t="s">
        <v>29</v>
      </c>
      <c r="H356" s="5">
        <v>43570</v>
      </c>
      <c r="I356" s="3" t="str">
        <f>VLOOKUP(Tabela1[[#This Row],[Advogado]],Tabela2[],2,FALSE)</f>
        <v>Caio Brito</v>
      </c>
      <c r="J356" s="17">
        <f>IF(Tabela1[[#This Row],[Data de conclusão]]="",NETWORKDAYS(Tabela1[[#This Row],[Data de entrada]],$J$2),NETWORKDAYS(Tabela1[[#This Row],[Data de entrada]],Tabela1[[#This Row],[Data de conclusão]]))</f>
        <v>146</v>
      </c>
      <c r="K356" s="1"/>
    </row>
    <row r="357" spans="2:11" x14ac:dyDescent="0.25">
      <c r="B357" s="3">
        <v>464</v>
      </c>
      <c r="C357" s="3" t="s">
        <v>9</v>
      </c>
      <c r="D357" s="3" t="s">
        <v>11</v>
      </c>
      <c r="E357" s="4">
        <v>43061</v>
      </c>
      <c r="F357" s="4"/>
      <c r="G357" s="3" t="s">
        <v>29</v>
      </c>
      <c r="H357" s="5">
        <v>41210</v>
      </c>
      <c r="I357" s="3" t="str">
        <f>VLOOKUP(Tabela1[[#This Row],[Advogado]],Tabela2[],2,FALSE)</f>
        <v>Caio Brito</v>
      </c>
      <c r="J357" s="17">
        <f>IF(Tabela1[[#This Row],[Data de conclusão]]="",NETWORKDAYS(Tabela1[[#This Row],[Data de entrada]],$J$2),NETWORKDAYS(Tabela1[[#This Row],[Data de entrada]],Tabela1[[#This Row],[Data de conclusão]]))</f>
        <v>125</v>
      </c>
      <c r="K357" s="1"/>
    </row>
    <row r="358" spans="2:11" x14ac:dyDescent="0.25">
      <c r="B358" s="3">
        <v>465</v>
      </c>
      <c r="C358" s="3" t="s">
        <v>7</v>
      </c>
      <c r="D358" s="3" t="s">
        <v>12</v>
      </c>
      <c r="E358" s="4">
        <v>42597</v>
      </c>
      <c r="F358" s="4"/>
      <c r="G358" s="3" t="s">
        <v>29</v>
      </c>
      <c r="H358" s="5">
        <v>9416</v>
      </c>
      <c r="I358" s="3" t="str">
        <f>VLOOKUP(Tabela1[[#This Row],[Advogado]],Tabela2[],2,FALSE)</f>
        <v>Caio Brito</v>
      </c>
      <c r="J358" s="17">
        <f>IF(Tabela1[[#This Row],[Data de conclusão]]="",NETWORKDAYS(Tabela1[[#This Row],[Data de entrada]],$J$2),NETWORKDAYS(Tabela1[[#This Row],[Data de entrada]],Tabela1[[#This Row],[Data de conclusão]]))</f>
        <v>457</v>
      </c>
      <c r="K358" s="1"/>
    </row>
    <row r="359" spans="2:11" x14ac:dyDescent="0.25">
      <c r="B359" s="3">
        <v>466</v>
      </c>
      <c r="C359" s="3" t="s">
        <v>8</v>
      </c>
      <c r="D359" s="3" t="s">
        <v>13</v>
      </c>
      <c r="E359" s="4">
        <v>42703</v>
      </c>
      <c r="F359" s="4"/>
      <c r="G359" s="3" t="s">
        <v>29</v>
      </c>
      <c r="H359" s="5">
        <v>40654</v>
      </c>
      <c r="I359" s="3" t="str">
        <f>VLOOKUP(Tabela1[[#This Row],[Advogado]],Tabela2[],2,FALSE)</f>
        <v>Caio Brito</v>
      </c>
      <c r="J359" s="17">
        <f>IF(Tabela1[[#This Row],[Data de conclusão]]="",NETWORKDAYS(Tabela1[[#This Row],[Data de entrada]],$J$2),NETWORKDAYS(Tabela1[[#This Row],[Data de entrada]],Tabela1[[#This Row],[Data de conclusão]]))</f>
        <v>381</v>
      </c>
      <c r="K359" s="1"/>
    </row>
    <row r="360" spans="2:11" x14ac:dyDescent="0.25">
      <c r="B360" s="3">
        <v>467</v>
      </c>
      <c r="C360" s="3" t="s">
        <v>9</v>
      </c>
      <c r="D360" s="3" t="s">
        <v>14</v>
      </c>
      <c r="E360" s="4">
        <v>42893</v>
      </c>
      <c r="F360" s="4"/>
      <c r="G360" s="3" t="s">
        <v>29</v>
      </c>
      <c r="H360" s="5">
        <v>35667</v>
      </c>
      <c r="I360" s="3" t="str">
        <f>VLOOKUP(Tabela1[[#This Row],[Advogado]],Tabela2[],2,FALSE)</f>
        <v>Renê Amaranto</v>
      </c>
      <c r="J360" s="17">
        <f>IF(Tabela1[[#This Row],[Data de conclusão]]="",NETWORKDAYS(Tabela1[[#This Row],[Data de entrada]],$J$2),NETWORKDAYS(Tabela1[[#This Row],[Data de entrada]],Tabela1[[#This Row],[Data de conclusão]]))</f>
        <v>245</v>
      </c>
      <c r="K360" s="1"/>
    </row>
    <row r="361" spans="2:11" x14ac:dyDescent="0.25">
      <c r="B361" s="3">
        <v>468</v>
      </c>
      <c r="C361" s="3" t="s">
        <v>7</v>
      </c>
      <c r="D361" s="3" t="s">
        <v>15</v>
      </c>
      <c r="E361" s="4">
        <v>42786</v>
      </c>
      <c r="F361" s="4"/>
      <c r="G361" s="3" t="s">
        <v>29</v>
      </c>
      <c r="H361" s="5">
        <v>25917</v>
      </c>
      <c r="I361" s="3" t="str">
        <f>VLOOKUP(Tabela1[[#This Row],[Advogado]],Tabela2[],2,FALSE)</f>
        <v>Renê Amaranto</v>
      </c>
      <c r="J361" s="17">
        <f>IF(Tabela1[[#This Row],[Data de conclusão]]="",NETWORKDAYS(Tabela1[[#This Row],[Data de entrada]],$J$2),NETWORKDAYS(Tabela1[[#This Row],[Data de entrada]],Tabela1[[#This Row],[Data de conclusão]]))</f>
        <v>322</v>
      </c>
      <c r="K361" s="1"/>
    </row>
    <row r="362" spans="2:11" x14ac:dyDescent="0.25">
      <c r="B362" s="3">
        <v>469</v>
      </c>
      <c r="C362" s="3" t="s">
        <v>8</v>
      </c>
      <c r="D362" s="3" t="s">
        <v>16</v>
      </c>
      <c r="E362" s="4">
        <v>42693</v>
      </c>
      <c r="F362" s="4"/>
      <c r="G362" s="3" t="s">
        <v>29</v>
      </c>
      <c r="H362" s="5">
        <v>12439</v>
      </c>
      <c r="I362" s="3" t="str">
        <f>VLOOKUP(Tabela1[[#This Row],[Advogado]],Tabela2[],2,FALSE)</f>
        <v>Renê Amaranto</v>
      </c>
      <c r="J362" s="17">
        <f>IF(Tabela1[[#This Row],[Data de conclusão]]="",NETWORKDAYS(Tabela1[[#This Row],[Data de entrada]],$J$2),NETWORKDAYS(Tabela1[[#This Row],[Data de entrada]],Tabela1[[#This Row],[Data de conclusão]]))</f>
        <v>387</v>
      </c>
      <c r="K362" s="1"/>
    </row>
    <row r="363" spans="2:11" x14ac:dyDescent="0.25">
      <c r="B363" s="3">
        <v>470</v>
      </c>
      <c r="C363" s="3" t="s">
        <v>9</v>
      </c>
      <c r="D363" s="3" t="s">
        <v>17</v>
      </c>
      <c r="E363" s="4">
        <v>42768</v>
      </c>
      <c r="F363" s="4"/>
      <c r="G363" s="3" t="s">
        <v>29</v>
      </c>
      <c r="H363" s="5">
        <v>28596</v>
      </c>
      <c r="I363" s="3" t="str">
        <f>VLOOKUP(Tabela1[[#This Row],[Advogado]],Tabela2[],2,FALSE)</f>
        <v>Renê Amaranto</v>
      </c>
      <c r="J363" s="17">
        <f>IF(Tabela1[[#This Row],[Data de conclusão]]="",NETWORKDAYS(Tabela1[[#This Row],[Data de entrada]],$J$2),NETWORKDAYS(Tabela1[[#This Row],[Data de entrada]],Tabela1[[#This Row],[Data de conclusão]]))</f>
        <v>334</v>
      </c>
      <c r="K363" s="1"/>
    </row>
    <row r="364" spans="2:11" x14ac:dyDescent="0.25">
      <c r="B364" s="3">
        <v>471</v>
      </c>
      <c r="C364" s="3" t="s">
        <v>7</v>
      </c>
      <c r="D364" s="3" t="s">
        <v>10</v>
      </c>
      <c r="E364" s="4">
        <v>42904</v>
      </c>
      <c r="F364" s="4"/>
      <c r="G364" s="3" t="s">
        <v>29</v>
      </c>
      <c r="H364" s="5">
        <v>22747</v>
      </c>
      <c r="I364" s="3" t="str">
        <f>VLOOKUP(Tabela1[[#This Row],[Advogado]],Tabela2[],2,FALSE)</f>
        <v>Caio Brito</v>
      </c>
      <c r="J364" s="17">
        <f>IF(Tabela1[[#This Row],[Data de conclusão]]="",NETWORKDAYS(Tabela1[[#This Row],[Data de entrada]],$J$2),NETWORKDAYS(Tabela1[[#This Row],[Data de entrada]],Tabela1[[#This Row],[Data de conclusão]]))</f>
        <v>237</v>
      </c>
      <c r="K364" s="1"/>
    </row>
    <row r="365" spans="2:11" x14ac:dyDescent="0.25">
      <c r="B365" s="3">
        <v>472</v>
      </c>
      <c r="C365" s="3" t="s">
        <v>8</v>
      </c>
      <c r="D365" s="3" t="s">
        <v>11</v>
      </c>
      <c r="E365" s="4">
        <v>42577</v>
      </c>
      <c r="F365" s="4"/>
      <c r="G365" s="3" t="s">
        <v>29</v>
      </c>
      <c r="H365" s="5">
        <v>13013</v>
      </c>
      <c r="I365" s="3" t="str">
        <f>VLOOKUP(Tabela1[[#This Row],[Advogado]],Tabela2[],2,FALSE)</f>
        <v>Caio Brito</v>
      </c>
      <c r="J365" s="17">
        <f>IF(Tabela1[[#This Row],[Data de conclusão]]="",NETWORKDAYS(Tabela1[[#This Row],[Data de entrada]],$J$2),NETWORKDAYS(Tabela1[[#This Row],[Data de entrada]],Tabela1[[#This Row],[Data de conclusão]]))</f>
        <v>471</v>
      </c>
      <c r="K365" s="1"/>
    </row>
    <row r="366" spans="2:11" x14ac:dyDescent="0.25">
      <c r="B366" s="3">
        <v>473</v>
      </c>
      <c r="C366" s="3" t="s">
        <v>9</v>
      </c>
      <c r="D366" s="3" t="s">
        <v>12</v>
      </c>
      <c r="E366" s="4">
        <v>43078</v>
      </c>
      <c r="F366" s="4">
        <v>43201</v>
      </c>
      <c r="G366" s="3" t="s">
        <v>28</v>
      </c>
      <c r="H366" s="5">
        <v>51053</v>
      </c>
      <c r="I366" s="3" t="str">
        <f>VLOOKUP(Tabela1[[#This Row],[Advogado]],Tabela2[],2,FALSE)</f>
        <v>Caio Brito</v>
      </c>
      <c r="J366" s="17">
        <f>IF(Tabela1[[#This Row],[Data de conclusão]]="",NETWORKDAYS(Tabela1[[#This Row],[Data de entrada]],$J$2),NETWORKDAYS(Tabela1[[#This Row],[Data de entrada]],Tabela1[[#This Row],[Data de conclusão]]))</f>
        <v>88</v>
      </c>
      <c r="K366" s="1"/>
    </row>
    <row r="367" spans="2:11" x14ac:dyDescent="0.25">
      <c r="B367" s="3">
        <v>474</v>
      </c>
      <c r="C367" s="3" t="s">
        <v>7</v>
      </c>
      <c r="D367" s="3" t="s">
        <v>13</v>
      </c>
      <c r="E367" s="4">
        <v>42639</v>
      </c>
      <c r="F367" s="4"/>
      <c r="G367" s="3" t="s">
        <v>27</v>
      </c>
      <c r="H367" s="5">
        <v>30891</v>
      </c>
      <c r="I367" s="3" t="str">
        <f>VLOOKUP(Tabela1[[#This Row],[Advogado]],Tabela2[],2,FALSE)</f>
        <v>Caio Brito</v>
      </c>
      <c r="J367" s="17">
        <f>IF(Tabela1[[#This Row],[Data de conclusão]]="",NETWORKDAYS(Tabela1[[#This Row],[Data de entrada]],$J$2),NETWORKDAYS(Tabela1[[#This Row],[Data de entrada]],Tabela1[[#This Row],[Data de conclusão]]))</f>
        <v>427</v>
      </c>
      <c r="K367" s="1"/>
    </row>
    <row r="368" spans="2:11" x14ac:dyDescent="0.25">
      <c r="B368" s="3">
        <v>475</v>
      </c>
      <c r="C368" s="3" t="s">
        <v>8</v>
      </c>
      <c r="D368" s="3" t="s">
        <v>14</v>
      </c>
      <c r="E368" s="4">
        <v>42514</v>
      </c>
      <c r="F368" s="4"/>
      <c r="G368" s="3" t="s">
        <v>29</v>
      </c>
      <c r="H368" s="5">
        <v>21036</v>
      </c>
      <c r="I368" s="3" t="str">
        <f>VLOOKUP(Tabela1[[#This Row],[Advogado]],Tabela2[],2,FALSE)</f>
        <v>Renê Amaranto</v>
      </c>
      <c r="J368" s="17">
        <f>IF(Tabela1[[#This Row],[Data de conclusão]]="",NETWORKDAYS(Tabela1[[#This Row],[Data de entrada]],$J$2),NETWORKDAYS(Tabela1[[#This Row],[Data de entrada]],Tabela1[[#This Row],[Data de conclusão]]))</f>
        <v>516</v>
      </c>
      <c r="K368" s="1"/>
    </row>
    <row r="369" spans="2:11" x14ac:dyDescent="0.25">
      <c r="B369" s="3">
        <v>476</v>
      </c>
      <c r="C369" s="3" t="s">
        <v>9</v>
      </c>
      <c r="D369" s="3" t="s">
        <v>15</v>
      </c>
      <c r="E369" s="4">
        <v>42992</v>
      </c>
      <c r="F369" s="4"/>
      <c r="G369" s="3" t="s">
        <v>29</v>
      </c>
      <c r="H369" s="5">
        <v>48138</v>
      </c>
      <c r="I369" s="3" t="str">
        <f>VLOOKUP(Tabela1[[#This Row],[Advogado]],Tabela2[],2,FALSE)</f>
        <v>Renê Amaranto</v>
      </c>
      <c r="J369" s="17">
        <f>IF(Tabela1[[#This Row],[Data de conclusão]]="",NETWORKDAYS(Tabela1[[#This Row],[Data de entrada]],$J$2),NETWORKDAYS(Tabela1[[#This Row],[Data de entrada]],Tabela1[[#This Row],[Data de conclusão]]))</f>
        <v>174</v>
      </c>
      <c r="K369" s="1"/>
    </row>
    <row r="370" spans="2:11" x14ac:dyDescent="0.25">
      <c r="B370" s="3">
        <v>477</v>
      </c>
      <c r="C370" s="3" t="s">
        <v>7</v>
      </c>
      <c r="D370" s="3" t="s">
        <v>16</v>
      </c>
      <c r="E370" s="4">
        <v>43081</v>
      </c>
      <c r="F370" s="4"/>
      <c r="G370" s="3" t="s">
        <v>29</v>
      </c>
      <c r="H370" s="5">
        <v>55639</v>
      </c>
      <c r="I370" s="3" t="str">
        <f>VLOOKUP(Tabela1[[#This Row],[Advogado]],Tabela2[],2,FALSE)</f>
        <v>Renê Amaranto</v>
      </c>
      <c r="J370" s="17">
        <f>IF(Tabela1[[#This Row],[Data de conclusão]]="",NETWORKDAYS(Tabela1[[#This Row],[Data de entrada]],$J$2),NETWORKDAYS(Tabela1[[#This Row],[Data de entrada]],Tabela1[[#This Row],[Data de conclusão]]))</f>
        <v>111</v>
      </c>
      <c r="K370" s="1"/>
    </row>
    <row r="371" spans="2:11" x14ac:dyDescent="0.25">
      <c r="B371" s="3">
        <v>478</v>
      </c>
      <c r="C371" s="3" t="s">
        <v>8</v>
      </c>
      <c r="D371" s="3" t="s">
        <v>17</v>
      </c>
      <c r="E371" s="4">
        <v>42410</v>
      </c>
      <c r="F371" s="4"/>
      <c r="G371" s="3" t="s">
        <v>29</v>
      </c>
      <c r="H371" s="5">
        <v>51868</v>
      </c>
      <c r="I371" s="3" t="str">
        <f>VLOOKUP(Tabela1[[#This Row],[Advogado]],Tabela2[],2,FALSE)</f>
        <v>Renê Amaranto</v>
      </c>
      <c r="J371" s="17">
        <f>IF(Tabela1[[#This Row],[Data de conclusão]]="",NETWORKDAYS(Tabela1[[#This Row],[Data de entrada]],$J$2),NETWORKDAYS(Tabela1[[#This Row],[Data de entrada]],Tabela1[[#This Row],[Data de conclusão]]))</f>
        <v>590</v>
      </c>
      <c r="K371" s="1"/>
    </row>
    <row r="372" spans="2:11" x14ac:dyDescent="0.25">
      <c r="B372" s="3">
        <v>479</v>
      </c>
      <c r="C372" s="3" t="s">
        <v>9</v>
      </c>
      <c r="D372" s="3" t="s">
        <v>10</v>
      </c>
      <c r="E372" s="4">
        <v>43024</v>
      </c>
      <c r="F372" s="4"/>
      <c r="G372" s="3" t="s">
        <v>29</v>
      </c>
      <c r="H372" s="5">
        <v>50018</v>
      </c>
      <c r="I372" s="3" t="str">
        <f>VLOOKUP(Tabela1[[#This Row],[Advogado]],Tabela2[],2,FALSE)</f>
        <v>Caio Brito</v>
      </c>
      <c r="J372" s="17">
        <f>IF(Tabela1[[#This Row],[Data de conclusão]]="",NETWORKDAYS(Tabela1[[#This Row],[Data de entrada]],$J$2),NETWORKDAYS(Tabela1[[#This Row],[Data de entrada]],Tabela1[[#This Row],[Data de conclusão]]))</f>
        <v>152</v>
      </c>
      <c r="K372" s="1"/>
    </row>
    <row r="373" spans="2:11" x14ac:dyDescent="0.25">
      <c r="B373" s="3">
        <v>480</v>
      </c>
      <c r="C373" s="3" t="s">
        <v>7</v>
      </c>
      <c r="D373" s="3" t="s">
        <v>11</v>
      </c>
      <c r="E373" s="4">
        <v>42809</v>
      </c>
      <c r="F373" s="4"/>
      <c r="G373" s="3" t="s">
        <v>29</v>
      </c>
      <c r="H373" s="5">
        <v>20575</v>
      </c>
      <c r="I373" s="3" t="str">
        <f>VLOOKUP(Tabela1[[#This Row],[Advogado]],Tabela2[],2,FALSE)</f>
        <v>Caio Brito</v>
      </c>
      <c r="J373" s="17">
        <f>IF(Tabela1[[#This Row],[Data de conclusão]]="",NETWORKDAYS(Tabela1[[#This Row],[Data de entrada]],$J$2),NETWORKDAYS(Tabela1[[#This Row],[Data de entrada]],Tabela1[[#This Row],[Data de conclusão]]))</f>
        <v>305</v>
      </c>
      <c r="K373" s="1"/>
    </row>
    <row r="374" spans="2:11" x14ac:dyDescent="0.25">
      <c r="B374" s="3">
        <v>481</v>
      </c>
      <c r="C374" s="3" t="s">
        <v>8</v>
      </c>
      <c r="D374" s="3" t="s">
        <v>12</v>
      </c>
      <c r="E374" s="4">
        <v>42630</v>
      </c>
      <c r="F374" s="4"/>
      <c r="G374" s="3" t="s">
        <v>29</v>
      </c>
      <c r="H374" s="5">
        <v>12201</v>
      </c>
      <c r="I374" s="3" t="str">
        <f>VLOOKUP(Tabela1[[#This Row],[Advogado]],Tabela2[],2,FALSE)</f>
        <v>Caio Brito</v>
      </c>
      <c r="J374" s="17">
        <f>IF(Tabela1[[#This Row],[Data de conclusão]]="",NETWORKDAYS(Tabela1[[#This Row],[Data de entrada]],$J$2),NETWORKDAYS(Tabela1[[#This Row],[Data de entrada]],Tabela1[[#This Row],[Data de conclusão]]))</f>
        <v>432</v>
      </c>
      <c r="K374" s="1"/>
    </row>
    <row r="375" spans="2:11" x14ac:dyDescent="0.25">
      <c r="B375" s="3">
        <v>482</v>
      </c>
      <c r="C375" s="3" t="s">
        <v>9</v>
      </c>
      <c r="D375" s="3" t="s">
        <v>13</v>
      </c>
      <c r="E375" s="4">
        <v>42952</v>
      </c>
      <c r="F375" s="4"/>
      <c r="G375" s="3" t="s">
        <v>29</v>
      </c>
      <c r="H375" s="5">
        <v>10373</v>
      </c>
      <c r="I375" s="3" t="str">
        <f>VLOOKUP(Tabela1[[#This Row],[Advogado]],Tabela2[],2,FALSE)</f>
        <v>Caio Brito</v>
      </c>
      <c r="J375" s="17">
        <f>IF(Tabela1[[#This Row],[Data de conclusão]]="",NETWORKDAYS(Tabela1[[#This Row],[Data de entrada]],$J$2),NETWORKDAYS(Tabela1[[#This Row],[Data de entrada]],Tabela1[[#This Row],[Data de conclusão]]))</f>
        <v>202</v>
      </c>
      <c r="K375" s="1"/>
    </row>
    <row r="376" spans="2:11" x14ac:dyDescent="0.25">
      <c r="B376" s="3">
        <v>483</v>
      </c>
      <c r="C376" s="3" t="s">
        <v>7</v>
      </c>
      <c r="D376" s="3" t="s">
        <v>14</v>
      </c>
      <c r="E376" s="4">
        <v>42564</v>
      </c>
      <c r="F376" s="4"/>
      <c r="G376" s="3" t="s">
        <v>29</v>
      </c>
      <c r="H376" s="5">
        <v>42903</v>
      </c>
      <c r="I376" s="3" t="str">
        <f>VLOOKUP(Tabela1[[#This Row],[Advogado]],Tabela2[],2,FALSE)</f>
        <v>Renê Amaranto</v>
      </c>
      <c r="J376" s="17">
        <f>IF(Tabela1[[#This Row],[Data de conclusão]]="",NETWORKDAYS(Tabela1[[#This Row],[Data de entrada]],$J$2),NETWORKDAYS(Tabela1[[#This Row],[Data de entrada]],Tabela1[[#This Row],[Data de conclusão]]))</f>
        <v>480</v>
      </c>
      <c r="K376" s="1"/>
    </row>
    <row r="377" spans="2:11" x14ac:dyDescent="0.25">
      <c r="B377" s="3">
        <v>484</v>
      </c>
      <c r="C377" s="3" t="s">
        <v>8</v>
      </c>
      <c r="D377" s="3" t="s">
        <v>15</v>
      </c>
      <c r="E377" s="4">
        <v>42703</v>
      </c>
      <c r="F377" s="4"/>
      <c r="G377" s="3" t="s">
        <v>29</v>
      </c>
      <c r="H377" s="5">
        <v>23520</v>
      </c>
      <c r="I377" s="3" t="str">
        <f>VLOOKUP(Tabela1[[#This Row],[Advogado]],Tabela2[],2,FALSE)</f>
        <v>Renê Amaranto</v>
      </c>
      <c r="J377" s="17">
        <f>IF(Tabela1[[#This Row],[Data de conclusão]]="",NETWORKDAYS(Tabela1[[#This Row],[Data de entrada]],$J$2),NETWORKDAYS(Tabela1[[#This Row],[Data de entrada]],Tabela1[[#This Row],[Data de conclusão]]))</f>
        <v>381</v>
      </c>
      <c r="K377" s="1"/>
    </row>
    <row r="378" spans="2:11" x14ac:dyDescent="0.25">
      <c r="B378" s="3">
        <v>485</v>
      </c>
      <c r="C378" s="3" t="s">
        <v>9</v>
      </c>
      <c r="D378" s="3" t="s">
        <v>16</v>
      </c>
      <c r="E378" s="4">
        <v>42421</v>
      </c>
      <c r="F378" s="4"/>
      <c r="G378" s="3" t="s">
        <v>29</v>
      </c>
      <c r="H378" s="5">
        <v>58232</v>
      </c>
      <c r="I378" s="3" t="str">
        <f>VLOOKUP(Tabela1[[#This Row],[Advogado]],Tabela2[],2,FALSE)</f>
        <v>Renê Amaranto</v>
      </c>
      <c r="J378" s="17">
        <f>IF(Tabela1[[#This Row],[Data de conclusão]]="",NETWORKDAYS(Tabela1[[#This Row],[Data de entrada]],$J$2),NETWORKDAYS(Tabela1[[#This Row],[Data de entrada]],Tabela1[[#This Row],[Data de conclusão]]))</f>
        <v>582</v>
      </c>
      <c r="K378" s="1"/>
    </row>
    <row r="379" spans="2:11" x14ac:dyDescent="0.25">
      <c r="B379" s="3">
        <v>486</v>
      </c>
      <c r="C379" s="3" t="s">
        <v>7</v>
      </c>
      <c r="D379" s="3" t="s">
        <v>17</v>
      </c>
      <c r="E379" s="4">
        <v>42905</v>
      </c>
      <c r="F379" s="4">
        <v>43038</v>
      </c>
      <c r="G379" s="3" t="s">
        <v>28</v>
      </c>
      <c r="H379" s="5">
        <v>13094</v>
      </c>
      <c r="I379" s="3" t="str">
        <f>VLOOKUP(Tabela1[[#This Row],[Advogado]],Tabela2[],2,FALSE)</f>
        <v>Renê Amaranto</v>
      </c>
      <c r="J379" s="17">
        <f>IF(Tabela1[[#This Row],[Data de conclusão]]="",NETWORKDAYS(Tabela1[[#This Row],[Data de entrada]],$J$2),NETWORKDAYS(Tabela1[[#This Row],[Data de entrada]],Tabela1[[#This Row],[Data de conclusão]]))</f>
        <v>96</v>
      </c>
      <c r="K379" s="1"/>
    </row>
    <row r="380" spans="2:11" x14ac:dyDescent="0.25">
      <c r="B380" s="3">
        <v>487</v>
      </c>
      <c r="C380" s="3" t="s">
        <v>8</v>
      </c>
      <c r="D380" s="3" t="s">
        <v>10</v>
      </c>
      <c r="E380" s="4">
        <v>42459</v>
      </c>
      <c r="F380" s="4"/>
      <c r="G380" s="3" t="s">
        <v>27</v>
      </c>
      <c r="H380" s="5">
        <v>45275</v>
      </c>
      <c r="I380" s="3" t="str">
        <f>VLOOKUP(Tabela1[[#This Row],[Advogado]],Tabela2[],2,FALSE)</f>
        <v>Caio Brito</v>
      </c>
      <c r="J380" s="17">
        <f>IF(Tabela1[[#This Row],[Data de conclusão]]="",NETWORKDAYS(Tabela1[[#This Row],[Data de entrada]],$J$2),NETWORKDAYS(Tabela1[[#This Row],[Data de entrada]],Tabela1[[#This Row],[Data de conclusão]]))</f>
        <v>555</v>
      </c>
      <c r="K380" s="1"/>
    </row>
    <row r="381" spans="2:11" x14ac:dyDescent="0.25">
      <c r="B381" s="3">
        <v>488</v>
      </c>
      <c r="C381" s="3" t="s">
        <v>9</v>
      </c>
      <c r="D381" s="3" t="s">
        <v>11</v>
      </c>
      <c r="E381" s="4">
        <v>42873</v>
      </c>
      <c r="F381" s="4"/>
      <c r="G381" s="3" t="s">
        <v>29</v>
      </c>
      <c r="H381" s="5">
        <v>55564</v>
      </c>
      <c r="I381" s="3" t="str">
        <f>VLOOKUP(Tabela1[[#This Row],[Advogado]],Tabela2[],2,FALSE)</f>
        <v>Caio Brito</v>
      </c>
      <c r="J381" s="17">
        <f>IF(Tabela1[[#This Row],[Data de conclusão]]="",NETWORKDAYS(Tabela1[[#This Row],[Data de entrada]],$J$2),NETWORKDAYS(Tabela1[[#This Row],[Data de entrada]],Tabela1[[#This Row],[Data de conclusão]]))</f>
        <v>259</v>
      </c>
      <c r="K381" s="1"/>
    </row>
    <row r="382" spans="2:11" x14ac:dyDescent="0.25">
      <c r="B382" s="3">
        <v>489</v>
      </c>
      <c r="C382" s="3" t="s">
        <v>7</v>
      </c>
      <c r="D382" s="3" t="s">
        <v>12</v>
      </c>
      <c r="E382" s="4">
        <v>42537</v>
      </c>
      <c r="F382" s="4"/>
      <c r="G382" s="3" t="s">
        <v>29</v>
      </c>
      <c r="H382" s="5">
        <v>32179</v>
      </c>
      <c r="I382" s="3" t="str">
        <f>VLOOKUP(Tabela1[[#This Row],[Advogado]],Tabela2[],2,FALSE)</f>
        <v>Caio Brito</v>
      </c>
      <c r="J382" s="17">
        <f>IF(Tabela1[[#This Row],[Data de conclusão]]="",NETWORKDAYS(Tabela1[[#This Row],[Data de entrada]],$J$2),NETWORKDAYS(Tabela1[[#This Row],[Data de entrada]],Tabela1[[#This Row],[Data de conclusão]]))</f>
        <v>499</v>
      </c>
      <c r="K382" s="1"/>
    </row>
    <row r="383" spans="2:11" x14ac:dyDescent="0.25">
      <c r="B383" s="3">
        <v>490</v>
      </c>
      <c r="C383" s="3" t="s">
        <v>8</v>
      </c>
      <c r="D383" s="3" t="s">
        <v>13</v>
      </c>
      <c r="E383" s="4">
        <v>42552</v>
      </c>
      <c r="F383" s="4"/>
      <c r="G383" s="3" t="s">
        <v>29</v>
      </c>
      <c r="H383" s="5">
        <v>8630</v>
      </c>
      <c r="I383" s="3" t="str">
        <f>VLOOKUP(Tabela1[[#This Row],[Advogado]],Tabela2[],2,FALSE)</f>
        <v>Caio Brito</v>
      </c>
      <c r="J383" s="17">
        <f>IF(Tabela1[[#This Row],[Data de conclusão]]="",NETWORKDAYS(Tabela1[[#This Row],[Data de entrada]],$J$2),NETWORKDAYS(Tabela1[[#This Row],[Data de entrada]],Tabela1[[#This Row],[Data de conclusão]]))</f>
        <v>488</v>
      </c>
      <c r="K383" s="1"/>
    </row>
    <row r="384" spans="2:11" x14ac:dyDescent="0.25">
      <c r="B384" s="3">
        <v>491</v>
      </c>
      <c r="C384" s="3" t="s">
        <v>9</v>
      </c>
      <c r="D384" s="3" t="s">
        <v>14</v>
      </c>
      <c r="E384" s="4">
        <v>42674</v>
      </c>
      <c r="F384" s="4"/>
      <c r="G384" s="3" t="s">
        <v>29</v>
      </c>
      <c r="H384" s="5">
        <v>32330</v>
      </c>
      <c r="I384" s="3" t="str">
        <f>VLOOKUP(Tabela1[[#This Row],[Advogado]],Tabela2[],2,FALSE)</f>
        <v>Renê Amaranto</v>
      </c>
      <c r="J384" s="17">
        <f>IF(Tabela1[[#This Row],[Data de conclusão]]="",NETWORKDAYS(Tabela1[[#This Row],[Data de entrada]],$J$2),NETWORKDAYS(Tabela1[[#This Row],[Data de entrada]],Tabela1[[#This Row],[Data de conclusão]]))</f>
        <v>402</v>
      </c>
      <c r="K384" s="1"/>
    </row>
    <row r="385" spans="2:11" x14ac:dyDescent="0.25">
      <c r="B385" s="3">
        <v>492</v>
      </c>
      <c r="C385" s="3" t="s">
        <v>7</v>
      </c>
      <c r="D385" s="3" t="s">
        <v>15</v>
      </c>
      <c r="E385" s="4">
        <v>42480</v>
      </c>
      <c r="F385" s="4"/>
      <c r="G385" s="3" t="s">
        <v>29</v>
      </c>
      <c r="H385" s="5">
        <v>51185</v>
      </c>
      <c r="I385" s="3" t="str">
        <f>VLOOKUP(Tabela1[[#This Row],[Advogado]],Tabela2[],2,FALSE)</f>
        <v>Renê Amaranto</v>
      </c>
      <c r="J385" s="17">
        <f>IF(Tabela1[[#This Row],[Data de conclusão]]="",NETWORKDAYS(Tabela1[[#This Row],[Data de entrada]],$J$2),NETWORKDAYS(Tabela1[[#This Row],[Data de entrada]],Tabela1[[#This Row],[Data de conclusão]]))</f>
        <v>540</v>
      </c>
      <c r="K385" s="1"/>
    </row>
    <row r="386" spans="2:11" x14ac:dyDescent="0.25">
      <c r="B386" s="3">
        <v>493</v>
      </c>
      <c r="C386" s="3" t="s">
        <v>8</v>
      </c>
      <c r="D386" s="3" t="s">
        <v>16</v>
      </c>
      <c r="E386" s="4">
        <v>42793</v>
      </c>
      <c r="F386" s="4"/>
      <c r="G386" s="3" t="s">
        <v>29</v>
      </c>
      <c r="H386" s="5">
        <v>31506</v>
      </c>
      <c r="I386" s="3" t="str">
        <f>VLOOKUP(Tabela1[[#This Row],[Advogado]],Tabela2[],2,FALSE)</f>
        <v>Renê Amaranto</v>
      </c>
      <c r="J386" s="17">
        <f>IF(Tabela1[[#This Row],[Data de conclusão]]="",NETWORKDAYS(Tabela1[[#This Row],[Data de entrada]],$J$2),NETWORKDAYS(Tabela1[[#This Row],[Data de entrada]],Tabela1[[#This Row],[Data de conclusão]]))</f>
        <v>317</v>
      </c>
      <c r="K386" s="1"/>
    </row>
    <row r="387" spans="2:11" x14ac:dyDescent="0.25">
      <c r="B387" s="3">
        <v>494</v>
      </c>
      <c r="C387" s="3" t="s">
        <v>9</v>
      </c>
      <c r="D387" s="3" t="s">
        <v>17</v>
      </c>
      <c r="E387" s="4">
        <v>42833</v>
      </c>
      <c r="F387" s="4"/>
      <c r="G387" s="3" t="s">
        <v>29</v>
      </c>
      <c r="H387" s="5">
        <v>27481</v>
      </c>
      <c r="I387" s="3" t="str">
        <f>VLOOKUP(Tabela1[[#This Row],[Advogado]],Tabela2[],2,FALSE)</f>
        <v>Renê Amaranto</v>
      </c>
      <c r="J387" s="17">
        <f>IF(Tabela1[[#This Row],[Data de conclusão]]="",NETWORKDAYS(Tabela1[[#This Row],[Data de entrada]],$J$2),NETWORKDAYS(Tabela1[[#This Row],[Data de entrada]],Tabela1[[#This Row],[Data de conclusão]]))</f>
        <v>287</v>
      </c>
      <c r="K387" s="1"/>
    </row>
    <row r="388" spans="2:11" x14ac:dyDescent="0.25">
      <c r="B388" s="3">
        <v>495</v>
      </c>
      <c r="C388" s="3" t="s">
        <v>7</v>
      </c>
      <c r="D388" s="3" t="s">
        <v>10</v>
      </c>
      <c r="E388" s="4">
        <v>42482</v>
      </c>
      <c r="F388" s="4"/>
      <c r="G388" s="3" t="s">
        <v>29</v>
      </c>
      <c r="H388" s="5">
        <v>33634</v>
      </c>
      <c r="I388" s="3" t="str">
        <f>VLOOKUP(Tabela1[[#This Row],[Advogado]],Tabela2[],2,FALSE)</f>
        <v>Caio Brito</v>
      </c>
      <c r="J388" s="17">
        <f>IF(Tabela1[[#This Row],[Data de conclusão]]="",NETWORKDAYS(Tabela1[[#This Row],[Data de entrada]],$J$2),NETWORKDAYS(Tabela1[[#This Row],[Data de entrada]],Tabela1[[#This Row],[Data de conclusão]]))</f>
        <v>538</v>
      </c>
      <c r="K388" s="1"/>
    </row>
    <row r="389" spans="2:11" x14ac:dyDescent="0.25">
      <c r="B389" s="3">
        <v>496</v>
      </c>
      <c r="C389" s="3" t="s">
        <v>8</v>
      </c>
      <c r="D389" s="3" t="s">
        <v>11</v>
      </c>
      <c r="E389" s="4">
        <v>43030</v>
      </c>
      <c r="F389" s="4"/>
      <c r="G389" s="3" t="s">
        <v>29</v>
      </c>
      <c r="H389" s="5">
        <v>49840</v>
      </c>
      <c r="I389" s="3" t="str">
        <f>VLOOKUP(Tabela1[[#This Row],[Advogado]],Tabela2[],2,FALSE)</f>
        <v>Caio Brito</v>
      </c>
      <c r="J389" s="17">
        <f>IF(Tabela1[[#This Row],[Data de conclusão]]="",NETWORKDAYS(Tabela1[[#This Row],[Data de entrada]],$J$2),NETWORKDAYS(Tabela1[[#This Row],[Data de entrada]],Tabela1[[#This Row],[Data de conclusão]]))</f>
        <v>147</v>
      </c>
      <c r="K389" s="1"/>
    </row>
    <row r="390" spans="2:11" x14ac:dyDescent="0.25">
      <c r="B390" s="3">
        <v>497</v>
      </c>
      <c r="C390" s="3" t="s">
        <v>9</v>
      </c>
      <c r="D390" s="3" t="s">
        <v>12</v>
      </c>
      <c r="E390" s="4">
        <v>42798</v>
      </c>
      <c r="F390" s="4"/>
      <c r="G390" s="3" t="s">
        <v>29</v>
      </c>
      <c r="H390" s="5">
        <v>19721</v>
      </c>
      <c r="I390" s="3" t="str">
        <f>VLOOKUP(Tabela1[[#This Row],[Advogado]],Tabela2[],2,FALSE)</f>
        <v>Caio Brito</v>
      </c>
      <c r="J390" s="17">
        <f>IF(Tabela1[[#This Row],[Data de conclusão]]="",NETWORKDAYS(Tabela1[[#This Row],[Data de entrada]],$J$2),NETWORKDAYS(Tabela1[[#This Row],[Data de entrada]],Tabela1[[#This Row],[Data de conclusão]]))</f>
        <v>312</v>
      </c>
      <c r="K390" s="1"/>
    </row>
    <row r="391" spans="2:11" x14ac:dyDescent="0.25">
      <c r="B391" s="3">
        <v>498</v>
      </c>
      <c r="C391" s="3" t="s">
        <v>7</v>
      </c>
      <c r="D391" s="3" t="s">
        <v>13</v>
      </c>
      <c r="E391" s="4">
        <v>42670</v>
      </c>
      <c r="F391" s="4"/>
      <c r="G391" s="3" t="s">
        <v>29</v>
      </c>
      <c r="H391" s="5">
        <v>47132</v>
      </c>
      <c r="I391" s="3" t="str">
        <f>VLOOKUP(Tabela1[[#This Row],[Advogado]],Tabela2[],2,FALSE)</f>
        <v>Caio Brito</v>
      </c>
      <c r="J391" s="17">
        <f>IF(Tabela1[[#This Row],[Data de conclusão]]="",NETWORKDAYS(Tabela1[[#This Row],[Data de entrada]],$J$2),NETWORKDAYS(Tabela1[[#This Row],[Data de entrada]],Tabela1[[#This Row],[Data de conclusão]]))</f>
        <v>404</v>
      </c>
      <c r="K391" s="1"/>
    </row>
    <row r="392" spans="2:11" x14ac:dyDescent="0.25">
      <c r="B392" s="3">
        <v>499</v>
      </c>
      <c r="C392" s="3" t="s">
        <v>8</v>
      </c>
      <c r="D392" s="3" t="s">
        <v>14</v>
      </c>
      <c r="E392" s="4">
        <v>42429</v>
      </c>
      <c r="F392" s="4">
        <v>42477</v>
      </c>
      <c r="G392" s="3" t="s">
        <v>28</v>
      </c>
      <c r="H392" s="5">
        <v>21699</v>
      </c>
      <c r="I392" s="3" t="str">
        <f>VLOOKUP(Tabela1[[#This Row],[Advogado]],Tabela2[],2,FALSE)</f>
        <v>Renê Amaranto</v>
      </c>
      <c r="J392" s="17">
        <f>IF(Tabela1[[#This Row],[Data de conclusão]]="",NETWORKDAYS(Tabela1[[#This Row],[Data de entrada]],$J$2),NETWORKDAYS(Tabela1[[#This Row],[Data de entrada]],Tabela1[[#This Row],[Data de conclusão]]))</f>
        <v>35</v>
      </c>
      <c r="K392" s="1"/>
    </row>
    <row r="393" spans="2:11" x14ac:dyDescent="0.25">
      <c r="B393" s="3">
        <v>500</v>
      </c>
      <c r="C393" s="3" t="s">
        <v>9</v>
      </c>
      <c r="D393" s="3" t="s">
        <v>15</v>
      </c>
      <c r="E393" s="4">
        <v>42959</v>
      </c>
      <c r="F393" s="4"/>
      <c r="G393" s="3" t="s">
        <v>27</v>
      </c>
      <c r="H393" s="5">
        <v>28134</v>
      </c>
      <c r="I393" s="3" t="str">
        <f>VLOOKUP(Tabela1[[#This Row],[Advogado]],Tabela2[],2,FALSE)</f>
        <v>Renê Amaranto</v>
      </c>
      <c r="J393" s="17">
        <f>IF(Tabela1[[#This Row],[Data de conclusão]]="",NETWORKDAYS(Tabela1[[#This Row],[Data de entrada]],$J$2),NETWORKDAYS(Tabela1[[#This Row],[Data de entrada]],Tabela1[[#This Row],[Data de conclusão]]))</f>
        <v>197</v>
      </c>
      <c r="K393" s="1"/>
    </row>
    <row r="394" spans="2:11" x14ac:dyDescent="0.25">
      <c r="B394" s="3">
        <v>501</v>
      </c>
      <c r="C394" s="3" t="s">
        <v>7</v>
      </c>
      <c r="D394" s="3" t="s">
        <v>16</v>
      </c>
      <c r="E394" s="4">
        <v>42451</v>
      </c>
      <c r="F394" s="4"/>
      <c r="G394" s="3" t="s">
        <v>29</v>
      </c>
      <c r="H394" s="5">
        <v>30267</v>
      </c>
      <c r="I394" s="3" t="str">
        <f>VLOOKUP(Tabela1[[#This Row],[Advogado]],Tabela2[],2,FALSE)</f>
        <v>Renê Amaranto</v>
      </c>
      <c r="J394" s="17">
        <f>IF(Tabela1[[#This Row],[Data de conclusão]]="",NETWORKDAYS(Tabela1[[#This Row],[Data de entrada]],$J$2),NETWORKDAYS(Tabela1[[#This Row],[Data de entrada]],Tabela1[[#This Row],[Data de conclusão]]))</f>
        <v>561</v>
      </c>
      <c r="K394" s="1"/>
    </row>
    <row r="395" spans="2:11" x14ac:dyDescent="0.25">
      <c r="B395" s="3">
        <v>502</v>
      </c>
      <c r="C395" s="3" t="s">
        <v>8</v>
      </c>
      <c r="D395" s="3" t="s">
        <v>17</v>
      </c>
      <c r="E395" s="4">
        <v>42462</v>
      </c>
      <c r="F395" s="4"/>
      <c r="G395" s="3" t="s">
        <v>29</v>
      </c>
      <c r="H395" s="5">
        <v>59417</v>
      </c>
      <c r="I395" s="3" t="str">
        <f>VLOOKUP(Tabela1[[#This Row],[Advogado]],Tabela2[],2,FALSE)</f>
        <v>Renê Amaranto</v>
      </c>
      <c r="J395" s="17">
        <f>IF(Tabela1[[#This Row],[Data de conclusão]]="",NETWORKDAYS(Tabela1[[#This Row],[Data de entrada]],$J$2),NETWORKDAYS(Tabela1[[#This Row],[Data de entrada]],Tabela1[[#This Row],[Data de conclusão]]))</f>
        <v>552</v>
      </c>
      <c r="K395" s="1"/>
    </row>
    <row r="396" spans="2:11" x14ac:dyDescent="0.25">
      <c r="B396" s="3">
        <v>503</v>
      </c>
      <c r="C396" s="3" t="s">
        <v>9</v>
      </c>
      <c r="D396" s="3" t="s">
        <v>10</v>
      </c>
      <c r="E396" s="4">
        <v>42691</v>
      </c>
      <c r="F396" s="4"/>
      <c r="G396" s="3" t="s">
        <v>29</v>
      </c>
      <c r="H396" s="5">
        <v>23689</v>
      </c>
      <c r="I396" s="3" t="str">
        <f>VLOOKUP(Tabela1[[#This Row],[Advogado]],Tabela2[],2,FALSE)</f>
        <v>Caio Brito</v>
      </c>
      <c r="J396" s="17">
        <f>IF(Tabela1[[#This Row],[Data de conclusão]]="",NETWORKDAYS(Tabela1[[#This Row],[Data de entrada]],$J$2),NETWORKDAYS(Tabela1[[#This Row],[Data de entrada]],Tabela1[[#This Row],[Data de conclusão]]))</f>
        <v>389</v>
      </c>
      <c r="K396" s="1"/>
    </row>
    <row r="397" spans="2:11" x14ac:dyDescent="0.25">
      <c r="B397" s="3">
        <v>504</v>
      </c>
      <c r="C397" s="3" t="s">
        <v>7</v>
      </c>
      <c r="D397" s="3" t="s">
        <v>11</v>
      </c>
      <c r="E397" s="4">
        <v>42980</v>
      </c>
      <c r="F397" s="4"/>
      <c r="G397" s="3" t="s">
        <v>29</v>
      </c>
      <c r="H397" s="5">
        <v>25005</v>
      </c>
      <c r="I397" s="3" t="str">
        <f>VLOOKUP(Tabela1[[#This Row],[Advogado]],Tabela2[],2,FALSE)</f>
        <v>Caio Brito</v>
      </c>
      <c r="J397" s="17">
        <f>IF(Tabela1[[#This Row],[Data de conclusão]]="",NETWORKDAYS(Tabela1[[#This Row],[Data de entrada]],$J$2),NETWORKDAYS(Tabela1[[#This Row],[Data de entrada]],Tabela1[[#This Row],[Data de conclusão]]))</f>
        <v>182</v>
      </c>
      <c r="K397" s="1"/>
    </row>
    <row r="398" spans="2:11" x14ac:dyDescent="0.25">
      <c r="B398" s="3">
        <v>505</v>
      </c>
      <c r="C398" s="3" t="s">
        <v>8</v>
      </c>
      <c r="D398" s="3" t="s">
        <v>12</v>
      </c>
      <c r="E398" s="4">
        <v>42905</v>
      </c>
      <c r="F398" s="4"/>
      <c r="G398" s="3" t="s">
        <v>29</v>
      </c>
      <c r="H398" s="5">
        <v>6151</v>
      </c>
      <c r="I398" s="3" t="str">
        <f>VLOOKUP(Tabela1[[#This Row],[Advogado]],Tabela2[],2,FALSE)</f>
        <v>Caio Brito</v>
      </c>
      <c r="J398" s="17">
        <f>IF(Tabela1[[#This Row],[Data de conclusão]]="",NETWORKDAYS(Tabela1[[#This Row],[Data de entrada]],$J$2),NETWORKDAYS(Tabela1[[#This Row],[Data de entrada]],Tabela1[[#This Row],[Data de conclusão]]))</f>
        <v>237</v>
      </c>
      <c r="K398" s="1"/>
    </row>
    <row r="399" spans="2:11" x14ac:dyDescent="0.25">
      <c r="B399" s="3">
        <v>506</v>
      </c>
      <c r="C399" s="3" t="s">
        <v>9</v>
      </c>
      <c r="D399" s="3" t="s">
        <v>13</v>
      </c>
      <c r="E399" s="4">
        <v>42739</v>
      </c>
      <c r="F399" s="4"/>
      <c r="G399" s="3" t="s">
        <v>29</v>
      </c>
      <c r="H399" s="5">
        <v>59729</v>
      </c>
      <c r="I399" s="3" t="str">
        <f>VLOOKUP(Tabela1[[#This Row],[Advogado]],Tabela2[],2,FALSE)</f>
        <v>Caio Brito</v>
      </c>
      <c r="J399" s="17">
        <f>IF(Tabela1[[#This Row],[Data de conclusão]]="",NETWORKDAYS(Tabela1[[#This Row],[Data de entrada]],$J$2),NETWORKDAYS(Tabela1[[#This Row],[Data de entrada]],Tabela1[[#This Row],[Data de conclusão]]))</f>
        <v>355</v>
      </c>
      <c r="K399" s="1"/>
    </row>
    <row r="400" spans="2:11" x14ac:dyDescent="0.25">
      <c r="B400" s="3">
        <v>507</v>
      </c>
      <c r="C400" s="3" t="s">
        <v>7</v>
      </c>
      <c r="D400" s="3" t="s">
        <v>14</v>
      </c>
      <c r="E400" s="4">
        <v>42725</v>
      </c>
      <c r="F400" s="4"/>
      <c r="G400" s="3" t="s">
        <v>29</v>
      </c>
      <c r="H400" s="5">
        <v>37698</v>
      </c>
      <c r="I400" s="3" t="str">
        <f>VLOOKUP(Tabela1[[#This Row],[Advogado]],Tabela2[],2,FALSE)</f>
        <v>Renê Amaranto</v>
      </c>
      <c r="J400" s="17">
        <f>IF(Tabela1[[#This Row],[Data de conclusão]]="",NETWORKDAYS(Tabela1[[#This Row],[Data de entrada]],$J$2),NETWORKDAYS(Tabela1[[#This Row],[Data de entrada]],Tabela1[[#This Row],[Data de conclusão]]))</f>
        <v>365</v>
      </c>
      <c r="K400" s="1"/>
    </row>
    <row r="401" spans="2:11" x14ac:dyDescent="0.25">
      <c r="B401" s="3">
        <v>508</v>
      </c>
      <c r="C401" s="3" t="s">
        <v>8</v>
      </c>
      <c r="D401" s="3" t="s">
        <v>15</v>
      </c>
      <c r="E401" s="4">
        <v>42985</v>
      </c>
      <c r="F401" s="4"/>
      <c r="G401" s="3" t="s">
        <v>29</v>
      </c>
      <c r="H401" s="5">
        <v>2990</v>
      </c>
      <c r="I401" s="3" t="str">
        <f>VLOOKUP(Tabela1[[#This Row],[Advogado]],Tabela2[],2,FALSE)</f>
        <v>Renê Amaranto</v>
      </c>
      <c r="J401" s="17">
        <f>IF(Tabela1[[#This Row],[Data de conclusão]]="",NETWORKDAYS(Tabela1[[#This Row],[Data de entrada]],$J$2),NETWORKDAYS(Tabela1[[#This Row],[Data de entrada]],Tabela1[[#This Row],[Data de conclusão]]))</f>
        <v>179</v>
      </c>
      <c r="K401" s="1"/>
    </row>
    <row r="402" spans="2:11" x14ac:dyDescent="0.25">
      <c r="B402" s="3">
        <v>509</v>
      </c>
      <c r="C402" s="3" t="s">
        <v>9</v>
      </c>
      <c r="D402" s="3" t="s">
        <v>16</v>
      </c>
      <c r="E402" s="4">
        <v>42914</v>
      </c>
      <c r="F402" s="4"/>
      <c r="G402" s="3" t="s">
        <v>29</v>
      </c>
      <c r="H402" s="5">
        <v>49842</v>
      </c>
      <c r="I402" s="3" t="str">
        <f>VLOOKUP(Tabela1[[#This Row],[Advogado]],Tabela2[],2,FALSE)</f>
        <v>Renê Amaranto</v>
      </c>
      <c r="J402" s="17">
        <f>IF(Tabela1[[#This Row],[Data de conclusão]]="",NETWORKDAYS(Tabela1[[#This Row],[Data de entrada]],$J$2),NETWORKDAYS(Tabela1[[#This Row],[Data de entrada]],Tabela1[[#This Row],[Data de conclusão]]))</f>
        <v>230</v>
      </c>
      <c r="K402" s="1"/>
    </row>
    <row r="403" spans="2:11" x14ac:dyDescent="0.25">
      <c r="B403" s="3">
        <v>510</v>
      </c>
      <c r="C403" s="3" t="s">
        <v>7</v>
      </c>
      <c r="D403" s="3" t="s">
        <v>17</v>
      </c>
      <c r="E403" s="4">
        <v>42427</v>
      </c>
      <c r="F403" s="4"/>
      <c r="G403" s="3" t="s">
        <v>29</v>
      </c>
      <c r="H403" s="5">
        <v>18997</v>
      </c>
      <c r="I403" s="3" t="str">
        <f>VLOOKUP(Tabela1[[#This Row],[Advogado]],Tabela2[],2,FALSE)</f>
        <v>Renê Amaranto</v>
      </c>
      <c r="J403" s="17">
        <f>IF(Tabela1[[#This Row],[Data de conclusão]]="",NETWORKDAYS(Tabela1[[#This Row],[Data de entrada]],$J$2),NETWORKDAYS(Tabela1[[#This Row],[Data de entrada]],Tabela1[[#This Row],[Data de conclusão]]))</f>
        <v>577</v>
      </c>
      <c r="K403" s="1"/>
    </row>
    <row r="404" spans="2:11" x14ac:dyDescent="0.25">
      <c r="B404" s="3">
        <v>511</v>
      </c>
      <c r="C404" s="3" t="s">
        <v>8</v>
      </c>
      <c r="D404" s="3" t="s">
        <v>10</v>
      </c>
      <c r="E404" s="4">
        <v>42630</v>
      </c>
      <c r="F404" s="4"/>
      <c r="G404" s="3" t="s">
        <v>29</v>
      </c>
      <c r="H404" s="5">
        <v>41368</v>
      </c>
      <c r="I404" s="3" t="str">
        <f>VLOOKUP(Tabela1[[#This Row],[Advogado]],Tabela2[],2,FALSE)</f>
        <v>Caio Brito</v>
      </c>
      <c r="J404" s="17">
        <f>IF(Tabela1[[#This Row],[Data de conclusão]]="",NETWORKDAYS(Tabela1[[#This Row],[Data de entrada]],$J$2),NETWORKDAYS(Tabela1[[#This Row],[Data de entrada]],Tabela1[[#This Row],[Data de conclusão]]))</f>
        <v>432</v>
      </c>
      <c r="K404" s="1"/>
    </row>
    <row r="405" spans="2:11" x14ac:dyDescent="0.25">
      <c r="B405" s="3">
        <v>512</v>
      </c>
      <c r="C405" s="3" t="s">
        <v>9</v>
      </c>
      <c r="D405" s="3" t="s">
        <v>11</v>
      </c>
      <c r="E405" s="4">
        <v>43023</v>
      </c>
      <c r="F405" s="4">
        <v>43085</v>
      </c>
      <c r="G405" s="3" t="s">
        <v>28</v>
      </c>
      <c r="H405" s="5">
        <v>36771</v>
      </c>
      <c r="I405" s="3" t="str">
        <f>VLOOKUP(Tabela1[[#This Row],[Advogado]],Tabela2[],2,FALSE)</f>
        <v>Caio Brito</v>
      </c>
      <c r="J405" s="17">
        <f>IF(Tabela1[[#This Row],[Data de conclusão]]="",NETWORKDAYS(Tabela1[[#This Row],[Data de entrada]],$J$2),NETWORKDAYS(Tabela1[[#This Row],[Data de entrada]],Tabela1[[#This Row],[Data de conclusão]]))</f>
        <v>45</v>
      </c>
      <c r="K405" s="1"/>
    </row>
    <row r="406" spans="2:11" x14ac:dyDescent="0.25">
      <c r="B406" s="3">
        <v>513</v>
      </c>
      <c r="C406" s="3" t="s">
        <v>7</v>
      </c>
      <c r="D406" s="3" t="s">
        <v>12</v>
      </c>
      <c r="E406" s="4">
        <v>42805</v>
      </c>
      <c r="F406" s="4"/>
      <c r="G406" s="3" t="s">
        <v>27</v>
      </c>
      <c r="H406" s="5">
        <v>59576</v>
      </c>
      <c r="I406" s="3" t="str">
        <f>VLOOKUP(Tabela1[[#This Row],[Advogado]],Tabela2[],2,FALSE)</f>
        <v>Caio Brito</v>
      </c>
      <c r="J406" s="17">
        <f>IF(Tabela1[[#This Row],[Data de conclusão]]="",NETWORKDAYS(Tabela1[[#This Row],[Data de entrada]],$J$2),NETWORKDAYS(Tabela1[[#This Row],[Data de entrada]],Tabela1[[#This Row],[Data de conclusão]]))</f>
        <v>307</v>
      </c>
      <c r="K406" s="1"/>
    </row>
    <row r="407" spans="2:11" x14ac:dyDescent="0.25">
      <c r="B407" s="3">
        <v>514</v>
      </c>
      <c r="C407" s="3" t="s">
        <v>8</v>
      </c>
      <c r="D407" s="3" t="s">
        <v>13</v>
      </c>
      <c r="E407" s="4">
        <v>42696</v>
      </c>
      <c r="F407" s="4"/>
      <c r="G407" s="3" t="s">
        <v>29</v>
      </c>
      <c r="H407" s="5">
        <v>6646</v>
      </c>
      <c r="I407" s="3" t="str">
        <f>VLOOKUP(Tabela1[[#This Row],[Advogado]],Tabela2[],2,FALSE)</f>
        <v>Caio Brito</v>
      </c>
      <c r="J407" s="17">
        <f>IF(Tabela1[[#This Row],[Data de conclusão]]="",NETWORKDAYS(Tabela1[[#This Row],[Data de entrada]],$J$2),NETWORKDAYS(Tabela1[[#This Row],[Data de entrada]],Tabela1[[#This Row],[Data de conclusão]]))</f>
        <v>386</v>
      </c>
      <c r="K407" s="1"/>
    </row>
    <row r="408" spans="2:11" x14ac:dyDescent="0.25">
      <c r="B408" s="3">
        <v>515</v>
      </c>
      <c r="C408" s="3" t="s">
        <v>9</v>
      </c>
      <c r="D408" s="3" t="s">
        <v>14</v>
      </c>
      <c r="E408" s="4">
        <v>42461</v>
      </c>
      <c r="F408" s="4"/>
      <c r="G408" s="3" t="s">
        <v>29</v>
      </c>
      <c r="H408" s="5">
        <v>30998</v>
      </c>
      <c r="I408" s="3" t="str">
        <f>VLOOKUP(Tabela1[[#This Row],[Advogado]],Tabela2[],2,FALSE)</f>
        <v>Renê Amaranto</v>
      </c>
      <c r="J408" s="17">
        <f>IF(Tabela1[[#This Row],[Data de conclusão]]="",NETWORKDAYS(Tabela1[[#This Row],[Data de entrada]],$J$2),NETWORKDAYS(Tabela1[[#This Row],[Data de entrada]],Tabela1[[#This Row],[Data de conclusão]]))</f>
        <v>553</v>
      </c>
      <c r="K408" s="1"/>
    </row>
    <row r="409" spans="2:11" x14ac:dyDescent="0.25">
      <c r="B409" s="3">
        <v>516</v>
      </c>
      <c r="C409" s="3" t="s">
        <v>7</v>
      </c>
      <c r="D409" s="3" t="s">
        <v>15</v>
      </c>
      <c r="E409" s="4">
        <v>42562</v>
      </c>
      <c r="F409" s="4"/>
      <c r="G409" s="3" t="s">
        <v>29</v>
      </c>
      <c r="H409" s="5">
        <v>57528</v>
      </c>
      <c r="I409" s="3" t="str">
        <f>VLOOKUP(Tabela1[[#This Row],[Advogado]],Tabela2[],2,FALSE)</f>
        <v>Renê Amaranto</v>
      </c>
      <c r="J409" s="17">
        <f>IF(Tabela1[[#This Row],[Data de conclusão]]="",NETWORKDAYS(Tabela1[[#This Row],[Data de entrada]],$J$2),NETWORKDAYS(Tabela1[[#This Row],[Data de entrada]],Tabela1[[#This Row],[Data de conclusão]]))</f>
        <v>482</v>
      </c>
      <c r="K409" s="1"/>
    </row>
    <row r="410" spans="2:11" x14ac:dyDescent="0.25">
      <c r="B410" s="3">
        <v>517</v>
      </c>
      <c r="C410" s="3" t="s">
        <v>8</v>
      </c>
      <c r="D410" s="3" t="s">
        <v>16</v>
      </c>
      <c r="E410" s="4">
        <v>42491</v>
      </c>
      <c r="F410" s="4"/>
      <c r="G410" s="3" t="s">
        <v>29</v>
      </c>
      <c r="H410" s="5">
        <v>35814</v>
      </c>
      <c r="I410" s="3" t="str">
        <f>VLOOKUP(Tabela1[[#This Row],[Advogado]],Tabela2[],2,FALSE)</f>
        <v>Renê Amaranto</v>
      </c>
      <c r="J410" s="17">
        <f>IF(Tabela1[[#This Row],[Data de conclusão]]="",NETWORKDAYS(Tabela1[[#This Row],[Data de entrada]],$J$2),NETWORKDAYS(Tabela1[[#This Row],[Data de entrada]],Tabela1[[#This Row],[Data de conclusão]]))</f>
        <v>532</v>
      </c>
      <c r="K410" s="1"/>
    </row>
    <row r="411" spans="2:11" x14ac:dyDescent="0.25">
      <c r="B411" s="3">
        <v>518</v>
      </c>
      <c r="C411" s="3" t="s">
        <v>9</v>
      </c>
      <c r="D411" s="3" t="s">
        <v>17</v>
      </c>
      <c r="E411" s="4">
        <v>42663</v>
      </c>
      <c r="F411" s="4"/>
      <c r="G411" s="3" t="s">
        <v>29</v>
      </c>
      <c r="H411" s="5">
        <v>11029</v>
      </c>
      <c r="I411" s="3" t="str">
        <f>VLOOKUP(Tabela1[[#This Row],[Advogado]],Tabela2[],2,FALSE)</f>
        <v>Renê Amaranto</v>
      </c>
      <c r="J411" s="17">
        <f>IF(Tabela1[[#This Row],[Data de conclusão]]="",NETWORKDAYS(Tabela1[[#This Row],[Data de entrada]],$J$2),NETWORKDAYS(Tabela1[[#This Row],[Data de entrada]],Tabela1[[#This Row],[Data de conclusão]]))</f>
        <v>409</v>
      </c>
      <c r="K411" s="1"/>
    </row>
    <row r="412" spans="2:11" x14ac:dyDescent="0.25">
      <c r="B412" s="3">
        <v>519</v>
      </c>
      <c r="C412" s="3" t="s">
        <v>7</v>
      </c>
      <c r="D412" s="3" t="s">
        <v>10</v>
      </c>
      <c r="E412" s="4">
        <v>42405</v>
      </c>
      <c r="F412" s="4"/>
      <c r="G412" s="3" t="s">
        <v>29</v>
      </c>
      <c r="H412" s="5">
        <v>51406</v>
      </c>
      <c r="I412" s="3" t="str">
        <f>VLOOKUP(Tabela1[[#This Row],[Advogado]],Tabela2[],2,FALSE)</f>
        <v>Caio Brito</v>
      </c>
      <c r="J412" s="17">
        <f>IF(Tabela1[[#This Row],[Data de conclusão]]="",NETWORKDAYS(Tabela1[[#This Row],[Data de entrada]],$J$2),NETWORKDAYS(Tabela1[[#This Row],[Data de entrada]],Tabela1[[#This Row],[Data de conclusão]]))</f>
        <v>593</v>
      </c>
      <c r="K412" s="1"/>
    </row>
    <row r="413" spans="2:11" x14ac:dyDescent="0.25">
      <c r="B413" s="3">
        <v>520</v>
      </c>
      <c r="C413" s="3" t="s">
        <v>8</v>
      </c>
      <c r="D413" s="3" t="s">
        <v>11</v>
      </c>
      <c r="E413" s="4">
        <v>42683</v>
      </c>
      <c r="F413" s="4"/>
      <c r="G413" s="3" t="s">
        <v>29</v>
      </c>
      <c r="H413" s="5">
        <v>36277</v>
      </c>
      <c r="I413" s="3" t="str">
        <f>VLOOKUP(Tabela1[[#This Row],[Advogado]],Tabela2[],2,FALSE)</f>
        <v>Caio Brito</v>
      </c>
      <c r="J413" s="17">
        <f>IF(Tabela1[[#This Row],[Data de conclusão]]="",NETWORKDAYS(Tabela1[[#This Row],[Data de entrada]],$J$2),NETWORKDAYS(Tabela1[[#This Row],[Data de entrada]],Tabela1[[#This Row],[Data de conclusão]]))</f>
        <v>395</v>
      </c>
      <c r="K413" s="1"/>
    </row>
    <row r="414" spans="2:11" x14ac:dyDescent="0.25">
      <c r="B414" s="3">
        <v>521</v>
      </c>
      <c r="C414" s="3" t="s">
        <v>9</v>
      </c>
      <c r="D414" s="3" t="s">
        <v>12</v>
      </c>
      <c r="E414" s="4">
        <v>43005</v>
      </c>
      <c r="F414" s="4"/>
      <c r="G414" s="3" t="s">
        <v>29</v>
      </c>
      <c r="H414" s="5">
        <v>1526</v>
      </c>
      <c r="I414" s="3" t="str">
        <f>VLOOKUP(Tabela1[[#This Row],[Advogado]],Tabela2[],2,FALSE)</f>
        <v>Caio Brito</v>
      </c>
      <c r="J414" s="17">
        <f>IF(Tabela1[[#This Row],[Data de conclusão]]="",NETWORKDAYS(Tabela1[[#This Row],[Data de entrada]],$J$2),NETWORKDAYS(Tabela1[[#This Row],[Data de entrada]],Tabela1[[#This Row],[Data de conclusão]]))</f>
        <v>165</v>
      </c>
      <c r="K414" s="1"/>
    </row>
    <row r="415" spans="2:11" x14ac:dyDescent="0.25">
      <c r="B415" s="3">
        <v>522</v>
      </c>
      <c r="C415" s="3" t="s">
        <v>7</v>
      </c>
      <c r="D415" s="3" t="s">
        <v>13</v>
      </c>
      <c r="E415" s="4">
        <v>42811</v>
      </c>
      <c r="F415" s="4"/>
      <c r="G415" s="3" t="s">
        <v>29</v>
      </c>
      <c r="H415" s="5">
        <v>24652</v>
      </c>
      <c r="I415" s="3" t="str">
        <f>VLOOKUP(Tabela1[[#This Row],[Advogado]],Tabela2[],2,FALSE)</f>
        <v>Caio Brito</v>
      </c>
      <c r="J415" s="17">
        <f>IF(Tabela1[[#This Row],[Data de conclusão]]="",NETWORKDAYS(Tabela1[[#This Row],[Data de entrada]],$J$2),NETWORKDAYS(Tabela1[[#This Row],[Data de entrada]],Tabela1[[#This Row],[Data de conclusão]]))</f>
        <v>303</v>
      </c>
      <c r="K415" s="1"/>
    </row>
    <row r="416" spans="2:11" x14ac:dyDescent="0.25">
      <c r="B416" s="3">
        <v>523</v>
      </c>
      <c r="C416" s="3" t="s">
        <v>8</v>
      </c>
      <c r="D416" s="3" t="s">
        <v>14</v>
      </c>
      <c r="E416" s="4">
        <v>42946</v>
      </c>
      <c r="F416" s="4"/>
      <c r="G416" s="3" t="s">
        <v>29</v>
      </c>
      <c r="H416" s="5">
        <v>55264</v>
      </c>
      <c r="I416" s="3" t="str">
        <f>VLOOKUP(Tabela1[[#This Row],[Advogado]],Tabela2[],2,FALSE)</f>
        <v>Renê Amaranto</v>
      </c>
      <c r="J416" s="17">
        <f>IF(Tabela1[[#This Row],[Data de conclusão]]="",NETWORKDAYS(Tabela1[[#This Row],[Data de entrada]],$J$2),NETWORKDAYS(Tabela1[[#This Row],[Data de entrada]],Tabela1[[#This Row],[Data de conclusão]]))</f>
        <v>207</v>
      </c>
      <c r="K416" s="1"/>
    </row>
    <row r="417" spans="2:11" x14ac:dyDescent="0.25">
      <c r="B417" s="3">
        <v>524</v>
      </c>
      <c r="C417" s="3" t="s">
        <v>9</v>
      </c>
      <c r="D417" s="3" t="s">
        <v>15</v>
      </c>
      <c r="E417" s="4">
        <v>42611</v>
      </c>
      <c r="F417" s="4"/>
      <c r="G417" s="3" t="s">
        <v>29</v>
      </c>
      <c r="H417" s="5">
        <v>22515</v>
      </c>
      <c r="I417" s="3" t="str">
        <f>VLOOKUP(Tabela1[[#This Row],[Advogado]],Tabela2[],2,FALSE)</f>
        <v>Renê Amaranto</v>
      </c>
      <c r="J417" s="17">
        <f>IF(Tabela1[[#This Row],[Data de conclusão]]="",NETWORKDAYS(Tabela1[[#This Row],[Data de entrada]],$J$2),NETWORKDAYS(Tabela1[[#This Row],[Data de entrada]],Tabela1[[#This Row],[Data de conclusão]]))</f>
        <v>447</v>
      </c>
      <c r="K417" s="1"/>
    </row>
    <row r="418" spans="2:11" x14ac:dyDescent="0.25">
      <c r="B418" s="3">
        <v>525</v>
      </c>
      <c r="C418" s="3" t="s">
        <v>7</v>
      </c>
      <c r="D418" s="3" t="s">
        <v>16</v>
      </c>
      <c r="E418" s="4">
        <v>42412</v>
      </c>
      <c r="F418" s="4">
        <v>42469</v>
      </c>
      <c r="G418" s="3" t="s">
        <v>28</v>
      </c>
      <c r="H418" s="5">
        <v>18698</v>
      </c>
      <c r="I418" s="3" t="str">
        <f>VLOOKUP(Tabela1[[#This Row],[Advogado]],Tabela2[],2,FALSE)</f>
        <v>Renê Amaranto</v>
      </c>
      <c r="J418" s="17">
        <f>IF(Tabela1[[#This Row],[Data de conclusão]]="",NETWORKDAYS(Tabela1[[#This Row],[Data de entrada]],$J$2),NETWORKDAYS(Tabela1[[#This Row],[Data de entrada]],Tabela1[[#This Row],[Data de conclusão]]))</f>
        <v>41</v>
      </c>
      <c r="K418" s="1"/>
    </row>
    <row r="419" spans="2:11" x14ac:dyDescent="0.25">
      <c r="B419" s="3">
        <v>526</v>
      </c>
      <c r="C419" s="3" t="s">
        <v>8</v>
      </c>
      <c r="D419" s="3" t="s">
        <v>17</v>
      </c>
      <c r="E419" s="4">
        <v>42961</v>
      </c>
      <c r="F419" s="4"/>
      <c r="G419" s="3" t="s">
        <v>27</v>
      </c>
      <c r="H419" s="5">
        <v>43201</v>
      </c>
      <c r="I419" s="3" t="str">
        <f>VLOOKUP(Tabela1[[#This Row],[Advogado]],Tabela2[],2,FALSE)</f>
        <v>Renê Amaranto</v>
      </c>
      <c r="J419" s="17">
        <f>IF(Tabela1[[#This Row],[Data de conclusão]]="",NETWORKDAYS(Tabela1[[#This Row],[Data de entrada]],$J$2),NETWORKDAYS(Tabela1[[#This Row],[Data de entrada]],Tabela1[[#This Row],[Data de conclusão]]))</f>
        <v>197</v>
      </c>
      <c r="K419" s="1"/>
    </row>
    <row r="420" spans="2:11" x14ac:dyDescent="0.25">
      <c r="B420" s="3">
        <v>527</v>
      </c>
      <c r="C420" s="3" t="s">
        <v>9</v>
      </c>
      <c r="D420" s="3" t="s">
        <v>10</v>
      </c>
      <c r="E420" s="4">
        <v>42928</v>
      </c>
      <c r="F420" s="4"/>
      <c r="G420" s="3" t="s">
        <v>29</v>
      </c>
      <c r="H420" s="5">
        <v>49661</v>
      </c>
      <c r="I420" s="3" t="str">
        <f>VLOOKUP(Tabela1[[#This Row],[Advogado]],Tabela2[],2,FALSE)</f>
        <v>Caio Brito</v>
      </c>
      <c r="J420" s="17">
        <f>IF(Tabela1[[#This Row],[Data de conclusão]]="",NETWORKDAYS(Tabela1[[#This Row],[Data de entrada]],$J$2),NETWORKDAYS(Tabela1[[#This Row],[Data de entrada]],Tabela1[[#This Row],[Data de conclusão]]))</f>
        <v>220</v>
      </c>
      <c r="K420" s="1"/>
    </row>
    <row r="421" spans="2:11" x14ac:dyDescent="0.25">
      <c r="B421" s="3">
        <v>528</v>
      </c>
      <c r="C421" s="3" t="s">
        <v>7</v>
      </c>
      <c r="D421" s="3" t="s">
        <v>11</v>
      </c>
      <c r="E421" s="4">
        <v>42934</v>
      </c>
      <c r="F421" s="4"/>
      <c r="G421" s="3" t="s">
        <v>29</v>
      </c>
      <c r="H421" s="5">
        <v>37776</v>
      </c>
      <c r="I421" s="3" t="str">
        <f>VLOOKUP(Tabela1[[#This Row],[Advogado]],Tabela2[],2,FALSE)</f>
        <v>Caio Brito</v>
      </c>
      <c r="J421" s="17">
        <f>IF(Tabela1[[#This Row],[Data de conclusão]]="",NETWORKDAYS(Tabela1[[#This Row],[Data de entrada]],$J$2),NETWORKDAYS(Tabela1[[#This Row],[Data de entrada]],Tabela1[[#This Row],[Data de conclusão]]))</f>
        <v>216</v>
      </c>
      <c r="K421" s="1"/>
    </row>
    <row r="422" spans="2:11" x14ac:dyDescent="0.25">
      <c r="B422" s="3">
        <v>529</v>
      </c>
      <c r="C422" s="3" t="s">
        <v>8</v>
      </c>
      <c r="D422" s="3" t="s">
        <v>12</v>
      </c>
      <c r="E422" s="4">
        <v>42891</v>
      </c>
      <c r="F422" s="4"/>
      <c r="G422" s="3" t="s">
        <v>29</v>
      </c>
      <c r="H422" s="5">
        <v>30696</v>
      </c>
      <c r="I422" s="3" t="str">
        <f>VLOOKUP(Tabela1[[#This Row],[Advogado]],Tabela2[],2,FALSE)</f>
        <v>Caio Brito</v>
      </c>
      <c r="J422" s="17">
        <f>IF(Tabela1[[#This Row],[Data de conclusão]]="",NETWORKDAYS(Tabela1[[#This Row],[Data de entrada]],$J$2),NETWORKDAYS(Tabela1[[#This Row],[Data de entrada]],Tabela1[[#This Row],[Data de conclusão]]))</f>
        <v>247</v>
      </c>
      <c r="K422" s="1"/>
    </row>
    <row r="423" spans="2:11" x14ac:dyDescent="0.25">
      <c r="B423" s="3">
        <v>530</v>
      </c>
      <c r="C423" s="3" t="s">
        <v>9</v>
      </c>
      <c r="D423" s="3" t="s">
        <v>13</v>
      </c>
      <c r="E423" s="4">
        <v>42649</v>
      </c>
      <c r="F423" s="4"/>
      <c r="G423" s="3" t="s">
        <v>29</v>
      </c>
      <c r="H423" s="5">
        <v>33186</v>
      </c>
      <c r="I423" s="3" t="str">
        <f>VLOOKUP(Tabela1[[#This Row],[Advogado]],Tabela2[],2,FALSE)</f>
        <v>Caio Brito</v>
      </c>
      <c r="J423" s="17">
        <f>IF(Tabela1[[#This Row],[Data de conclusão]]="",NETWORKDAYS(Tabela1[[#This Row],[Data de entrada]],$J$2),NETWORKDAYS(Tabela1[[#This Row],[Data de entrada]],Tabela1[[#This Row],[Data de conclusão]]))</f>
        <v>419</v>
      </c>
      <c r="K423" s="1"/>
    </row>
    <row r="424" spans="2:11" x14ac:dyDescent="0.25">
      <c r="B424" s="3">
        <v>531</v>
      </c>
      <c r="C424" s="3" t="s">
        <v>7</v>
      </c>
      <c r="D424" s="3" t="s">
        <v>14</v>
      </c>
      <c r="E424" s="4">
        <v>42902</v>
      </c>
      <c r="F424" s="4"/>
      <c r="G424" s="3" t="s">
        <v>29</v>
      </c>
      <c r="H424" s="5">
        <v>58073</v>
      </c>
      <c r="I424" s="3" t="str">
        <f>VLOOKUP(Tabela1[[#This Row],[Advogado]],Tabela2[],2,FALSE)</f>
        <v>Renê Amaranto</v>
      </c>
      <c r="J424" s="17">
        <f>IF(Tabela1[[#This Row],[Data de conclusão]]="",NETWORKDAYS(Tabela1[[#This Row],[Data de entrada]],$J$2),NETWORKDAYS(Tabela1[[#This Row],[Data de entrada]],Tabela1[[#This Row],[Data de conclusão]]))</f>
        <v>238</v>
      </c>
      <c r="K424" s="1"/>
    </row>
    <row r="425" spans="2:11" x14ac:dyDescent="0.25">
      <c r="B425" s="3">
        <v>532</v>
      </c>
      <c r="C425" s="3" t="s">
        <v>8</v>
      </c>
      <c r="D425" s="3" t="s">
        <v>15</v>
      </c>
      <c r="E425" s="4">
        <v>42380</v>
      </c>
      <c r="F425" s="4"/>
      <c r="G425" s="3" t="s">
        <v>29</v>
      </c>
      <c r="H425" s="5">
        <v>38627</v>
      </c>
      <c r="I425" s="3" t="str">
        <f>VLOOKUP(Tabela1[[#This Row],[Advogado]],Tabela2[],2,FALSE)</f>
        <v>Renê Amaranto</v>
      </c>
      <c r="J425" s="17">
        <f>IF(Tabela1[[#This Row],[Data de conclusão]]="",NETWORKDAYS(Tabela1[[#This Row],[Data de entrada]],$J$2),NETWORKDAYS(Tabela1[[#This Row],[Data de entrada]],Tabela1[[#This Row],[Data de conclusão]]))</f>
        <v>612</v>
      </c>
      <c r="K425" s="1"/>
    </row>
    <row r="426" spans="2:11" x14ac:dyDescent="0.25">
      <c r="B426" s="3">
        <v>533</v>
      </c>
      <c r="C426" s="3" t="s">
        <v>9</v>
      </c>
      <c r="D426" s="3" t="s">
        <v>16</v>
      </c>
      <c r="E426" s="4">
        <v>42856</v>
      </c>
      <c r="F426" s="4"/>
      <c r="G426" s="3" t="s">
        <v>29</v>
      </c>
      <c r="H426" s="5">
        <v>41257</v>
      </c>
      <c r="I426" s="3" t="str">
        <f>VLOOKUP(Tabela1[[#This Row],[Advogado]],Tabela2[],2,FALSE)</f>
        <v>Renê Amaranto</v>
      </c>
      <c r="J426" s="17">
        <f>IF(Tabela1[[#This Row],[Data de conclusão]]="",NETWORKDAYS(Tabela1[[#This Row],[Data de entrada]],$J$2),NETWORKDAYS(Tabela1[[#This Row],[Data de entrada]],Tabela1[[#This Row],[Data de conclusão]]))</f>
        <v>272</v>
      </c>
      <c r="K426" s="1"/>
    </row>
    <row r="427" spans="2:11" x14ac:dyDescent="0.25">
      <c r="B427" s="3">
        <v>534</v>
      </c>
      <c r="C427" s="3" t="s">
        <v>7</v>
      </c>
      <c r="D427" s="3" t="s">
        <v>17</v>
      </c>
      <c r="E427" s="4">
        <v>42937</v>
      </c>
      <c r="F427" s="4"/>
      <c r="G427" s="3" t="s">
        <v>29</v>
      </c>
      <c r="H427" s="5">
        <v>5051</v>
      </c>
      <c r="I427" s="3" t="str">
        <f>VLOOKUP(Tabela1[[#This Row],[Advogado]],Tabela2[],2,FALSE)</f>
        <v>Renê Amaranto</v>
      </c>
      <c r="J427" s="17">
        <f>IF(Tabela1[[#This Row],[Data de conclusão]]="",NETWORKDAYS(Tabela1[[#This Row],[Data de entrada]],$J$2),NETWORKDAYS(Tabela1[[#This Row],[Data de entrada]],Tabela1[[#This Row],[Data de conclusão]]))</f>
        <v>213</v>
      </c>
      <c r="K427" s="1"/>
    </row>
    <row r="428" spans="2:11" x14ac:dyDescent="0.25">
      <c r="B428" s="3">
        <v>535</v>
      </c>
      <c r="C428" s="3" t="s">
        <v>8</v>
      </c>
      <c r="D428" s="3" t="s">
        <v>10</v>
      </c>
      <c r="E428" s="4">
        <v>42998</v>
      </c>
      <c r="F428" s="4"/>
      <c r="G428" s="3" t="s">
        <v>29</v>
      </c>
      <c r="H428" s="5">
        <v>5479</v>
      </c>
      <c r="I428" s="3" t="str">
        <f>VLOOKUP(Tabela1[[#This Row],[Advogado]],Tabela2[],2,FALSE)</f>
        <v>Caio Brito</v>
      </c>
      <c r="J428" s="17">
        <f>IF(Tabela1[[#This Row],[Data de conclusão]]="",NETWORKDAYS(Tabela1[[#This Row],[Data de entrada]],$J$2),NETWORKDAYS(Tabela1[[#This Row],[Data de entrada]],Tabela1[[#This Row],[Data de conclusão]]))</f>
        <v>170</v>
      </c>
      <c r="K428" s="1"/>
    </row>
    <row r="429" spans="2:11" x14ac:dyDescent="0.25">
      <c r="B429" s="3">
        <v>536</v>
      </c>
      <c r="C429" s="3" t="s">
        <v>9</v>
      </c>
      <c r="D429" s="3" t="s">
        <v>11</v>
      </c>
      <c r="E429" s="4">
        <v>42583</v>
      </c>
      <c r="F429" s="4"/>
      <c r="G429" s="3" t="s">
        <v>29</v>
      </c>
      <c r="H429" s="5">
        <v>22292</v>
      </c>
      <c r="I429" s="3" t="str">
        <f>VLOOKUP(Tabela1[[#This Row],[Advogado]],Tabela2[],2,FALSE)</f>
        <v>Caio Brito</v>
      </c>
      <c r="J429" s="17">
        <f>IF(Tabela1[[#This Row],[Data de conclusão]]="",NETWORKDAYS(Tabela1[[#This Row],[Data de entrada]],$J$2),NETWORKDAYS(Tabela1[[#This Row],[Data de entrada]],Tabela1[[#This Row],[Data de conclusão]]))</f>
        <v>467</v>
      </c>
      <c r="K429" s="1"/>
    </row>
    <row r="430" spans="2:11" x14ac:dyDescent="0.25">
      <c r="B430" s="3">
        <v>537</v>
      </c>
      <c r="C430" s="3" t="s">
        <v>7</v>
      </c>
      <c r="D430" s="3" t="s">
        <v>12</v>
      </c>
      <c r="E430" s="4">
        <v>42710</v>
      </c>
      <c r="F430" s="4"/>
      <c r="G430" s="3" t="s">
        <v>29</v>
      </c>
      <c r="H430" s="5">
        <v>56386</v>
      </c>
      <c r="I430" s="3" t="str">
        <f>VLOOKUP(Tabela1[[#This Row],[Advogado]],Tabela2[],2,FALSE)</f>
        <v>Caio Brito</v>
      </c>
      <c r="J430" s="17">
        <f>IF(Tabela1[[#This Row],[Data de conclusão]]="",NETWORKDAYS(Tabela1[[#This Row],[Data de entrada]],$J$2),NETWORKDAYS(Tabela1[[#This Row],[Data de entrada]],Tabela1[[#This Row],[Data de conclusão]]))</f>
        <v>376</v>
      </c>
      <c r="K430" s="1"/>
    </row>
    <row r="431" spans="2:11" x14ac:dyDescent="0.25">
      <c r="B431" s="3">
        <v>538</v>
      </c>
      <c r="C431" s="3" t="s">
        <v>8</v>
      </c>
      <c r="D431" s="3" t="s">
        <v>13</v>
      </c>
      <c r="E431" s="4">
        <v>42598</v>
      </c>
      <c r="F431" s="4">
        <v>42651</v>
      </c>
      <c r="G431" s="3" t="s">
        <v>28</v>
      </c>
      <c r="H431" s="5">
        <v>57630</v>
      </c>
      <c r="I431" s="3" t="str">
        <f>VLOOKUP(Tabela1[[#This Row],[Advogado]],Tabela2[],2,FALSE)</f>
        <v>Caio Brito</v>
      </c>
      <c r="J431" s="17">
        <f>IF(Tabela1[[#This Row],[Data de conclusão]]="",NETWORKDAYS(Tabela1[[#This Row],[Data de entrada]],$J$2),NETWORKDAYS(Tabela1[[#This Row],[Data de entrada]],Tabela1[[#This Row],[Data de conclusão]]))</f>
        <v>39</v>
      </c>
      <c r="K431" s="1"/>
    </row>
    <row r="432" spans="2:11" x14ac:dyDescent="0.25">
      <c r="B432" s="3">
        <v>539</v>
      </c>
      <c r="C432" s="3" t="s">
        <v>9</v>
      </c>
      <c r="D432" s="3" t="s">
        <v>14</v>
      </c>
      <c r="E432" s="4">
        <v>42573</v>
      </c>
      <c r="F432" s="4"/>
      <c r="G432" s="3" t="s">
        <v>27</v>
      </c>
      <c r="H432" s="5">
        <v>46666</v>
      </c>
      <c r="I432" s="3" t="str">
        <f>VLOOKUP(Tabela1[[#This Row],[Advogado]],Tabela2[],2,FALSE)</f>
        <v>Renê Amaranto</v>
      </c>
      <c r="J432" s="17">
        <f>IF(Tabela1[[#This Row],[Data de conclusão]]="",NETWORKDAYS(Tabela1[[#This Row],[Data de entrada]],$J$2),NETWORKDAYS(Tabela1[[#This Row],[Data de entrada]],Tabela1[[#This Row],[Data de conclusão]]))</f>
        <v>473</v>
      </c>
      <c r="K432" s="1"/>
    </row>
    <row r="433" spans="2:11" x14ac:dyDescent="0.25">
      <c r="B433" s="3">
        <v>540</v>
      </c>
      <c r="C433" s="3" t="s">
        <v>7</v>
      </c>
      <c r="D433" s="3" t="s">
        <v>15</v>
      </c>
      <c r="E433" s="4">
        <v>42388</v>
      </c>
      <c r="F433" s="4"/>
      <c r="G433" s="3" t="s">
        <v>29</v>
      </c>
      <c r="H433" s="5">
        <v>1099</v>
      </c>
      <c r="I433" s="3" t="str">
        <f>VLOOKUP(Tabela1[[#This Row],[Advogado]],Tabela2[],2,FALSE)</f>
        <v>Renê Amaranto</v>
      </c>
      <c r="J433" s="17">
        <f>IF(Tabela1[[#This Row],[Data de conclusão]]="",NETWORKDAYS(Tabela1[[#This Row],[Data de entrada]],$J$2),NETWORKDAYS(Tabela1[[#This Row],[Data de entrada]],Tabela1[[#This Row],[Data de conclusão]]))</f>
        <v>606</v>
      </c>
      <c r="K433" s="1"/>
    </row>
    <row r="434" spans="2:11" x14ac:dyDescent="0.25">
      <c r="B434" s="3">
        <v>541</v>
      </c>
      <c r="C434" s="3" t="s">
        <v>8</v>
      </c>
      <c r="D434" s="3" t="s">
        <v>16</v>
      </c>
      <c r="E434" s="4">
        <v>42464</v>
      </c>
      <c r="F434" s="4"/>
      <c r="G434" s="3" t="s">
        <v>29</v>
      </c>
      <c r="H434" s="5">
        <v>40139</v>
      </c>
      <c r="I434" s="3" t="str">
        <f>VLOOKUP(Tabela1[[#This Row],[Advogado]],Tabela2[],2,FALSE)</f>
        <v>Renê Amaranto</v>
      </c>
      <c r="J434" s="17">
        <f>IF(Tabela1[[#This Row],[Data de conclusão]]="",NETWORKDAYS(Tabela1[[#This Row],[Data de entrada]],$J$2),NETWORKDAYS(Tabela1[[#This Row],[Data de entrada]],Tabela1[[#This Row],[Data de conclusão]]))</f>
        <v>552</v>
      </c>
      <c r="K434" s="1"/>
    </row>
    <row r="435" spans="2:11" x14ac:dyDescent="0.25">
      <c r="B435" s="3">
        <v>542</v>
      </c>
      <c r="C435" s="3" t="s">
        <v>9</v>
      </c>
      <c r="D435" s="3" t="s">
        <v>17</v>
      </c>
      <c r="E435" s="4">
        <v>42491</v>
      </c>
      <c r="F435" s="4"/>
      <c r="G435" s="3" t="s">
        <v>29</v>
      </c>
      <c r="H435" s="5">
        <v>24630</v>
      </c>
      <c r="I435" s="3" t="str">
        <f>VLOOKUP(Tabela1[[#This Row],[Advogado]],Tabela2[],2,FALSE)</f>
        <v>Renê Amaranto</v>
      </c>
      <c r="J435" s="17">
        <f>IF(Tabela1[[#This Row],[Data de conclusão]]="",NETWORKDAYS(Tabela1[[#This Row],[Data de entrada]],$J$2),NETWORKDAYS(Tabela1[[#This Row],[Data de entrada]],Tabela1[[#This Row],[Data de conclusão]]))</f>
        <v>532</v>
      </c>
      <c r="K435" s="1"/>
    </row>
    <row r="436" spans="2:11" x14ac:dyDescent="0.25">
      <c r="B436" s="3">
        <v>543</v>
      </c>
      <c r="C436" s="3" t="s">
        <v>7</v>
      </c>
      <c r="D436" s="3" t="s">
        <v>10</v>
      </c>
      <c r="E436" s="4">
        <v>42855</v>
      </c>
      <c r="F436" s="4"/>
      <c r="G436" s="3" t="s">
        <v>29</v>
      </c>
      <c r="H436" s="5">
        <v>698</v>
      </c>
      <c r="I436" s="3" t="str">
        <f>VLOOKUP(Tabela1[[#This Row],[Advogado]],Tabela2[],2,FALSE)</f>
        <v>Caio Brito</v>
      </c>
      <c r="J436" s="17">
        <f>IF(Tabela1[[#This Row],[Data de conclusão]]="",NETWORKDAYS(Tabela1[[#This Row],[Data de entrada]],$J$2),NETWORKDAYS(Tabela1[[#This Row],[Data de entrada]],Tabela1[[#This Row],[Data de conclusão]]))</f>
        <v>272</v>
      </c>
      <c r="K436" s="1"/>
    </row>
    <row r="437" spans="2:11" x14ac:dyDescent="0.25">
      <c r="B437" s="3">
        <v>544</v>
      </c>
      <c r="C437" s="3" t="s">
        <v>8</v>
      </c>
      <c r="D437" s="3" t="s">
        <v>11</v>
      </c>
      <c r="E437" s="4">
        <v>42829</v>
      </c>
      <c r="F437" s="4"/>
      <c r="G437" s="3" t="s">
        <v>29</v>
      </c>
      <c r="H437" s="5">
        <v>42725</v>
      </c>
      <c r="I437" s="3" t="str">
        <f>VLOOKUP(Tabela1[[#This Row],[Advogado]],Tabela2[],2,FALSE)</f>
        <v>Caio Brito</v>
      </c>
      <c r="J437" s="17">
        <f>IF(Tabela1[[#This Row],[Data de conclusão]]="",NETWORKDAYS(Tabela1[[#This Row],[Data de entrada]],$J$2),NETWORKDAYS(Tabela1[[#This Row],[Data de entrada]],Tabela1[[#This Row],[Data de conclusão]]))</f>
        <v>291</v>
      </c>
      <c r="K437" s="1"/>
    </row>
    <row r="438" spans="2:11" x14ac:dyDescent="0.25">
      <c r="B438" s="3">
        <v>545</v>
      </c>
      <c r="C438" s="3" t="s">
        <v>9</v>
      </c>
      <c r="D438" s="3" t="s">
        <v>12</v>
      </c>
      <c r="E438" s="4">
        <v>42550</v>
      </c>
      <c r="F438" s="4"/>
      <c r="G438" s="3" t="s">
        <v>29</v>
      </c>
      <c r="H438" s="5">
        <v>58036</v>
      </c>
      <c r="I438" s="3" t="str">
        <f>VLOOKUP(Tabela1[[#This Row],[Advogado]],Tabela2[],2,FALSE)</f>
        <v>Caio Brito</v>
      </c>
      <c r="J438" s="17">
        <f>IF(Tabela1[[#This Row],[Data de conclusão]]="",NETWORKDAYS(Tabela1[[#This Row],[Data de entrada]],$J$2),NETWORKDAYS(Tabela1[[#This Row],[Data de entrada]],Tabela1[[#This Row],[Data de conclusão]]))</f>
        <v>490</v>
      </c>
      <c r="K438" s="1"/>
    </row>
    <row r="439" spans="2:11" x14ac:dyDescent="0.25">
      <c r="B439" s="3">
        <v>546</v>
      </c>
      <c r="C439" s="3" t="s">
        <v>7</v>
      </c>
      <c r="D439" s="3" t="s">
        <v>13</v>
      </c>
      <c r="E439" s="4">
        <v>42501</v>
      </c>
      <c r="F439" s="4"/>
      <c r="G439" s="3" t="s">
        <v>29</v>
      </c>
      <c r="H439" s="5">
        <v>31669</v>
      </c>
      <c r="I439" s="3" t="str">
        <f>VLOOKUP(Tabela1[[#This Row],[Advogado]],Tabela2[],2,FALSE)</f>
        <v>Caio Brito</v>
      </c>
      <c r="J439" s="17">
        <f>IF(Tabela1[[#This Row],[Data de conclusão]]="",NETWORKDAYS(Tabela1[[#This Row],[Data de entrada]],$J$2),NETWORKDAYS(Tabela1[[#This Row],[Data de entrada]],Tabela1[[#This Row],[Data de conclusão]]))</f>
        <v>525</v>
      </c>
      <c r="K439" s="1"/>
    </row>
    <row r="440" spans="2:11" x14ac:dyDescent="0.25">
      <c r="B440" s="3">
        <v>547</v>
      </c>
      <c r="C440" s="3" t="s">
        <v>8</v>
      </c>
      <c r="D440" s="3" t="s">
        <v>14</v>
      </c>
      <c r="E440" s="4">
        <v>42682</v>
      </c>
      <c r="F440" s="4"/>
      <c r="G440" s="3" t="s">
        <v>29</v>
      </c>
      <c r="H440" s="5">
        <v>19570</v>
      </c>
      <c r="I440" s="3" t="str">
        <f>VLOOKUP(Tabela1[[#This Row],[Advogado]],Tabela2[],2,FALSE)</f>
        <v>Renê Amaranto</v>
      </c>
      <c r="J440" s="17">
        <f>IF(Tabela1[[#This Row],[Data de conclusão]]="",NETWORKDAYS(Tabela1[[#This Row],[Data de entrada]],$J$2),NETWORKDAYS(Tabela1[[#This Row],[Data de entrada]],Tabela1[[#This Row],[Data de conclusão]]))</f>
        <v>396</v>
      </c>
      <c r="K440" s="1"/>
    </row>
    <row r="441" spans="2:11" x14ac:dyDescent="0.25">
      <c r="B441" s="3">
        <v>548</v>
      </c>
      <c r="C441" s="3" t="s">
        <v>9</v>
      </c>
      <c r="D441" s="3" t="s">
        <v>15</v>
      </c>
      <c r="E441" s="4">
        <v>42901</v>
      </c>
      <c r="F441" s="4"/>
      <c r="G441" s="3" t="s">
        <v>29</v>
      </c>
      <c r="H441" s="5">
        <v>3383</v>
      </c>
      <c r="I441" s="3" t="str">
        <f>VLOOKUP(Tabela1[[#This Row],[Advogado]],Tabela2[],2,FALSE)</f>
        <v>Renê Amaranto</v>
      </c>
      <c r="J441" s="17">
        <f>IF(Tabela1[[#This Row],[Data de conclusão]]="",NETWORKDAYS(Tabela1[[#This Row],[Data de entrada]],$J$2),NETWORKDAYS(Tabela1[[#This Row],[Data de entrada]],Tabela1[[#This Row],[Data de conclusão]]))</f>
        <v>239</v>
      </c>
      <c r="K441" s="1"/>
    </row>
    <row r="442" spans="2:11" x14ac:dyDescent="0.25">
      <c r="B442" s="3">
        <v>549</v>
      </c>
      <c r="C442" s="3" t="s">
        <v>7</v>
      </c>
      <c r="D442" s="3" t="s">
        <v>16</v>
      </c>
      <c r="E442" s="4">
        <v>42557</v>
      </c>
      <c r="F442" s="4"/>
      <c r="G442" s="3" t="s">
        <v>29</v>
      </c>
      <c r="H442" s="5">
        <v>53860</v>
      </c>
      <c r="I442" s="3" t="str">
        <f>VLOOKUP(Tabela1[[#This Row],[Advogado]],Tabela2[],2,FALSE)</f>
        <v>Renê Amaranto</v>
      </c>
      <c r="J442" s="17">
        <f>IF(Tabela1[[#This Row],[Data de conclusão]]="",NETWORKDAYS(Tabela1[[#This Row],[Data de entrada]],$J$2),NETWORKDAYS(Tabela1[[#This Row],[Data de entrada]],Tabela1[[#This Row],[Data de conclusão]]))</f>
        <v>485</v>
      </c>
      <c r="K442" s="1"/>
    </row>
    <row r="443" spans="2:11" x14ac:dyDescent="0.25">
      <c r="B443" s="3">
        <v>550</v>
      </c>
      <c r="C443" s="3" t="s">
        <v>8</v>
      </c>
      <c r="D443" s="3" t="s">
        <v>17</v>
      </c>
      <c r="E443" s="4">
        <v>42751</v>
      </c>
      <c r="F443" s="4"/>
      <c r="G443" s="3" t="s">
        <v>29</v>
      </c>
      <c r="H443" s="5">
        <v>16329</v>
      </c>
      <c r="I443" s="3" t="str">
        <f>VLOOKUP(Tabela1[[#This Row],[Advogado]],Tabela2[],2,FALSE)</f>
        <v>Renê Amaranto</v>
      </c>
      <c r="J443" s="17">
        <f>IF(Tabela1[[#This Row],[Data de conclusão]]="",NETWORKDAYS(Tabela1[[#This Row],[Data de entrada]],$J$2),NETWORKDAYS(Tabela1[[#This Row],[Data de entrada]],Tabela1[[#This Row],[Data de conclusão]]))</f>
        <v>347</v>
      </c>
      <c r="K443" s="1"/>
    </row>
    <row r="444" spans="2:11" x14ac:dyDescent="0.25">
      <c r="B444" s="3">
        <v>551</v>
      </c>
      <c r="C444" s="3" t="s">
        <v>9</v>
      </c>
      <c r="D444" s="3" t="s">
        <v>10</v>
      </c>
      <c r="E444" s="4">
        <v>42947</v>
      </c>
      <c r="F444" s="4">
        <v>43072</v>
      </c>
      <c r="G444" s="3" t="s">
        <v>28</v>
      </c>
      <c r="H444" s="5">
        <v>1803</v>
      </c>
      <c r="I444" s="3" t="str">
        <f>VLOOKUP(Tabela1[[#This Row],[Advogado]],Tabela2[],2,FALSE)</f>
        <v>Caio Brito</v>
      </c>
      <c r="J444" s="17">
        <f>IF(Tabela1[[#This Row],[Data de conclusão]]="",NETWORKDAYS(Tabela1[[#This Row],[Data de entrada]],$J$2),NETWORKDAYS(Tabela1[[#This Row],[Data de entrada]],Tabela1[[#This Row],[Data de conclusão]]))</f>
        <v>90</v>
      </c>
      <c r="K444" s="1"/>
    </row>
    <row r="445" spans="2:11" x14ac:dyDescent="0.25">
      <c r="B445" s="3">
        <v>552</v>
      </c>
      <c r="C445" s="3" t="s">
        <v>7</v>
      </c>
      <c r="D445" s="3" t="s">
        <v>11</v>
      </c>
      <c r="E445" s="4">
        <v>42979</v>
      </c>
      <c r="F445" s="4"/>
      <c r="G445" s="3" t="s">
        <v>27</v>
      </c>
      <c r="H445" s="5">
        <v>6937</v>
      </c>
      <c r="I445" s="3" t="str">
        <f>VLOOKUP(Tabela1[[#This Row],[Advogado]],Tabela2[],2,FALSE)</f>
        <v>Caio Brito</v>
      </c>
      <c r="J445" s="17">
        <f>IF(Tabela1[[#This Row],[Data de conclusão]]="",NETWORKDAYS(Tabela1[[#This Row],[Data de entrada]],$J$2),NETWORKDAYS(Tabela1[[#This Row],[Data de entrada]],Tabela1[[#This Row],[Data de conclusão]]))</f>
        <v>183</v>
      </c>
      <c r="K445" s="1"/>
    </row>
    <row r="446" spans="2:11" x14ac:dyDescent="0.25">
      <c r="B446" s="3">
        <v>553</v>
      </c>
      <c r="C446" s="3" t="s">
        <v>8</v>
      </c>
      <c r="D446" s="3" t="s">
        <v>12</v>
      </c>
      <c r="E446" s="4">
        <v>42916</v>
      </c>
      <c r="F446" s="4"/>
      <c r="G446" s="3" t="s">
        <v>29</v>
      </c>
      <c r="H446" s="5">
        <v>48268</v>
      </c>
      <c r="I446" s="3" t="str">
        <f>VLOOKUP(Tabela1[[#This Row],[Advogado]],Tabela2[],2,FALSE)</f>
        <v>Caio Brito</v>
      </c>
      <c r="J446" s="17">
        <f>IF(Tabela1[[#This Row],[Data de conclusão]]="",NETWORKDAYS(Tabela1[[#This Row],[Data de entrada]],$J$2),NETWORKDAYS(Tabela1[[#This Row],[Data de entrada]],Tabela1[[#This Row],[Data de conclusão]]))</f>
        <v>228</v>
      </c>
      <c r="K446" s="1"/>
    </row>
    <row r="447" spans="2:11" x14ac:dyDescent="0.25">
      <c r="B447" s="3">
        <v>554</v>
      </c>
      <c r="C447" s="3" t="s">
        <v>9</v>
      </c>
      <c r="D447" s="3" t="s">
        <v>13</v>
      </c>
      <c r="E447" s="4">
        <v>42550</v>
      </c>
      <c r="F447" s="4"/>
      <c r="G447" s="3" t="s">
        <v>29</v>
      </c>
      <c r="H447" s="5">
        <v>42876</v>
      </c>
      <c r="I447" s="3" t="str">
        <f>VLOOKUP(Tabela1[[#This Row],[Advogado]],Tabela2[],2,FALSE)</f>
        <v>Caio Brito</v>
      </c>
      <c r="J447" s="17">
        <f>IF(Tabela1[[#This Row],[Data de conclusão]]="",NETWORKDAYS(Tabela1[[#This Row],[Data de entrada]],$J$2),NETWORKDAYS(Tabela1[[#This Row],[Data de entrada]],Tabela1[[#This Row],[Data de conclusão]]))</f>
        <v>490</v>
      </c>
      <c r="K447" s="1"/>
    </row>
    <row r="448" spans="2:11" x14ac:dyDescent="0.25">
      <c r="B448" s="3">
        <v>555</v>
      </c>
      <c r="C448" s="3" t="s">
        <v>7</v>
      </c>
      <c r="D448" s="3" t="s">
        <v>14</v>
      </c>
      <c r="E448" s="4">
        <v>42971</v>
      </c>
      <c r="F448" s="4"/>
      <c r="G448" s="3" t="s">
        <v>29</v>
      </c>
      <c r="H448" s="5">
        <v>7671</v>
      </c>
      <c r="I448" s="3" t="str">
        <f>VLOOKUP(Tabela1[[#This Row],[Advogado]],Tabela2[],2,FALSE)</f>
        <v>Renê Amaranto</v>
      </c>
      <c r="J448" s="17">
        <f>IF(Tabela1[[#This Row],[Data de conclusão]]="",NETWORKDAYS(Tabela1[[#This Row],[Data de entrada]],$J$2),NETWORKDAYS(Tabela1[[#This Row],[Data de entrada]],Tabela1[[#This Row],[Data de conclusão]]))</f>
        <v>189</v>
      </c>
      <c r="K448" s="1"/>
    </row>
    <row r="449" spans="2:11" x14ac:dyDescent="0.25">
      <c r="B449" s="3">
        <v>556</v>
      </c>
      <c r="C449" s="3" t="s">
        <v>8</v>
      </c>
      <c r="D449" s="3" t="s">
        <v>15</v>
      </c>
      <c r="E449" s="4">
        <v>43029</v>
      </c>
      <c r="F449" s="4"/>
      <c r="G449" s="3" t="s">
        <v>29</v>
      </c>
      <c r="H449" s="5">
        <v>5744</v>
      </c>
      <c r="I449" s="3" t="str">
        <f>VLOOKUP(Tabela1[[#This Row],[Advogado]],Tabela2[],2,FALSE)</f>
        <v>Renê Amaranto</v>
      </c>
      <c r="J449" s="17">
        <f>IF(Tabela1[[#This Row],[Data de conclusão]]="",NETWORKDAYS(Tabela1[[#This Row],[Data de entrada]],$J$2),NETWORKDAYS(Tabela1[[#This Row],[Data de entrada]],Tabela1[[#This Row],[Data de conclusão]]))</f>
        <v>147</v>
      </c>
      <c r="K449" s="1"/>
    </row>
    <row r="450" spans="2:11" x14ac:dyDescent="0.25">
      <c r="B450" s="3">
        <v>557</v>
      </c>
      <c r="C450" s="3" t="s">
        <v>9</v>
      </c>
      <c r="D450" s="3" t="s">
        <v>16</v>
      </c>
      <c r="E450" s="4">
        <v>42452</v>
      </c>
      <c r="F450" s="4"/>
      <c r="G450" s="3" t="s">
        <v>29</v>
      </c>
      <c r="H450" s="5">
        <v>6173</v>
      </c>
      <c r="I450" s="3" t="str">
        <f>VLOOKUP(Tabela1[[#This Row],[Advogado]],Tabela2[],2,FALSE)</f>
        <v>Renê Amaranto</v>
      </c>
      <c r="J450" s="17">
        <f>IF(Tabela1[[#This Row],[Data de conclusão]]="",NETWORKDAYS(Tabela1[[#This Row],[Data de entrada]],$J$2),NETWORKDAYS(Tabela1[[#This Row],[Data de entrada]],Tabela1[[#This Row],[Data de conclusão]]))</f>
        <v>560</v>
      </c>
      <c r="K450" s="1"/>
    </row>
    <row r="451" spans="2:11" x14ac:dyDescent="0.25">
      <c r="B451" s="3">
        <v>558</v>
      </c>
      <c r="C451" s="3" t="s">
        <v>7</v>
      </c>
      <c r="D451" s="3" t="s">
        <v>17</v>
      </c>
      <c r="E451" s="4">
        <v>42699</v>
      </c>
      <c r="F451" s="4"/>
      <c r="G451" s="3" t="s">
        <v>29</v>
      </c>
      <c r="H451" s="5">
        <v>28974</v>
      </c>
      <c r="I451" s="3" t="str">
        <f>VLOOKUP(Tabela1[[#This Row],[Advogado]],Tabela2[],2,FALSE)</f>
        <v>Renê Amaranto</v>
      </c>
      <c r="J451" s="17">
        <f>IF(Tabela1[[#This Row],[Data de conclusão]]="",NETWORKDAYS(Tabela1[[#This Row],[Data de entrada]],$J$2),NETWORKDAYS(Tabela1[[#This Row],[Data de entrada]],Tabela1[[#This Row],[Data de conclusão]]))</f>
        <v>383</v>
      </c>
      <c r="K451" s="1"/>
    </row>
    <row r="452" spans="2:11" x14ac:dyDescent="0.25">
      <c r="B452" s="3">
        <v>559</v>
      </c>
      <c r="C452" s="3" t="s">
        <v>8</v>
      </c>
      <c r="D452" s="3" t="s">
        <v>10</v>
      </c>
      <c r="E452" s="4">
        <v>42613</v>
      </c>
      <c r="F452" s="4"/>
      <c r="G452" s="3" t="s">
        <v>29</v>
      </c>
      <c r="H452" s="5">
        <v>22986</v>
      </c>
      <c r="I452" s="3" t="str">
        <f>VLOOKUP(Tabela1[[#This Row],[Advogado]],Tabela2[],2,FALSE)</f>
        <v>Caio Brito</v>
      </c>
      <c r="J452" s="17">
        <f>IF(Tabela1[[#This Row],[Data de conclusão]]="",NETWORKDAYS(Tabela1[[#This Row],[Data de entrada]],$J$2),NETWORKDAYS(Tabela1[[#This Row],[Data de entrada]],Tabela1[[#This Row],[Data de conclusão]]))</f>
        <v>445</v>
      </c>
      <c r="K452" s="1"/>
    </row>
    <row r="453" spans="2:11" x14ac:dyDescent="0.25">
      <c r="B453" s="3">
        <v>560</v>
      </c>
      <c r="C453" s="3" t="s">
        <v>9</v>
      </c>
      <c r="D453" s="3" t="s">
        <v>11</v>
      </c>
      <c r="E453" s="4">
        <v>43076</v>
      </c>
      <c r="F453" s="4"/>
      <c r="G453" s="3" t="s">
        <v>29</v>
      </c>
      <c r="H453" s="5">
        <v>40381</v>
      </c>
      <c r="I453" s="3" t="str">
        <f>VLOOKUP(Tabela1[[#This Row],[Advogado]],Tabela2[],2,FALSE)</f>
        <v>Caio Brito</v>
      </c>
      <c r="J453" s="17">
        <f>IF(Tabela1[[#This Row],[Data de conclusão]]="",NETWORKDAYS(Tabela1[[#This Row],[Data de entrada]],$J$2),NETWORKDAYS(Tabela1[[#This Row],[Data de entrada]],Tabela1[[#This Row],[Data de conclusão]]))</f>
        <v>114</v>
      </c>
      <c r="K453" s="1"/>
    </row>
    <row r="454" spans="2:11" x14ac:dyDescent="0.25">
      <c r="B454" s="3">
        <v>561</v>
      </c>
      <c r="C454" s="3" t="s">
        <v>7</v>
      </c>
      <c r="D454" s="3" t="s">
        <v>12</v>
      </c>
      <c r="E454" s="4">
        <v>42530</v>
      </c>
      <c r="F454" s="4"/>
      <c r="G454" s="3" t="s">
        <v>29</v>
      </c>
      <c r="H454" s="5">
        <v>24286</v>
      </c>
      <c r="I454" s="3" t="str">
        <f>VLOOKUP(Tabela1[[#This Row],[Advogado]],Tabela2[],2,FALSE)</f>
        <v>Caio Brito</v>
      </c>
      <c r="J454" s="17">
        <f>IF(Tabela1[[#This Row],[Data de conclusão]]="",NETWORKDAYS(Tabela1[[#This Row],[Data de entrada]],$J$2),NETWORKDAYS(Tabela1[[#This Row],[Data de entrada]],Tabela1[[#This Row],[Data de conclusão]]))</f>
        <v>504</v>
      </c>
      <c r="K454" s="1"/>
    </row>
    <row r="455" spans="2:11" x14ac:dyDescent="0.25">
      <c r="B455" s="3">
        <v>562</v>
      </c>
      <c r="C455" s="3" t="s">
        <v>8</v>
      </c>
      <c r="D455" s="3" t="s">
        <v>13</v>
      </c>
      <c r="E455" s="4">
        <v>43095</v>
      </c>
      <c r="F455" s="4"/>
      <c r="G455" s="3" t="s">
        <v>29</v>
      </c>
      <c r="H455" s="5">
        <v>49288</v>
      </c>
      <c r="I455" s="3" t="str">
        <f>VLOOKUP(Tabela1[[#This Row],[Advogado]],Tabela2[],2,FALSE)</f>
        <v>Caio Brito</v>
      </c>
      <c r="J455" s="17">
        <f>IF(Tabela1[[#This Row],[Data de conclusão]]="",NETWORKDAYS(Tabela1[[#This Row],[Data de entrada]],$J$2),NETWORKDAYS(Tabela1[[#This Row],[Data de entrada]],Tabela1[[#This Row],[Data de conclusão]]))</f>
        <v>101</v>
      </c>
      <c r="K455" s="1"/>
    </row>
    <row r="456" spans="2:11" x14ac:dyDescent="0.25">
      <c r="B456" s="3">
        <v>563</v>
      </c>
      <c r="C456" s="3" t="s">
        <v>9</v>
      </c>
      <c r="D456" s="3" t="s">
        <v>14</v>
      </c>
      <c r="E456" s="4">
        <v>42611</v>
      </c>
      <c r="F456" s="4"/>
      <c r="G456" s="3" t="s">
        <v>29</v>
      </c>
      <c r="H456" s="5">
        <v>26928</v>
      </c>
      <c r="I456" s="3" t="str">
        <f>VLOOKUP(Tabela1[[#This Row],[Advogado]],Tabela2[],2,FALSE)</f>
        <v>Renê Amaranto</v>
      </c>
      <c r="J456" s="17">
        <f>IF(Tabela1[[#This Row],[Data de conclusão]]="",NETWORKDAYS(Tabela1[[#This Row],[Data de entrada]],$J$2),NETWORKDAYS(Tabela1[[#This Row],[Data de entrada]],Tabela1[[#This Row],[Data de conclusão]]))</f>
        <v>447</v>
      </c>
      <c r="K456" s="1"/>
    </row>
    <row r="457" spans="2:11" x14ac:dyDescent="0.25">
      <c r="B457" s="3">
        <v>564</v>
      </c>
      <c r="C457" s="3" t="s">
        <v>7</v>
      </c>
      <c r="D457" s="3" t="s">
        <v>15</v>
      </c>
      <c r="E457" s="4">
        <v>42564</v>
      </c>
      <c r="F457" s="4">
        <v>42677</v>
      </c>
      <c r="G457" s="3" t="s">
        <v>28</v>
      </c>
      <c r="H457" s="5">
        <v>19388</v>
      </c>
      <c r="I457" s="3" t="str">
        <f>VLOOKUP(Tabela1[[#This Row],[Advogado]],Tabela2[],2,FALSE)</f>
        <v>Renê Amaranto</v>
      </c>
      <c r="J457" s="17">
        <f>IF(Tabela1[[#This Row],[Data de conclusão]]="",NETWORKDAYS(Tabela1[[#This Row],[Data de entrada]],$J$2),NETWORKDAYS(Tabela1[[#This Row],[Data de entrada]],Tabela1[[#This Row],[Data de conclusão]]))</f>
        <v>82</v>
      </c>
      <c r="K457" s="1"/>
    </row>
    <row r="458" spans="2:11" x14ac:dyDescent="0.25">
      <c r="B458" s="3">
        <v>565</v>
      </c>
      <c r="C458" s="3" t="s">
        <v>8</v>
      </c>
      <c r="D458" s="3" t="s">
        <v>16</v>
      </c>
      <c r="E458" s="4">
        <v>42867</v>
      </c>
      <c r="F458" s="4"/>
      <c r="G458" s="3" t="s">
        <v>27</v>
      </c>
      <c r="H458" s="5">
        <v>19706</v>
      </c>
      <c r="I458" s="3" t="str">
        <f>VLOOKUP(Tabela1[[#This Row],[Advogado]],Tabela2[],2,FALSE)</f>
        <v>Renê Amaranto</v>
      </c>
      <c r="J458" s="17">
        <f>IF(Tabela1[[#This Row],[Data de conclusão]]="",NETWORKDAYS(Tabela1[[#This Row],[Data de entrada]],$J$2),NETWORKDAYS(Tabela1[[#This Row],[Data de entrada]],Tabela1[[#This Row],[Data de conclusão]]))</f>
        <v>263</v>
      </c>
      <c r="K458" s="1"/>
    </row>
    <row r="459" spans="2:11" x14ac:dyDescent="0.25">
      <c r="B459" s="3">
        <v>566</v>
      </c>
      <c r="C459" s="3" t="s">
        <v>9</v>
      </c>
      <c r="D459" s="3" t="s">
        <v>17</v>
      </c>
      <c r="E459" s="4">
        <v>42597</v>
      </c>
      <c r="F459" s="4"/>
      <c r="G459" s="3" t="s">
        <v>29</v>
      </c>
      <c r="H459" s="5">
        <v>18118</v>
      </c>
      <c r="I459" s="3" t="str">
        <f>VLOOKUP(Tabela1[[#This Row],[Advogado]],Tabela2[],2,FALSE)</f>
        <v>Renê Amaranto</v>
      </c>
      <c r="J459" s="17">
        <f>IF(Tabela1[[#This Row],[Data de conclusão]]="",NETWORKDAYS(Tabela1[[#This Row],[Data de entrada]],$J$2),NETWORKDAYS(Tabela1[[#This Row],[Data de entrada]],Tabela1[[#This Row],[Data de conclusão]]))</f>
        <v>457</v>
      </c>
      <c r="K459" s="1"/>
    </row>
    <row r="460" spans="2:11" x14ac:dyDescent="0.25">
      <c r="B460" s="3">
        <v>567</v>
      </c>
      <c r="C460" s="3" t="s">
        <v>7</v>
      </c>
      <c r="D460" s="3" t="s">
        <v>10</v>
      </c>
      <c r="E460" s="4">
        <v>42558</v>
      </c>
      <c r="F460" s="4"/>
      <c r="G460" s="3" t="s">
        <v>29</v>
      </c>
      <c r="H460" s="5">
        <v>24921</v>
      </c>
      <c r="I460" s="3" t="str">
        <f>VLOOKUP(Tabela1[[#This Row],[Advogado]],Tabela2[],2,FALSE)</f>
        <v>Caio Brito</v>
      </c>
      <c r="J460" s="17">
        <f>IF(Tabela1[[#This Row],[Data de conclusão]]="",NETWORKDAYS(Tabela1[[#This Row],[Data de entrada]],$J$2),NETWORKDAYS(Tabela1[[#This Row],[Data de entrada]],Tabela1[[#This Row],[Data de conclusão]]))</f>
        <v>484</v>
      </c>
      <c r="K460" s="1"/>
    </row>
    <row r="461" spans="2:11" x14ac:dyDescent="0.25">
      <c r="B461" s="3">
        <v>568</v>
      </c>
      <c r="C461" s="3" t="s">
        <v>8</v>
      </c>
      <c r="D461" s="3" t="s">
        <v>11</v>
      </c>
      <c r="E461" s="4">
        <v>42858</v>
      </c>
      <c r="F461" s="4"/>
      <c r="G461" s="3" t="s">
        <v>29</v>
      </c>
      <c r="H461" s="5">
        <v>55915</v>
      </c>
      <c r="I461" s="3" t="str">
        <f>VLOOKUP(Tabela1[[#This Row],[Advogado]],Tabela2[],2,FALSE)</f>
        <v>Caio Brito</v>
      </c>
      <c r="J461" s="17">
        <f>IF(Tabela1[[#This Row],[Data de conclusão]]="",NETWORKDAYS(Tabela1[[#This Row],[Data de entrada]],$J$2),NETWORKDAYS(Tabela1[[#This Row],[Data de entrada]],Tabela1[[#This Row],[Data de conclusão]]))</f>
        <v>270</v>
      </c>
      <c r="K461" s="1"/>
    </row>
    <row r="462" spans="2:11" x14ac:dyDescent="0.25">
      <c r="B462" s="3">
        <v>569</v>
      </c>
      <c r="C462" s="3" t="s">
        <v>9</v>
      </c>
      <c r="D462" s="3" t="s">
        <v>12</v>
      </c>
      <c r="E462" s="4">
        <v>42431</v>
      </c>
      <c r="F462" s="4"/>
      <c r="G462" s="3" t="s">
        <v>29</v>
      </c>
      <c r="H462" s="5">
        <v>13128</v>
      </c>
      <c r="I462" s="3" t="str">
        <f>VLOOKUP(Tabela1[[#This Row],[Advogado]],Tabela2[],2,FALSE)</f>
        <v>Caio Brito</v>
      </c>
      <c r="J462" s="17">
        <f>IF(Tabela1[[#This Row],[Data de conclusão]]="",NETWORKDAYS(Tabela1[[#This Row],[Data de entrada]],$J$2),NETWORKDAYS(Tabela1[[#This Row],[Data de entrada]],Tabela1[[#This Row],[Data de conclusão]]))</f>
        <v>575</v>
      </c>
      <c r="K462" s="1"/>
    </row>
    <row r="463" spans="2:11" x14ac:dyDescent="0.25">
      <c r="B463" s="3">
        <v>570</v>
      </c>
      <c r="C463" s="3" t="s">
        <v>7</v>
      </c>
      <c r="D463" s="3" t="s">
        <v>13</v>
      </c>
      <c r="E463" s="4">
        <v>42509</v>
      </c>
      <c r="F463" s="4"/>
      <c r="G463" s="3" t="s">
        <v>29</v>
      </c>
      <c r="H463" s="5">
        <v>41661</v>
      </c>
      <c r="I463" s="3" t="str">
        <f>VLOOKUP(Tabela1[[#This Row],[Advogado]],Tabela2[],2,FALSE)</f>
        <v>Caio Brito</v>
      </c>
      <c r="J463" s="17">
        <f>IF(Tabela1[[#This Row],[Data de conclusão]]="",NETWORKDAYS(Tabela1[[#This Row],[Data de entrada]],$J$2),NETWORKDAYS(Tabela1[[#This Row],[Data de entrada]],Tabela1[[#This Row],[Data de conclusão]]))</f>
        <v>519</v>
      </c>
      <c r="K463" s="1"/>
    </row>
    <row r="464" spans="2:11" x14ac:dyDescent="0.25">
      <c r="B464" s="3">
        <v>571</v>
      </c>
      <c r="C464" s="3" t="s">
        <v>8</v>
      </c>
      <c r="D464" s="3" t="s">
        <v>14</v>
      </c>
      <c r="E464" s="4">
        <v>42671</v>
      </c>
      <c r="F464" s="4"/>
      <c r="G464" s="3" t="s">
        <v>29</v>
      </c>
      <c r="H464" s="5">
        <v>39844</v>
      </c>
      <c r="I464" s="3" t="str">
        <f>VLOOKUP(Tabela1[[#This Row],[Advogado]],Tabela2[],2,FALSE)</f>
        <v>Renê Amaranto</v>
      </c>
      <c r="J464" s="17">
        <f>IF(Tabela1[[#This Row],[Data de conclusão]]="",NETWORKDAYS(Tabela1[[#This Row],[Data de entrada]],$J$2),NETWORKDAYS(Tabela1[[#This Row],[Data de entrada]],Tabela1[[#This Row],[Data de conclusão]]))</f>
        <v>403</v>
      </c>
      <c r="K464" s="1"/>
    </row>
    <row r="465" spans="2:11" x14ac:dyDescent="0.25">
      <c r="B465" s="3">
        <v>572</v>
      </c>
      <c r="C465" s="3" t="s">
        <v>9</v>
      </c>
      <c r="D465" s="3" t="s">
        <v>15</v>
      </c>
      <c r="E465" s="4">
        <v>42507</v>
      </c>
      <c r="F465" s="4"/>
      <c r="G465" s="3" t="s">
        <v>29</v>
      </c>
      <c r="H465" s="5">
        <v>1164</v>
      </c>
      <c r="I465" s="3" t="str">
        <f>VLOOKUP(Tabela1[[#This Row],[Advogado]],Tabela2[],2,FALSE)</f>
        <v>Renê Amaranto</v>
      </c>
      <c r="J465" s="17">
        <f>IF(Tabela1[[#This Row],[Data de conclusão]]="",NETWORKDAYS(Tabela1[[#This Row],[Data de entrada]],$J$2),NETWORKDAYS(Tabela1[[#This Row],[Data de entrada]],Tabela1[[#This Row],[Data de conclusão]]))</f>
        <v>521</v>
      </c>
      <c r="K465" s="1"/>
    </row>
    <row r="466" spans="2:11" x14ac:dyDescent="0.25">
      <c r="B466" s="3">
        <v>573</v>
      </c>
      <c r="C466" s="3" t="s">
        <v>7</v>
      </c>
      <c r="D466" s="3" t="s">
        <v>16</v>
      </c>
      <c r="E466" s="4">
        <v>42480</v>
      </c>
      <c r="F466" s="4"/>
      <c r="G466" s="3" t="s">
        <v>29</v>
      </c>
      <c r="H466" s="5">
        <v>33482</v>
      </c>
      <c r="I466" s="3" t="str">
        <f>VLOOKUP(Tabela1[[#This Row],[Advogado]],Tabela2[],2,FALSE)</f>
        <v>Renê Amaranto</v>
      </c>
      <c r="J466" s="17">
        <f>IF(Tabela1[[#This Row],[Data de conclusão]]="",NETWORKDAYS(Tabela1[[#This Row],[Data de entrada]],$J$2),NETWORKDAYS(Tabela1[[#This Row],[Data de entrada]],Tabela1[[#This Row],[Data de conclusão]]))</f>
        <v>540</v>
      </c>
      <c r="K466" s="1"/>
    </row>
    <row r="467" spans="2:11" x14ac:dyDescent="0.25">
      <c r="B467" s="3">
        <v>574</v>
      </c>
      <c r="C467" s="3" t="s">
        <v>8</v>
      </c>
      <c r="D467" s="3" t="s">
        <v>17</v>
      </c>
      <c r="E467" s="4">
        <v>42742</v>
      </c>
      <c r="F467" s="4"/>
      <c r="G467" s="3" t="s">
        <v>29</v>
      </c>
      <c r="H467" s="5">
        <v>24466</v>
      </c>
      <c r="I467" s="3" t="str">
        <f>VLOOKUP(Tabela1[[#This Row],[Advogado]],Tabela2[],2,FALSE)</f>
        <v>Renê Amaranto</v>
      </c>
      <c r="J467" s="17">
        <f>IF(Tabela1[[#This Row],[Data de conclusão]]="",NETWORKDAYS(Tabela1[[#This Row],[Data de entrada]],$J$2),NETWORKDAYS(Tabela1[[#This Row],[Data de entrada]],Tabela1[[#This Row],[Data de conclusão]]))</f>
        <v>352</v>
      </c>
      <c r="K467" s="1"/>
    </row>
    <row r="468" spans="2:11" x14ac:dyDescent="0.25">
      <c r="B468" s="3">
        <v>575</v>
      </c>
      <c r="C468" s="3" t="s">
        <v>9</v>
      </c>
      <c r="D468" s="3" t="s">
        <v>10</v>
      </c>
      <c r="E468" s="4">
        <v>42433</v>
      </c>
      <c r="F468" s="4"/>
      <c r="G468" s="3" t="s">
        <v>29</v>
      </c>
      <c r="H468" s="5">
        <v>51557</v>
      </c>
      <c r="I468" s="3" t="str">
        <f>VLOOKUP(Tabela1[[#This Row],[Advogado]],Tabela2[],2,FALSE)</f>
        <v>Caio Brito</v>
      </c>
      <c r="J468" s="17">
        <f>IF(Tabela1[[#This Row],[Data de conclusão]]="",NETWORKDAYS(Tabela1[[#This Row],[Data de entrada]],$J$2),NETWORKDAYS(Tabela1[[#This Row],[Data de entrada]],Tabela1[[#This Row],[Data de conclusão]]))</f>
        <v>573</v>
      </c>
      <c r="K468" s="1"/>
    </row>
    <row r="469" spans="2:11" x14ac:dyDescent="0.25">
      <c r="B469" s="3">
        <v>576</v>
      </c>
      <c r="C469" s="3" t="s">
        <v>7</v>
      </c>
      <c r="D469" s="3" t="s">
        <v>11</v>
      </c>
      <c r="E469" s="4">
        <v>43074</v>
      </c>
      <c r="F469" s="4"/>
      <c r="G469" s="3" t="s">
        <v>29</v>
      </c>
      <c r="H469" s="5">
        <v>29492</v>
      </c>
      <c r="I469" s="3" t="str">
        <f>VLOOKUP(Tabela1[[#This Row],[Advogado]],Tabela2[],2,FALSE)</f>
        <v>Caio Brito</v>
      </c>
      <c r="J469" s="17">
        <f>IF(Tabela1[[#This Row],[Data de conclusão]]="",NETWORKDAYS(Tabela1[[#This Row],[Data de entrada]],$J$2),NETWORKDAYS(Tabela1[[#This Row],[Data de entrada]],Tabela1[[#This Row],[Data de conclusão]]))</f>
        <v>116</v>
      </c>
      <c r="K469" s="1"/>
    </row>
    <row r="470" spans="2:11" x14ac:dyDescent="0.25">
      <c r="B470" s="3">
        <v>577</v>
      </c>
      <c r="C470" s="3" t="s">
        <v>8</v>
      </c>
      <c r="D470" s="3" t="s">
        <v>12</v>
      </c>
      <c r="E470" s="4">
        <v>42722</v>
      </c>
      <c r="F470" s="4">
        <v>42799</v>
      </c>
      <c r="G470" s="3" t="s">
        <v>28</v>
      </c>
      <c r="H470" s="5">
        <v>2738</v>
      </c>
      <c r="I470" s="3" t="str">
        <f>VLOOKUP(Tabela1[[#This Row],[Advogado]],Tabela2[],2,FALSE)</f>
        <v>Caio Brito</v>
      </c>
      <c r="J470" s="17">
        <f>IF(Tabela1[[#This Row],[Data de conclusão]]="",NETWORKDAYS(Tabela1[[#This Row],[Data de entrada]],$J$2),NETWORKDAYS(Tabela1[[#This Row],[Data de entrada]],Tabela1[[#This Row],[Data de conclusão]]))</f>
        <v>55</v>
      </c>
      <c r="K470" s="1"/>
    </row>
    <row r="471" spans="2:11" x14ac:dyDescent="0.25">
      <c r="B471" s="3">
        <v>578</v>
      </c>
      <c r="C471" s="3" t="s">
        <v>9</v>
      </c>
      <c r="D471" s="3" t="s">
        <v>13</v>
      </c>
      <c r="E471" s="4">
        <v>42692</v>
      </c>
      <c r="F471" s="4"/>
      <c r="G471" s="3" t="s">
        <v>27</v>
      </c>
      <c r="H471" s="5">
        <v>23736</v>
      </c>
      <c r="I471" s="3" t="str">
        <f>VLOOKUP(Tabela1[[#This Row],[Advogado]],Tabela2[],2,FALSE)</f>
        <v>Caio Brito</v>
      </c>
      <c r="J471" s="17">
        <f>IF(Tabela1[[#This Row],[Data de conclusão]]="",NETWORKDAYS(Tabela1[[#This Row],[Data de entrada]],$J$2),NETWORKDAYS(Tabela1[[#This Row],[Data de entrada]],Tabela1[[#This Row],[Data de conclusão]]))</f>
        <v>388</v>
      </c>
      <c r="K471" s="1"/>
    </row>
    <row r="472" spans="2:11" x14ac:dyDescent="0.25">
      <c r="B472" s="3">
        <v>579</v>
      </c>
      <c r="C472" s="3" t="s">
        <v>7</v>
      </c>
      <c r="D472" s="3" t="s">
        <v>14</v>
      </c>
      <c r="E472" s="4">
        <v>42615</v>
      </c>
      <c r="F472" s="4"/>
      <c r="G472" s="3" t="s">
        <v>29</v>
      </c>
      <c r="H472" s="5">
        <v>15477</v>
      </c>
      <c r="I472" s="3" t="str">
        <f>VLOOKUP(Tabela1[[#This Row],[Advogado]],Tabela2[],2,FALSE)</f>
        <v>Renê Amaranto</v>
      </c>
      <c r="J472" s="17">
        <f>IF(Tabela1[[#This Row],[Data de conclusão]]="",NETWORKDAYS(Tabela1[[#This Row],[Data de entrada]],$J$2),NETWORKDAYS(Tabela1[[#This Row],[Data de entrada]],Tabela1[[#This Row],[Data de conclusão]]))</f>
        <v>443</v>
      </c>
      <c r="K472" s="1"/>
    </row>
    <row r="473" spans="2:11" x14ac:dyDescent="0.25">
      <c r="B473" s="3">
        <v>580</v>
      </c>
      <c r="C473" s="3" t="s">
        <v>8</v>
      </c>
      <c r="D473" s="3" t="s">
        <v>15</v>
      </c>
      <c r="E473" s="4">
        <v>42399</v>
      </c>
      <c r="F473" s="4"/>
      <c r="G473" s="3" t="s">
        <v>29</v>
      </c>
      <c r="H473" s="5">
        <v>4194</v>
      </c>
      <c r="I473" s="3" t="str">
        <f>VLOOKUP(Tabela1[[#This Row],[Advogado]],Tabela2[],2,FALSE)</f>
        <v>Renê Amaranto</v>
      </c>
      <c r="J473" s="17">
        <f>IF(Tabela1[[#This Row],[Data de conclusão]]="",NETWORKDAYS(Tabela1[[#This Row],[Data de entrada]],$J$2),NETWORKDAYS(Tabela1[[#This Row],[Data de entrada]],Tabela1[[#This Row],[Data de conclusão]]))</f>
        <v>597</v>
      </c>
      <c r="K473" s="1"/>
    </row>
    <row r="474" spans="2:11" x14ac:dyDescent="0.25">
      <c r="B474" s="3">
        <v>581</v>
      </c>
      <c r="C474" s="3" t="s">
        <v>9</v>
      </c>
      <c r="D474" s="3" t="s">
        <v>16</v>
      </c>
      <c r="E474" s="4">
        <v>42556</v>
      </c>
      <c r="F474" s="4"/>
      <c r="G474" s="3" t="s">
        <v>29</v>
      </c>
      <c r="H474" s="5">
        <v>33181</v>
      </c>
      <c r="I474" s="3" t="str">
        <f>VLOOKUP(Tabela1[[#This Row],[Advogado]],Tabela2[],2,FALSE)</f>
        <v>Renê Amaranto</v>
      </c>
      <c r="J474" s="17">
        <f>IF(Tabela1[[#This Row],[Data de conclusão]]="",NETWORKDAYS(Tabela1[[#This Row],[Data de entrada]],$J$2),NETWORKDAYS(Tabela1[[#This Row],[Data de entrada]],Tabela1[[#This Row],[Data de conclusão]]))</f>
        <v>486</v>
      </c>
      <c r="K474" s="1"/>
    </row>
    <row r="475" spans="2:11" x14ac:dyDescent="0.25">
      <c r="B475" s="3">
        <v>582</v>
      </c>
      <c r="C475" s="3" t="s">
        <v>7</v>
      </c>
      <c r="D475" s="3" t="s">
        <v>17</v>
      </c>
      <c r="E475" s="4">
        <v>42571</v>
      </c>
      <c r="F475" s="4"/>
      <c r="G475" s="3" t="s">
        <v>29</v>
      </c>
      <c r="H475" s="5">
        <v>29702</v>
      </c>
      <c r="I475" s="3" t="str">
        <f>VLOOKUP(Tabela1[[#This Row],[Advogado]],Tabela2[],2,FALSE)</f>
        <v>Renê Amaranto</v>
      </c>
      <c r="J475" s="17">
        <f>IF(Tabela1[[#This Row],[Data de conclusão]]="",NETWORKDAYS(Tabela1[[#This Row],[Data de entrada]],$J$2),NETWORKDAYS(Tabela1[[#This Row],[Data de entrada]],Tabela1[[#This Row],[Data de conclusão]]))</f>
        <v>475</v>
      </c>
      <c r="K475" s="1"/>
    </row>
    <row r="476" spans="2:11" x14ac:dyDescent="0.25">
      <c r="B476" s="3">
        <v>583</v>
      </c>
      <c r="C476" s="3" t="s">
        <v>8</v>
      </c>
      <c r="D476" s="3" t="s">
        <v>10</v>
      </c>
      <c r="E476" s="4">
        <v>42846</v>
      </c>
      <c r="F476" s="4"/>
      <c r="G476" s="3" t="s">
        <v>29</v>
      </c>
      <c r="H476" s="5">
        <v>20436</v>
      </c>
      <c r="I476" s="3" t="str">
        <f>VLOOKUP(Tabela1[[#This Row],[Advogado]],Tabela2[],2,FALSE)</f>
        <v>Caio Brito</v>
      </c>
      <c r="J476" s="17">
        <f>IF(Tabela1[[#This Row],[Data de conclusão]]="",NETWORKDAYS(Tabela1[[#This Row],[Data de entrada]],$J$2),NETWORKDAYS(Tabela1[[#This Row],[Data de entrada]],Tabela1[[#This Row],[Data de conclusão]]))</f>
        <v>278</v>
      </c>
      <c r="K476" s="1"/>
    </row>
    <row r="477" spans="2:11" x14ac:dyDescent="0.25">
      <c r="B477" s="3">
        <v>584</v>
      </c>
      <c r="C477" s="3" t="s">
        <v>9</v>
      </c>
      <c r="D477" s="3" t="s">
        <v>11</v>
      </c>
      <c r="E477" s="4">
        <v>42843</v>
      </c>
      <c r="F477" s="4"/>
      <c r="G477" s="3" t="s">
        <v>29</v>
      </c>
      <c r="H477" s="5">
        <v>52956</v>
      </c>
      <c r="I477" s="3" t="str">
        <f>VLOOKUP(Tabela1[[#This Row],[Advogado]],Tabela2[],2,FALSE)</f>
        <v>Caio Brito</v>
      </c>
      <c r="J477" s="17">
        <f>IF(Tabela1[[#This Row],[Data de conclusão]]="",NETWORKDAYS(Tabela1[[#This Row],[Data de entrada]],$J$2),NETWORKDAYS(Tabela1[[#This Row],[Data de entrada]],Tabela1[[#This Row],[Data de conclusão]]))</f>
        <v>281</v>
      </c>
      <c r="K477" s="1"/>
    </row>
    <row r="478" spans="2:11" x14ac:dyDescent="0.25">
      <c r="B478" s="3">
        <v>585</v>
      </c>
      <c r="C478" s="3" t="s">
        <v>7</v>
      </c>
      <c r="D478" s="3" t="s">
        <v>12</v>
      </c>
      <c r="E478" s="4">
        <v>42680</v>
      </c>
      <c r="F478" s="4"/>
      <c r="G478" s="3" t="s">
        <v>29</v>
      </c>
      <c r="H478" s="5">
        <v>6290</v>
      </c>
      <c r="I478" s="3" t="str">
        <f>VLOOKUP(Tabela1[[#This Row],[Advogado]],Tabela2[],2,FALSE)</f>
        <v>Caio Brito</v>
      </c>
      <c r="J478" s="17">
        <f>IF(Tabela1[[#This Row],[Data de conclusão]]="",NETWORKDAYS(Tabela1[[#This Row],[Data de entrada]],$J$2),NETWORKDAYS(Tabela1[[#This Row],[Data de entrada]],Tabela1[[#This Row],[Data de conclusão]]))</f>
        <v>397</v>
      </c>
      <c r="K478" s="1"/>
    </row>
    <row r="479" spans="2:11" x14ac:dyDescent="0.25">
      <c r="B479" s="3">
        <v>586</v>
      </c>
      <c r="C479" s="3" t="s">
        <v>8</v>
      </c>
      <c r="D479" s="3" t="s">
        <v>13</v>
      </c>
      <c r="E479" s="4">
        <v>42853</v>
      </c>
      <c r="F479" s="4"/>
      <c r="G479" s="3" t="s">
        <v>29</v>
      </c>
      <c r="H479" s="5">
        <v>12223</v>
      </c>
      <c r="I479" s="3" t="str">
        <f>VLOOKUP(Tabela1[[#This Row],[Advogado]],Tabela2[],2,FALSE)</f>
        <v>Caio Brito</v>
      </c>
      <c r="J479" s="17">
        <f>IF(Tabela1[[#This Row],[Data de conclusão]]="",NETWORKDAYS(Tabela1[[#This Row],[Data de entrada]],$J$2),NETWORKDAYS(Tabela1[[#This Row],[Data de entrada]],Tabela1[[#This Row],[Data de conclusão]]))</f>
        <v>273</v>
      </c>
      <c r="K479" s="1"/>
    </row>
    <row r="480" spans="2:11" x14ac:dyDescent="0.25">
      <c r="B480" s="3">
        <v>587</v>
      </c>
      <c r="C480" s="3" t="s">
        <v>9</v>
      </c>
      <c r="D480" s="3" t="s">
        <v>14</v>
      </c>
      <c r="E480" s="4">
        <v>42979</v>
      </c>
      <c r="F480" s="4"/>
      <c r="G480" s="3" t="s">
        <v>29</v>
      </c>
      <c r="H480" s="5">
        <v>34223</v>
      </c>
      <c r="I480" s="3" t="str">
        <f>VLOOKUP(Tabela1[[#This Row],[Advogado]],Tabela2[],2,FALSE)</f>
        <v>Renê Amaranto</v>
      </c>
      <c r="J480" s="17">
        <f>IF(Tabela1[[#This Row],[Data de conclusão]]="",NETWORKDAYS(Tabela1[[#This Row],[Data de entrada]],$J$2),NETWORKDAYS(Tabela1[[#This Row],[Data de entrada]],Tabela1[[#This Row],[Data de conclusão]]))</f>
        <v>183</v>
      </c>
      <c r="K480" s="1"/>
    </row>
    <row r="481" spans="2:11" x14ac:dyDescent="0.25">
      <c r="B481" s="3">
        <v>588</v>
      </c>
      <c r="C481" s="3" t="s">
        <v>7</v>
      </c>
      <c r="D481" s="3" t="s">
        <v>15</v>
      </c>
      <c r="E481" s="4">
        <v>42635</v>
      </c>
      <c r="F481" s="4"/>
      <c r="G481" s="3" t="s">
        <v>29</v>
      </c>
      <c r="H481" s="5">
        <v>18753</v>
      </c>
      <c r="I481" s="3" t="str">
        <f>VLOOKUP(Tabela1[[#This Row],[Advogado]],Tabela2[],2,FALSE)</f>
        <v>Renê Amaranto</v>
      </c>
      <c r="J481" s="17">
        <f>IF(Tabela1[[#This Row],[Data de conclusão]]="",NETWORKDAYS(Tabela1[[#This Row],[Data de entrada]],$J$2),NETWORKDAYS(Tabela1[[#This Row],[Data de entrada]],Tabela1[[#This Row],[Data de conclusão]]))</f>
        <v>429</v>
      </c>
      <c r="K481" s="1"/>
    </row>
    <row r="482" spans="2:11" x14ac:dyDescent="0.25">
      <c r="B482" s="3">
        <v>589</v>
      </c>
      <c r="C482" s="3" t="s">
        <v>8</v>
      </c>
      <c r="D482" s="3" t="s">
        <v>16</v>
      </c>
      <c r="E482" s="4">
        <v>42919</v>
      </c>
      <c r="F482" s="4"/>
      <c r="G482" s="3" t="s">
        <v>29</v>
      </c>
      <c r="H482" s="5">
        <v>29681</v>
      </c>
      <c r="I482" s="3" t="str">
        <f>VLOOKUP(Tabela1[[#This Row],[Advogado]],Tabela2[],2,FALSE)</f>
        <v>Renê Amaranto</v>
      </c>
      <c r="J482" s="17">
        <f>IF(Tabela1[[#This Row],[Data de conclusão]]="",NETWORKDAYS(Tabela1[[#This Row],[Data de entrada]],$J$2),NETWORKDAYS(Tabela1[[#This Row],[Data de entrada]],Tabela1[[#This Row],[Data de conclusão]]))</f>
        <v>227</v>
      </c>
      <c r="K482" s="1"/>
    </row>
    <row r="483" spans="2:11" x14ac:dyDescent="0.25">
      <c r="B483" s="3">
        <v>590</v>
      </c>
      <c r="C483" s="3" t="s">
        <v>9</v>
      </c>
      <c r="D483" s="3" t="s">
        <v>17</v>
      </c>
      <c r="E483" s="4">
        <v>42827</v>
      </c>
      <c r="F483" s="4">
        <v>42920</v>
      </c>
      <c r="G483" s="3" t="s">
        <v>28</v>
      </c>
      <c r="H483" s="5">
        <v>43517</v>
      </c>
      <c r="I483" s="3" t="str">
        <f>VLOOKUP(Tabela1[[#This Row],[Advogado]],Tabela2[],2,FALSE)</f>
        <v>Renê Amaranto</v>
      </c>
      <c r="J483" s="17">
        <f>IF(Tabela1[[#This Row],[Data de conclusão]]="",NETWORKDAYS(Tabela1[[#This Row],[Data de entrada]],$J$2),NETWORKDAYS(Tabela1[[#This Row],[Data de entrada]],Tabela1[[#This Row],[Data de conclusão]]))</f>
        <v>67</v>
      </c>
      <c r="K483" s="1"/>
    </row>
    <row r="484" spans="2:11" x14ac:dyDescent="0.25">
      <c r="B484" s="3">
        <v>591</v>
      </c>
      <c r="C484" s="3" t="s">
        <v>7</v>
      </c>
      <c r="D484" s="3" t="s">
        <v>10</v>
      </c>
      <c r="E484" s="4">
        <v>43035</v>
      </c>
      <c r="F484" s="4"/>
      <c r="G484" s="3" t="s">
        <v>27</v>
      </c>
      <c r="H484" s="5">
        <v>54815</v>
      </c>
      <c r="I484" s="3" t="str">
        <f>VLOOKUP(Tabela1[[#This Row],[Advogado]],Tabela2[],2,FALSE)</f>
        <v>Caio Brito</v>
      </c>
      <c r="J484" s="17">
        <f>IF(Tabela1[[#This Row],[Data de conclusão]]="",NETWORKDAYS(Tabela1[[#This Row],[Data de entrada]],$J$2),NETWORKDAYS(Tabela1[[#This Row],[Data de entrada]],Tabela1[[#This Row],[Data de conclusão]]))</f>
        <v>143</v>
      </c>
      <c r="K484" s="1"/>
    </row>
    <row r="485" spans="2:11" x14ac:dyDescent="0.25">
      <c r="B485" s="3">
        <v>592</v>
      </c>
      <c r="C485" s="3" t="s">
        <v>8</v>
      </c>
      <c r="D485" s="3" t="s">
        <v>11</v>
      </c>
      <c r="E485" s="4">
        <v>42492</v>
      </c>
      <c r="F485" s="4"/>
      <c r="G485" s="3" t="s">
        <v>29</v>
      </c>
      <c r="H485" s="5">
        <v>45787</v>
      </c>
      <c r="I485" s="3" t="str">
        <f>VLOOKUP(Tabela1[[#This Row],[Advogado]],Tabela2[],2,FALSE)</f>
        <v>Caio Brito</v>
      </c>
      <c r="J485" s="17">
        <f>IF(Tabela1[[#This Row],[Data de conclusão]]="",NETWORKDAYS(Tabela1[[#This Row],[Data de entrada]],$J$2),NETWORKDAYS(Tabela1[[#This Row],[Data de entrada]],Tabela1[[#This Row],[Data de conclusão]]))</f>
        <v>532</v>
      </c>
      <c r="K485" s="1"/>
    </row>
    <row r="486" spans="2:11" x14ac:dyDescent="0.25">
      <c r="B486" s="3">
        <v>593</v>
      </c>
      <c r="C486" s="3" t="s">
        <v>9</v>
      </c>
      <c r="D486" s="3" t="s">
        <v>12</v>
      </c>
      <c r="E486" s="4">
        <v>42513</v>
      </c>
      <c r="F486" s="4"/>
      <c r="G486" s="3" t="s">
        <v>29</v>
      </c>
      <c r="H486" s="5">
        <v>31108</v>
      </c>
      <c r="I486" s="3" t="str">
        <f>VLOOKUP(Tabela1[[#This Row],[Advogado]],Tabela2[],2,FALSE)</f>
        <v>Caio Brito</v>
      </c>
      <c r="J486" s="17">
        <f>IF(Tabela1[[#This Row],[Data de conclusão]]="",NETWORKDAYS(Tabela1[[#This Row],[Data de entrada]],$J$2),NETWORKDAYS(Tabela1[[#This Row],[Data de entrada]],Tabela1[[#This Row],[Data de conclusão]]))</f>
        <v>517</v>
      </c>
      <c r="K486" s="1"/>
    </row>
    <row r="487" spans="2:11" x14ac:dyDescent="0.25">
      <c r="B487" s="3">
        <v>594</v>
      </c>
      <c r="C487" s="3" t="s">
        <v>7</v>
      </c>
      <c r="D487" s="3" t="s">
        <v>13</v>
      </c>
      <c r="E487" s="4">
        <v>42427</v>
      </c>
      <c r="F487" s="4"/>
      <c r="G487" s="3" t="s">
        <v>29</v>
      </c>
      <c r="H487" s="5">
        <v>47382</v>
      </c>
      <c r="I487" s="3" t="str">
        <f>VLOOKUP(Tabela1[[#This Row],[Advogado]],Tabela2[],2,FALSE)</f>
        <v>Caio Brito</v>
      </c>
      <c r="J487" s="17">
        <f>IF(Tabela1[[#This Row],[Data de conclusão]]="",NETWORKDAYS(Tabela1[[#This Row],[Data de entrada]],$J$2),NETWORKDAYS(Tabela1[[#This Row],[Data de entrada]],Tabela1[[#This Row],[Data de conclusão]]))</f>
        <v>577</v>
      </c>
      <c r="K487" s="1"/>
    </row>
    <row r="488" spans="2:11" x14ac:dyDescent="0.25">
      <c r="B488" s="3">
        <v>595</v>
      </c>
      <c r="C488" s="3" t="s">
        <v>8</v>
      </c>
      <c r="D488" s="3" t="s">
        <v>14</v>
      </c>
      <c r="E488" s="4">
        <v>42783</v>
      </c>
      <c r="F488" s="4"/>
      <c r="G488" s="3" t="s">
        <v>29</v>
      </c>
      <c r="H488" s="5">
        <v>17442</v>
      </c>
      <c r="I488" s="3" t="str">
        <f>VLOOKUP(Tabela1[[#This Row],[Advogado]],Tabela2[],2,FALSE)</f>
        <v>Renê Amaranto</v>
      </c>
      <c r="J488" s="17">
        <f>IF(Tabela1[[#This Row],[Data de conclusão]]="",NETWORKDAYS(Tabela1[[#This Row],[Data de entrada]],$J$2),NETWORKDAYS(Tabela1[[#This Row],[Data de entrada]],Tabela1[[#This Row],[Data de conclusão]]))</f>
        <v>323</v>
      </c>
      <c r="K488" s="1"/>
    </row>
    <row r="489" spans="2:11" x14ac:dyDescent="0.25">
      <c r="B489" s="3">
        <v>596</v>
      </c>
      <c r="C489" s="3" t="s">
        <v>9</v>
      </c>
      <c r="D489" s="3" t="s">
        <v>15</v>
      </c>
      <c r="E489" s="4">
        <v>42795</v>
      </c>
      <c r="F489" s="4"/>
      <c r="G489" s="3" t="s">
        <v>29</v>
      </c>
      <c r="H489" s="5">
        <v>49960</v>
      </c>
      <c r="I489" s="3" t="str">
        <f>VLOOKUP(Tabela1[[#This Row],[Advogado]],Tabela2[],2,FALSE)</f>
        <v>Renê Amaranto</v>
      </c>
      <c r="J489" s="17">
        <f>IF(Tabela1[[#This Row],[Data de conclusão]]="",NETWORKDAYS(Tabela1[[#This Row],[Data de entrada]],$J$2),NETWORKDAYS(Tabela1[[#This Row],[Data de entrada]],Tabela1[[#This Row],[Data de conclusão]]))</f>
        <v>315</v>
      </c>
      <c r="K489" s="1"/>
    </row>
    <row r="490" spans="2:11" x14ac:dyDescent="0.25">
      <c r="B490" s="3">
        <v>597</v>
      </c>
      <c r="C490" s="3" t="s">
        <v>7</v>
      </c>
      <c r="D490" s="3" t="s">
        <v>16</v>
      </c>
      <c r="E490" s="4">
        <v>42782</v>
      </c>
      <c r="F490" s="4"/>
      <c r="G490" s="3" t="s">
        <v>29</v>
      </c>
      <c r="H490" s="5">
        <v>3259</v>
      </c>
      <c r="I490" s="3" t="str">
        <f>VLOOKUP(Tabela1[[#This Row],[Advogado]],Tabela2[],2,FALSE)</f>
        <v>Renê Amaranto</v>
      </c>
      <c r="J490" s="17">
        <f>IF(Tabela1[[#This Row],[Data de conclusão]]="",NETWORKDAYS(Tabela1[[#This Row],[Data de entrada]],$J$2),NETWORKDAYS(Tabela1[[#This Row],[Data de entrada]],Tabela1[[#This Row],[Data de conclusão]]))</f>
        <v>324</v>
      </c>
      <c r="K490" s="1"/>
    </row>
    <row r="491" spans="2:11" x14ac:dyDescent="0.25">
      <c r="B491" s="3">
        <v>598</v>
      </c>
      <c r="C491" s="3" t="s">
        <v>8</v>
      </c>
      <c r="D491" s="3" t="s">
        <v>17</v>
      </c>
      <c r="E491" s="4">
        <v>43048</v>
      </c>
      <c r="F491" s="4"/>
      <c r="G491" s="3" t="s">
        <v>29</v>
      </c>
      <c r="H491" s="5">
        <v>12540</v>
      </c>
      <c r="I491" s="3" t="str">
        <f>VLOOKUP(Tabela1[[#This Row],[Advogado]],Tabela2[],2,FALSE)</f>
        <v>Renê Amaranto</v>
      </c>
      <c r="J491" s="17">
        <f>IF(Tabela1[[#This Row],[Data de conclusão]]="",NETWORKDAYS(Tabela1[[#This Row],[Data de entrada]],$J$2),NETWORKDAYS(Tabela1[[#This Row],[Data de entrada]],Tabela1[[#This Row],[Data de conclusão]]))</f>
        <v>134</v>
      </c>
      <c r="K491" s="1"/>
    </row>
    <row r="492" spans="2:11" x14ac:dyDescent="0.25">
      <c r="B492" s="3">
        <v>599</v>
      </c>
      <c r="C492" s="3" t="s">
        <v>9</v>
      </c>
      <c r="D492" s="3" t="s">
        <v>10</v>
      </c>
      <c r="E492" s="4">
        <v>43062</v>
      </c>
      <c r="F492" s="4"/>
      <c r="G492" s="3" t="s">
        <v>29</v>
      </c>
      <c r="H492" s="5">
        <v>21644</v>
      </c>
      <c r="I492" s="3" t="str">
        <f>VLOOKUP(Tabela1[[#This Row],[Advogado]],Tabela2[],2,FALSE)</f>
        <v>Caio Brito</v>
      </c>
      <c r="J492" s="17">
        <f>IF(Tabela1[[#This Row],[Data de conclusão]]="",NETWORKDAYS(Tabela1[[#This Row],[Data de entrada]],$J$2),NETWORKDAYS(Tabela1[[#This Row],[Data de entrada]],Tabela1[[#This Row],[Data de conclusão]]))</f>
        <v>124</v>
      </c>
      <c r="K492" s="1"/>
    </row>
    <row r="493" spans="2:11" x14ac:dyDescent="0.25">
      <c r="B493" s="3">
        <v>600</v>
      </c>
      <c r="C493" s="3" t="s">
        <v>7</v>
      </c>
      <c r="D493" s="3" t="s">
        <v>11</v>
      </c>
      <c r="E493" s="4">
        <v>42749</v>
      </c>
      <c r="F493" s="4"/>
      <c r="G493" s="3" t="s">
        <v>29</v>
      </c>
      <c r="H493" s="5">
        <v>3274</v>
      </c>
      <c r="I493" s="3" t="str">
        <f>VLOOKUP(Tabela1[[#This Row],[Advogado]],Tabela2[],2,FALSE)</f>
        <v>Caio Brito</v>
      </c>
      <c r="J493" s="17">
        <f>IF(Tabela1[[#This Row],[Data de conclusão]]="",NETWORKDAYS(Tabela1[[#This Row],[Data de entrada]],$J$2),NETWORKDAYS(Tabela1[[#This Row],[Data de entrada]],Tabela1[[#This Row],[Data de conclusão]]))</f>
        <v>347</v>
      </c>
      <c r="K493" s="1"/>
    </row>
    <row r="494" spans="2:11" x14ac:dyDescent="0.25">
      <c r="B494" s="3">
        <v>601</v>
      </c>
      <c r="C494" s="3" t="s">
        <v>8</v>
      </c>
      <c r="D494" s="3" t="s">
        <v>12</v>
      </c>
      <c r="E494" s="4">
        <v>42749</v>
      </c>
      <c r="F494" s="4"/>
      <c r="G494" s="3" t="s">
        <v>29</v>
      </c>
      <c r="H494" s="5">
        <v>40766</v>
      </c>
      <c r="I494" s="3" t="str">
        <f>VLOOKUP(Tabela1[[#This Row],[Advogado]],Tabela2[],2,FALSE)</f>
        <v>Caio Brito</v>
      </c>
      <c r="J494" s="17">
        <f>IF(Tabela1[[#This Row],[Data de conclusão]]="",NETWORKDAYS(Tabela1[[#This Row],[Data de entrada]],$J$2),NETWORKDAYS(Tabela1[[#This Row],[Data de entrada]],Tabela1[[#This Row],[Data de conclusão]]))</f>
        <v>347</v>
      </c>
      <c r="K494" s="1"/>
    </row>
    <row r="495" spans="2:11" x14ac:dyDescent="0.25">
      <c r="B495" s="3">
        <v>602</v>
      </c>
      <c r="C495" s="3" t="s">
        <v>9</v>
      </c>
      <c r="D495" s="3" t="s">
        <v>13</v>
      </c>
      <c r="E495" s="4">
        <v>42452</v>
      </c>
      <c r="F495" s="4"/>
      <c r="G495" s="3" t="s">
        <v>29</v>
      </c>
      <c r="H495" s="5">
        <v>18682</v>
      </c>
      <c r="I495" s="3" t="str">
        <f>VLOOKUP(Tabela1[[#This Row],[Advogado]],Tabela2[],2,FALSE)</f>
        <v>Caio Brito</v>
      </c>
      <c r="J495" s="17">
        <f>IF(Tabela1[[#This Row],[Data de conclusão]]="",NETWORKDAYS(Tabela1[[#This Row],[Data de entrada]],$J$2),NETWORKDAYS(Tabela1[[#This Row],[Data de entrada]],Tabela1[[#This Row],[Data de conclusão]]))</f>
        <v>560</v>
      </c>
      <c r="K495" s="1"/>
    </row>
    <row r="496" spans="2:11" x14ac:dyDescent="0.25">
      <c r="B496" s="3">
        <v>603</v>
      </c>
      <c r="C496" s="3" t="s">
        <v>7</v>
      </c>
      <c r="D496" s="3" t="s">
        <v>14</v>
      </c>
      <c r="E496" s="4">
        <v>42473</v>
      </c>
      <c r="F496" s="4">
        <v>42589</v>
      </c>
      <c r="G496" s="3" t="s">
        <v>28</v>
      </c>
      <c r="H496" s="5">
        <v>33235</v>
      </c>
      <c r="I496" s="3" t="str">
        <f>VLOOKUP(Tabela1[[#This Row],[Advogado]],Tabela2[],2,FALSE)</f>
        <v>Renê Amaranto</v>
      </c>
      <c r="J496" s="17">
        <f>IF(Tabela1[[#This Row],[Data de conclusão]]="",NETWORKDAYS(Tabela1[[#This Row],[Data de entrada]],$J$2),NETWORKDAYS(Tabela1[[#This Row],[Data de entrada]],Tabela1[[#This Row],[Data de conclusão]]))</f>
        <v>83</v>
      </c>
      <c r="K496" s="1"/>
    </row>
    <row r="497" spans="2:11" x14ac:dyDescent="0.25">
      <c r="B497" s="3">
        <v>604</v>
      </c>
      <c r="C497" s="3" t="s">
        <v>8</v>
      </c>
      <c r="D497" s="3" t="s">
        <v>15</v>
      </c>
      <c r="E497" s="4">
        <v>42769</v>
      </c>
      <c r="F497" s="4"/>
      <c r="G497" s="3" t="s">
        <v>27</v>
      </c>
      <c r="H497" s="5">
        <v>53369</v>
      </c>
      <c r="I497" s="3" t="str">
        <f>VLOOKUP(Tabela1[[#This Row],[Advogado]],Tabela2[],2,FALSE)</f>
        <v>Renê Amaranto</v>
      </c>
      <c r="J497" s="17">
        <f>IF(Tabela1[[#This Row],[Data de conclusão]]="",NETWORKDAYS(Tabela1[[#This Row],[Data de entrada]],$J$2),NETWORKDAYS(Tabela1[[#This Row],[Data de entrada]],Tabela1[[#This Row],[Data de conclusão]]))</f>
        <v>333</v>
      </c>
      <c r="K497" s="1"/>
    </row>
    <row r="498" spans="2:11" x14ac:dyDescent="0.25">
      <c r="B498" s="3">
        <v>605</v>
      </c>
      <c r="C498" s="3" t="s">
        <v>9</v>
      </c>
      <c r="D498" s="3" t="s">
        <v>16</v>
      </c>
      <c r="E498" s="4">
        <v>42641</v>
      </c>
      <c r="F498" s="4"/>
      <c r="G498" s="3" t="s">
        <v>29</v>
      </c>
      <c r="H498" s="5">
        <v>3489</v>
      </c>
      <c r="I498" s="3" t="str">
        <f>VLOOKUP(Tabela1[[#This Row],[Advogado]],Tabela2[],2,FALSE)</f>
        <v>Renê Amaranto</v>
      </c>
      <c r="J498" s="17">
        <f>IF(Tabela1[[#This Row],[Data de conclusão]]="",NETWORKDAYS(Tabela1[[#This Row],[Data de entrada]],$J$2),NETWORKDAYS(Tabela1[[#This Row],[Data de entrada]],Tabela1[[#This Row],[Data de conclusão]]))</f>
        <v>425</v>
      </c>
      <c r="K498" s="1"/>
    </row>
    <row r="499" spans="2:11" x14ac:dyDescent="0.25">
      <c r="B499" s="3">
        <v>606</v>
      </c>
      <c r="C499" s="3" t="s">
        <v>7</v>
      </c>
      <c r="D499" s="3" t="s">
        <v>17</v>
      </c>
      <c r="E499" s="4">
        <v>42835</v>
      </c>
      <c r="F499" s="4"/>
      <c r="G499" s="3" t="s">
        <v>29</v>
      </c>
      <c r="H499" s="5">
        <v>15370</v>
      </c>
      <c r="I499" s="3" t="str">
        <f>VLOOKUP(Tabela1[[#This Row],[Advogado]],Tabela2[],2,FALSE)</f>
        <v>Renê Amaranto</v>
      </c>
      <c r="J499" s="17">
        <f>IF(Tabela1[[#This Row],[Data de conclusão]]="",NETWORKDAYS(Tabela1[[#This Row],[Data de entrada]],$J$2),NETWORKDAYS(Tabela1[[#This Row],[Data de entrada]],Tabela1[[#This Row],[Data de conclusão]]))</f>
        <v>287</v>
      </c>
      <c r="K499" s="1"/>
    </row>
    <row r="500" spans="2:11" x14ac:dyDescent="0.25">
      <c r="B500" s="3">
        <v>607</v>
      </c>
      <c r="C500" s="3" t="s">
        <v>8</v>
      </c>
      <c r="D500" s="3" t="s">
        <v>10</v>
      </c>
      <c r="E500" s="4">
        <v>42691</v>
      </c>
      <c r="F500" s="4"/>
      <c r="G500" s="3" t="s">
        <v>29</v>
      </c>
      <c r="H500" s="5">
        <v>51583</v>
      </c>
      <c r="I500" s="3" t="str">
        <f>VLOOKUP(Tabela1[[#This Row],[Advogado]],Tabela2[],2,FALSE)</f>
        <v>Caio Brito</v>
      </c>
      <c r="J500" s="17">
        <f>IF(Tabela1[[#This Row],[Data de conclusão]]="",NETWORKDAYS(Tabela1[[#This Row],[Data de entrada]],$J$2),NETWORKDAYS(Tabela1[[#This Row],[Data de entrada]],Tabela1[[#This Row],[Data de conclusão]]))</f>
        <v>389</v>
      </c>
      <c r="K500" s="1"/>
    </row>
    <row r="501" spans="2:11" x14ac:dyDescent="0.25">
      <c r="B501" s="3">
        <v>608</v>
      </c>
      <c r="C501" s="3" t="s">
        <v>9</v>
      </c>
      <c r="D501" s="3" t="s">
        <v>11</v>
      </c>
      <c r="E501" s="4">
        <v>42843</v>
      </c>
      <c r="F501" s="4"/>
      <c r="G501" s="3" t="s">
        <v>29</v>
      </c>
      <c r="H501" s="5">
        <v>17430</v>
      </c>
      <c r="I501" s="3" t="str">
        <f>VLOOKUP(Tabela1[[#This Row],[Advogado]],Tabela2[],2,FALSE)</f>
        <v>Caio Brito</v>
      </c>
      <c r="J501" s="17">
        <f>IF(Tabela1[[#This Row],[Data de conclusão]]="",NETWORKDAYS(Tabela1[[#This Row],[Data de entrada]],$J$2),NETWORKDAYS(Tabela1[[#This Row],[Data de entrada]],Tabela1[[#This Row],[Data de conclusão]]))</f>
        <v>281</v>
      </c>
      <c r="K501" s="1"/>
    </row>
    <row r="502" spans="2:11" x14ac:dyDescent="0.25">
      <c r="B502" s="3">
        <v>609</v>
      </c>
      <c r="C502" s="3" t="s">
        <v>7</v>
      </c>
      <c r="D502" s="3" t="s">
        <v>12</v>
      </c>
      <c r="E502" s="4">
        <v>43009</v>
      </c>
      <c r="F502" s="4"/>
      <c r="G502" s="3" t="s">
        <v>29</v>
      </c>
      <c r="H502" s="5">
        <v>15242</v>
      </c>
      <c r="I502" s="3" t="str">
        <f>VLOOKUP(Tabela1[[#This Row],[Advogado]],Tabela2[],2,FALSE)</f>
        <v>Caio Brito</v>
      </c>
      <c r="J502" s="17">
        <f>IF(Tabela1[[#This Row],[Data de conclusão]]="",NETWORKDAYS(Tabela1[[#This Row],[Data de entrada]],$J$2),NETWORKDAYS(Tabela1[[#This Row],[Data de entrada]],Tabela1[[#This Row],[Data de conclusão]]))</f>
        <v>162</v>
      </c>
      <c r="K502" s="1"/>
    </row>
    <row r="503" spans="2:11" x14ac:dyDescent="0.25">
      <c r="B503" s="3">
        <v>610</v>
      </c>
      <c r="C503" s="3" t="s">
        <v>8</v>
      </c>
      <c r="D503" s="3" t="s">
        <v>13</v>
      </c>
      <c r="E503" s="4">
        <v>42619</v>
      </c>
      <c r="F503" s="4"/>
      <c r="G503" s="3" t="s">
        <v>29</v>
      </c>
      <c r="H503" s="5">
        <v>33155</v>
      </c>
      <c r="I503" s="3" t="str">
        <f>VLOOKUP(Tabela1[[#This Row],[Advogado]],Tabela2[],2,FALSE)</f>
        <v>Caio Brito</v>
      </c>
      <c r="J503" s="17">
        <f>IF(Tabela1[[#This Row],[Data de conclusão]]="",NETWORKDAYS(Tabela1[[#This Row],[Data de entrada]],$J$2),NETWORKDAYS(Tabela1[[#This Row],[Data de entrada]],Tabela1[[#This Row],[Data de conclusão]]))</f>
        <v>441</v>
      </c>
      <c r="K503" s="1"/>
    </row>
    <row r="504" spans="2:11" x14ac:dyDescent="0.25">
      <c r="B504" s="3">
        <v>611</v>
      </c>
      <c r="C504" s="3" t="s">
        <v>9</v>
      </c>
      <c r="D504" s="3" t="s">
        <v>14</v>
      </c>
      <c r="E504" s="4">
        <v>43006</v>
      </c>
      <c r="F504" s="4"/>
      <c r="G504" s="3" t="s">
        <v>29</v>
      </c>
      <c r="H504" s="5">
        <v>7582</v>
      </c>
      <c r="I504" s="3" t="str">
        <f>VLOOKUP(Tabela1[[#This Row],[Advogado]],Tabela2[],2,FALSE)</f>
        <v>Renê Amaranto</v>
      </c>
      <c r="J504" s="17">
        <f>IF(Tabela1[[#This Row],[Data de conclusão]]="",NETWORKDAYS(Tabela1[[#This Row],[Data de entrada]],$J$2),NETWORKDAYS(Tabela1[[#This Row],[Data de entrada]],Tabela1[[#This Row],[Data de conclusão]]))</f>
        <v>164</v>
      </c>
      <c r="K504" s="1"/>
    </row>
    <row r="505" spans="2:11" x14ac:dyDescent="0.25">
      <c r="B505" s="3">
        <v>612</v>
      </c>
      <c r="C505" s="3" t="s">
        <v>7</v>
      </c>
      <c r="D505" s="3" t="s">
        <v>15</v>
      </c>
      <c r="E505" s="4">
        <v>42980</v>
      </c>
      <c r="F505" s="4"/>
      <c r="G505" s="3" t="s">
        <v>29</v>
      </c>
      <c r="H505" s="5">
        <v>36795</v>
      </c>
      <c r="I505" s="3" t="str">
        <f>VLOOKUP(Tabela1[[#This Row],[Advogado]],Tabela2[],2,FALSE)</f>
        <v>Renê Amaranto</v>
      </c>
      <c r="J505" s="17">
        <f>IF(Tabela1[[#This Row],[Data de conclusão]]="",NETWORKDAYS(Tabela1[[#This Row],[Data de entrada]],$J$2),NETWORKDAYS(Tabela1[[#This Row],[Data de entrada]],Tabela1[[#This Row],[Data de conclusão]]))</f>
        <v>182</v>
      </c>
      <c r="K505" s="1"/>
    </row>
    <row r="506" spans="2:11" x14ac:dyDescent="0.25">
      <c r="B506" s="3">
        <v>613</v>
      </c>
      <c r="C506" s="3" t="s">
        <v>8</v>
      </c>
      <c r="D506" s="3" t="s">
        <v>16</v>
      </c>
      <c r="E506" s="4">
        <v>42874</v>
      </c>
      <c r="F506" s="4"/>
      <c r="G506" s="3" t="s">
        <v>29</v>
      </c>
      <c r="H506" s="5">
        <v>54230</v>
      </c>
      <c r="I506" s="3" t="str">
        <f>VLOOKUP(Tabela1[[#This Row],[Advogado]],Tabela2[],2,FALSE)</f>
        <v>Renê Amaranto</v>
      </c>
      <c r="J506" s="17">
        <f>IF(Tabela1[[#This Row],[Data de conclusão]]="",NETWORKDAYS(Tabela1[[#This Row],[Data de entrada]],$J$2),NETWORKDAYS(Tabela1[[#This Row],[Data de entrada]],Tabela1[[#This Row],[Data de conclusão]]))</f>
        <v>258</v>
      </c>
      <c r="K506" s="1"/>
    </row>
    <row r="507" spans="2:11" x14ac:dyDescent="0.25">
      <c r="B507" s="3">
        <v>614</v>
      </c>
      <c r="C507" s="3" t="s">
        <v>9</v>
      </c>
      <c r="D507" s="3" t="s">
        <v>17</v>
      </c>
      <c r="E507" s="4">
        <v>42680</v>
      </c>
      <c r="F507" s="4"/>
      <c r="G507" s="3" t="s">
        <v>29</v>
      </c>
      <c r="H507" s="5">
        <v>54991</v>
      </c>
      <c r="I507" s="3" t="str">
        <f>VLOOKUP(Tabela1[[#This Row],[Advogado]],Tabela2[],2,FALSE)</f>
        <v>Renê Amaranto</v>
      </c>
      <c r="J507" s="17">
        <f>IF(Tabela1[[#This Row],[Data de conclusão]]="",NETWORKDAYS(Tabela1[[#This Row],[Data de entrada]],$J$2),NETWORKDAYS(Tabela1[[#This Row],[Data de entrada]],Tabela1[[#This Row],[Data de conclusão]]))</f>
        <v>397</v>
      </c>
      <c r="K507" s="1"/>
    </row>
    <row r="508" spans="2:11" x14ac:dyDescent="0.25">
      <c r="B508" s="3">
        <v>615</v>
      </c>
      <c r="C508" s="3" t="s">
        <v>7</v>
      </c>
      <c r="D508" s="3" t="s">
        <v>10</v>
      </c>
      <c r="E508" s="4">
        <v>42530</v>
      </c>
      <c r="F508" s="4"/>
      <c r="G508" s="3" t="s">
        <v>29</v>
      </c>
      <c r="H508" s="5">
        <v>18689</v>
      </c>
      <c r="I508" s="3" t="str">
        <f>VLOOKUP(Tabela1[[#This Row],[Advogado]],Tabela2[],2,FALSE)</f>
        <v>Caio Brito</v>
      </c>
      <c r="J508" s="17">
        <f>IF(Tabela1[[#This Row],[Data de conclusão]]="",NETWORKDAYS(Tabela1[[#This Row],[Data de entrada]],$J$2),NETWORKDAYS(Tabela1[[#This Row],[Data de entrada]],Tabela1[[#This Row],[Data de conclusão]]))</f>
        <v>504</v>
      </c>
      <c r="K508" s="1"/>
    </row>
    <row r="509" spans="2:11" x14ac:dyDescent="0.25">
      <c r="B509" s="3">
        <v>616</v>
      </c>
      <c r="C509" s="3" t="s">
        <v>8</v>
      </c>
      <c r="D509" s="3" t="s">
        <v>11</v>
      </c>
      <c r="E509" s="4">
        <v>42981</v>
      </c>
      <c r="F509" s="4">
        <v>43087</v>
      </c>
      <c r="G509" s="3" t="s">
        <v>28</v>
      </c>
      <c r="H509" s="5">
        <v>21848</v>
      </c>
      <c r="I509" s="3" t="str">
        <f>VLOOKUP(Tabela1[[#This Row],[Advogado]],Tabela2[],2,FALSE)</f>
        <v>Caio Brito</v>
      </c>
      <c r="J509" s="17">
        <f>IF(Tabela1[[#This Row],[Data de conclusão]]="",NETWORKDAYS(Tabela1[[#This Row],[Data de entrada]],$J$2),NETWORKDAYS(Tabela1[[#This Row],[Data de entrada]],Tabela1[[#This Row],[Data de conclusão]]))</f>
        <v>76</v>
      </c>
      <c r="K509" s="1"/>
    </row>
    <row r="510" spans="2:11" x14ac:dyDescent="0.25">
      <c r="B510" s="3">
        <v>617</v>
      </c>
      <c r="C510" s="3" t="s">
        <v>9</v>
      </c>
      <c r="D510" s="3" t="s">
        <v>12</v>
      </c>
      <c r="E510" s="4">
        <v>43020</v>
      </c>
      <c r="F510" s="4"/>
      <c r="G510" s="3" t="s">
        <v>27</v>
      </c>
      <c r="H510" s="5">
        <v>6418</v>
      </c>
      <c r="I510" s="3" t="str">
        <f>VLOOKUP(Tabela1[[#This Row],[Advogado]],Tabela2[],2,FALSE)</f>
        <v>Caio Brito</v>
      </c>
      <c r="J510" s="17">
        <f>IF(Tabela1[[#This Row],[Data de conclusão]]="",NETWORKDAYS(Tabela1[[#This Row],[Data de entrada]],$J$2),NETWORKDAYS(Tabela1[[#This Row],[Data de entrada]],Tabela1[[#This Row],[Data de conclusão]]))</f>
        <v>154</v>
      </c>
      <c r="K510" s="1"/>
    </row>
    <row r="511" spans="2:11" x14ac:dyDescent="0.25">
      <c r="B511" s="3">
        <v>618</v>
      </c>
      <c r="C511" s="3" t="s">
        <v>7</v>
      </c>
      <c r="D511" s="3" t="s">
        <v>13</v>
      </c>
      <c r="E511" s="4">
        <v>42563</v>
      </c>
      <c r="F511" s="4"/>
      <c r="G511" s="3" t="s">
        <v>29</v>
      </c>
      <c r="H511" s="5">
        <v>22280</v>
      </c>
      <c r="I511" s="3" t="str">
        <f>VLOOKUP(Tabela1[[#This Row],[Advogado]],Tabela2[],2,FALSE)</f>
        <v>Caio Brito</v>
      </c>
      <c r="J511" s="17">
        <f>IF(Tabela1[[#This Row],[Data de conclusão]]="",NETWORKDAYS(Tabela1[[#This Row],[Data de entrada]],$J$2),NETWORKDAYS(Tabela1[[#This Row],[Data de entrada]],Tabela1[[#This Row],[Data de conclusão]]))</f>
        <v>481</v>
      </c>
      <c r="K511" s="1"/>
    </row>
    <row r="512" spans="2:11" x14ac:dyDescent="0.25">
      <c r="B512" s="3">
        <v>619</v>
      </c>
      <c r="C512" s="3" t="s">
        <v>8</v>
      </c>
      <c r="D512" s="3" t="s">
        <v>14</v>
      </c>
      <c r="E512" s="4">
        <v>43095</v>
      </c>
      <c r="F512" s="4"/>
      <c r="G512" s="3" t="s">
        <v>29</v>
      </c>
      <c r="H512" s="5">
        <v>19006</v>
      </c>
      <c r="I512" s="3" t="str">
        <f>VLOOKUP(Tabela1[[#This Row],[Advogado]],Tabela2[],2,FALSE)</f>
        <v>Renê Amaranto</v>
      </c>
      <c r="J512" s="17">
        <f>IF(Tabela1[[#This Row],[Data de conclusão]]="",NETWORKDAYS(Tabela1[[#This Row],[Data de entrada]],$J$2),NETWORKDAYS(Tabela1[[#This Row],[Data de entrada]],Tabela1[[#This Row],[Data de conclusão]]))</f>
        <v>101</v>
      </c>
      <c r="K512" s="1"/>
    </row>
    <row r="513" spans="2:11" x14ac:dyDescent="0.25">
      <c r="B513" s="3">
        <v>620</v>
      </c>
      <c r="C513" s="3" t="s">
        <v>9</v>
      </c>
      <c r="D513" s="3" t="s">
        <v>15</v>
      </c>
      <c r="E513" s="4">
        <v>42729</v>
      </c>
      <c r="F513" s="4"/>
      <c r="G513" s="3" t="s">
        <v>29</v>
      </c>
      <c r="H513" s="5">
        <v>42528</v>
      </c>
      <c r="I513" s="3" t="str">
        <f>VLOOKUP(Tabela1[[#This Row],[Advogado]],Tabela2[],2,FALSE)</f>
        <v>Renê Amaranto</v>
      </c>
      <c r="J513" s="17">
        <f>IF(Tabela1[[#This Row],[Data de conclusão]]="",NETWORKDAYS(Tabela1[[#This Row],[Data de entrada]],$J$2),NETWORKDAYS(Tabela1[[#This Row],[Data de entrada]],Tabela1[[#This Row],[Data de conclusão]]))</f>
        <v>362</v>
      </c>
      <c r="K513" s="1"/>
    </row>
    <row r="514" spans="2:11" x14ac:dyDescent="0.25">
      <c r="B514" s="3">
        <v>621</v>
      </c>
      <c r="C514" s="3" t="s">
        <v>7</v>
      </c>
      <c r="D514" s="3" t="s">
        <v>16</v>
      </c>
      <c r="E514" s="4">
        <v>43043</v>
      </c>
      <c r="F514" s="4"/>
      <c r="G514" s="3" t="s">
        <v>29</v>
      </c>
      <c r="H514" s="5">
        <v>6117</v>
      </c>
      <c r="I514" s="3" t="str">
        <f>VLOOKUP(Tabela1[[#This Row],[Advogado]],Tabela2[],2,FALSE)</f>
        <v>Renê Amaranto</v>
      </c>
      <c r="J514" s="17">
        <f>IF(Tabela1[[#This Row],[Data de conclusão]]="",NETWORKDAYS(Tabela1[[#This Row],[Data de entrada]],$J$2),NETWORKDAYS(Tabela1[[#This Row],[Data de entrada]],Tabela1[[#This Row],[Data de conclusão]]))</f>
        <v>137</v>
      </c>
      <c r="K514" s="1"/>
    </row>
    <row r="515" spans="2:11" x14ac:dyDescent="0.25">
      <c r="B515" s="3">
        <v>622</v>
      </c>
      <c r="C515" s="3" t="s">
        <v>8</v>
      </c>
      <c r="D515" s="3" t="s">
        <v>17</v>
      </c>
      <c r="E515" s="4">
        <v>42926</v>
      </c>
      <c r="F515" s="4"/>
      <c r="G515" s="3" t="s">
        <v>29</v>
      </c>
      <c r="H515" s="5">
        <v>42580</v>
      </c>
      <c r="I515" s="3" t="str">
        <f>VLOOKUP(Tabela1[[#This Row],[Advogado]],Tabela2[],2,FALSE)</f>
        <v>Renê Amaranto</v>
      </c>
      <c r="J515" s="17">
        <f>IF(Tabela1[[#This Row],[Data de conclusão]]="",NETWORKDAYS(Tabela1[[#This Row],[Data de entrada]],$J$2),NETWORKDAYS(Tabela1[[#This Row],[Data de entrada]],Tabela1[[#This Row],[Data de conclusão]]))</f>
        <v>222</v>
      </c>
      <c r="K515" s="1"/>
    </row>
    <row r="516" spans="2:11" x14ac:dyDescent="0.25">
      <c r="B516" s="3">
        <v>623</v>
      </c>
      <c r="C516" s="3" t="s">
        <v>9</v>
      </c>
      <c r="D516" s="3" t="s">
        <v>10</v>
      </c>
      <c r="E516" s="4">
        <v>43014</v>
      </c>
      <c r="F516" s="4"/>
      <c r="G516" s="3" t="s">
        <v>29</v>
      </c>
      <c r="H516" s="5">
        <v>19906</v>
      </c>
      <c r="I516" s="3" t="str">
        <f>VLOOKUP(Tabela1[[#This Row],[Advogado]],Tabela2[],2,FALSE)</f>
        <v>Caio Brito</v>
      </c>
      <c r="J516" s="17">
        <f>IF(Tabela1[[#This Row],[Data de conclusão]]="",NETWORKDAYS(Tabela1[[#This Row],[Data de entrada]],$J$2),NETWORKDAYS(Tabela1[[#This Row],[Data de entrada]],Tabela1[[#This Row],[Data de conclusão]]))</f>
        <v>158</v>
      </c>
      <c r="K516" s="1"/>
    </row>
    <row r="517" spans="2:11" x14ac:dyDescent="0.25">
      <c r="B517" s="3">
        <v>624</v>
      </c>
      <c r="C517" s="3" t="s">
        <v>7</v>
      </c>
      <c r="D517" s="3" t="s">
        <v>11</v>
      </c>
      <c r="E517" s="4">
        <v>42667</v>
      </c>
      <c r="F517" s="4"/>
      <c r="G517" s="3" t="s">
        <v>29</v>
      </c>
      <c r="H517" s="5">
        <v>17075</v>
      </c>
      <c r="I517" s="3" t="str">
        <f>VLOOKUP(Tabela1[[#This Row],[Advogado]],Tabela2[],2,FALSE)</f>
        <v>Caio Brito</v>
      </c>
      <c r="J517" s="17">
        <f>IF(Tabela1[[#This Row],[Data de conclusão]]="",NETWORKDAYS(Tabela1[[#This Row],[Data de entrada]],$J$2),NETWORKDAYS(Tabela1[[#This Row],[Data de entrada]],Tabela1[[#This Row],[Data de conclusão]]))</f>
        <v>407</v>
      </c>
      <c r="K517" s="1"/>
    </row>
    <row r="518" spans="2:11" x14ac:dyDescent="0.25">
      <c r="B518" s="3">
        <v>625</v>
      </c>
      <c r="C518" s="3" t="s">
        <v>8</v>
      </c>
      <c r="D518" s="3" t="s">
        <v>12</v>
      </c>
      <c r="E518" s="4">
        <v>42865</v>
      </c>
      <c r="F518" s="4"/>
      <c r="G518" s="3" t="s">
        <v>29</v>
      </c>
      <c r="H518" s="5">
        <v>30972</v>
      </c>
      <c r="I518" s="3" t="str">
        <f>VLOOKUP(Tabela1[[#This Row],[Advogado]],Tabela2[],2,FALSE)</f>
        <v>Caio Brito</v>
      </c>
      <c r="J518" s="17">
        <f>IF(Tabela1[[#This Row],[Data de conclusão]]="",NETWORKDAYS(Tabela1[[#This Row],[Data de entrada]],$J$2),NETWORKDAYS(Tabela1[[#This Row],[Data de entrada]],Tabela1[[#This Row],[Data de conclusão]]))</f>
        <v>265</v>
      </c>
      <c r="K518" s="1"/>
    </row>
    <row r="519" spans="2:11" x14ac:dyDescent="0.25">
      <c r="B519" s="3">
        <v>626</v>
      </c>
      <c r="C519" s="3" t="s">
        <v>9</v>
      </c>
      <c r="D519" s="3" t="s">
        <v>13</v>
      </c>
      <c r="E519" s="4">
        <v>42590</v>
      </c>
      <c r="F519" s="4"/>
      <c r="G519" s="3" t="s">
        <v>29</v>
      </c>
      <c r="H519" s="5">
        <v>18589</v>
      </c>
      <c r="I519" s="3" t="str">
        <f>VLOOKUP(Tabela1[[#This Row],[Advogado]],Tabela2[],2,FALSE)</f>
        <v>Caio Brito</v>
      </c>
      <c r="J519" s="17">
        <f>IF(Tabela1[[#This Row],[Data de conclusão]]="",NETWORKDAYS(Tabela1[[#This Row],[Data de entrada]],$J$2),NETWORKDAYS(Tabela1[[#This Row],[Data de entrada]],Tabela1[[#This Row],[Data de conclusão]]))</f>
        <v>462</v>
      </c>
      <c r="K519" s="1"/>
    </row>
    <row r="520" spans="2:11" x14ac:dyDescent="0.25">
      <c r="B520" s="3">
        <v>627</v>
      </c>
      <c r="C520" s="3" t="s">
        <v>7</v>
      </c>
      <c r="D520" s="3" t="s">
        <v>14</v>
      </c>
      <c r="E520" s="4">
        <v>42681</v>
      </c>
      <c r="F520" s="4"/>
      <c r="G520" s="3" t="s">
        <v>29</v>
      </c>
      <c r="H520" s="5">
        <v>17427</v>
      </c>
      <c r="I520" s="3" t="str">
        <f>VLOOKUP(Tabela1[[#This Row],[Advogado]],Tabela2[],2,FALSE)</f>
        <v>Renê Amaranto</v>
      </c>
      <c r="J520" s="17">
        <f>IF(Tabela1[[#This Row],[Data de conclusão]]="",NETWORKDAYS(Tabela1[[#This Row],[Data de entrada]],$J$2),NETWORKDAYS(Tabela1[[#This Row],[Data de entrada]],Tabela1[[#This Row],[Data de conclusão]]))</f>
        <v>397</v>
      </c>
      <c r="K520" s="1"/>
    </row>
    <row r="521" spans="2:11" x14ac:dyDescent="0.25">
      <c r="B521" s="3">
        <v>628</v>
      </c>
      <c r="C521" s="3" t="s">
        <v>8</v>
      </c>
      <c r="D521" s="3" t="s">
        <v>15</v>
      </c>
      <c r="E521" s="4">
        <v>42474</v>
      </c>
      <c r="F521" s="4"/>
      <c r="G521" s="3" t="s">
        <v>29</v>
      </c>
      <c r="H521" s="5">
        <v>3201</v>
      </c>
      <c r="I521" s="3" t="str">
        <f>VLOOKUP(Tabela1[[#This Row],[Advogado]],Tabela2[],2,FALSE)</f>
        <v>Renê Amaranto</v>
      </c>
      <c r="J521" s="17">
        <f>IF(Tabela1[[#This Row],[Data de conclusão]]="",NETWORKDAYS(Tabela1[[#This Row],[Data de entrada]],$J$2),NETWORKDAYS(Tabela1[[#This Row],[Data de entrada]],Tabela1[[#This Row],[Data de conclusão]]))</f>
        <v>544</v>
      </c>
      <c r="K521" s="1"/>
    </row>
    <row r="522" spans="2:11" x14ac:dyDescent="0.25">
      <c r="B522" s="3">
        <v>629</v>
      </c>
      <c r="C522" s="3" t="s">
        <v>9</v>
      </c>
      <c r="D522" s="3" t="s">
        <v>16</v>
      </c>
      <c r="E522" s="4">
        <v>42471</v>
      </c>
      <c r="F522" s="4">
        <v>42500</v>
      </c>
      <c r="G522" s="3" t="s">
        <v>28</v>
      </c>
      <c r="H522" s="5">
        <v>41870</v>
      </c>
      <c r="I522" s="3" t="str">
        <f>VLOOKUP(Tabela1[[#This Row],[Advogado]],Tabela2[],2,FALSE)</f>
        <v>Renê Amaranto</v>
      </c>
      <c r="J522" s="17">
        <f>IF(Tabela1[[#This Row],[Data de conclusão]]="",NETWORKDAYS(Tabela1[[#This Row],[Data de entrada]],$J$2),NETWORKDAYS(Tabela1[[#This Row],[Data de entrada]],Tabela1[[#This Row],[Data de conclusão]]))</f>
        <v>22</v>
      </c>
      <c r="K522" s="1"/>
    </row>
    <row r="523" spans="2:11" x14ac:dyDescent="0.25">
      <c r="B523" s="3">
        <v>630</v>
      </c>
      <c r="C523" s="3" t="s">
        <v>7</v>
      </c>
      <c r="D523" s="3" t="s">
        <v>17</v>
      </c>
      <c r="E523" s="4">
        <v>42733</v>
      </c>
      <c r="F523" s="4"/>
      <c r="G523" s="3" t="s">
        <v>27</v>
      </c>
      <c r="H523" s="5">
        <v>56720</v>
      </c>
      <c r="I523" s="3" t="str">
        <f>VLOOKUP(Tabela1[[#This Row],[Advogado]],Tabela2[],2,FALSE)</f>
        <v>Renê Amaranto</v>
      </c>
      <c r="J523" s="17">
        <f>IF(Tabela1[[#This Row],[Data de conclusão]]="",NETWORKDAYS(Tabela1[[#This Row],[Data de entrada]],$J$2),NETWORKDAYS(Tabela1[[#This Row],[Data de entrada]],Tabela1[[#This Row],[Data de conclusão]]))</f>
        <v>359</v>
      </c>
      <c r="K523" s="1"/>
    </row>
    <row r="524" spans="2:11" x14ac:dyDescent="0.25">
      <c r="B524" s="3">
        <v>631</v>
      </c>
      <c r="C524" s="3" t="s">
        <v>8</v>
      </c>
      <c r="D524" s="3" t="s">
        <v>10</v>
      </c>
      <c r="E524" s="4">
        <v>42523</v>
      </c>
      <c r="F524" s="4"/>
      <c r="G524" s="3" t="s">
        <v>29</v>
      </c>
      <c r="H524" s="5">
        <v>46768</v>
      </c>
      <c r="I524" s="3" t="str">
        <f>VLOOKUP(Tabela1[[#This Row],[Advogado]],Tabela2[],2,FALSE)</f>
        <v>Caio Brito</v>
      </c>
      <c r="J524" s="17">
        <f>IF(Tabela1[[#This Row],[Data de conclusão]]="",NETWORKDAYS(Tabela1[[#This Row],[Data de entrada]],$J$2),NETWORKDAYS(Tabela1[[#This Row],[Data de entrada]],Tabela1[[#This Row],[Data de conclusão]]))</f>
        <v>509</v>
      </c>
      <c r="K524" s="1"/>
    </row>
    <row r="525" spans="2:11" x14ac:dyDescent="0.25">
      <c r="B525" s="3">
        <v>632</v>
      </c>
      <c r="C525" s="3" t="s">
        <v>9</v>
      </c>
      <c r="D525" s="3" t="s">
        <v>11</v>
      </c>
      <c r="E525" s="4">
        <v>42909</v>
      </c>
      <c r="F525" s="4"/>
      <c r="G525" s="3" t="s">
        <v>29</v>
      </c>
      <c r="H525" s="5">
        <v>11405</v>
      </c>
      <c r="I525" s="3" t="str">
        <f>VLOOKUP(Tabela1[[#This Row],[Advogado]],Tabela2[],2,FALSE)</f>
        <v>Caio Brito</v>
      </c>
      <c r="J525" s="17">
        <f>IF(Tabela1[[#This Row],[Data de conclusão]]="",NETWORKDAYS(Tabela1[[#This Row],[Data de entrada]],$J$2),NETWORKDAYS(Tabela1[[#This Row],[Data de entrada]],Tabela1[[#This Row],[Data de conclusão]]))</f>
        <v>233</v>
      </c>
      <c r="K525" s="1"/>
    </row>
    <row r="526" spans="2:11" x14ac:dyDescent="0.25">
      <c r="B526" s="3">
        <v>633</v>
      </c>
      <c r="C526" s="3" t="s">
        <v>7</v>
      </c>
      <c r="D526" s="3" t="s">
        <v>12</v>
      </c>
      <c r="E526" s="4">
        <v>42861</v>
      </c>
      <c r="F526" s="4"/>
      <c r="G526" s="3" t="s">
        <v>29</v>
      </c>
      <c r="H526" s="5">
        <v>42916</v>
      </c>
      <c r="I526" s="3" t="str">
        <f>VLOOKUP(Tabela1[[#This Row],[Advogado]],Tabela2[],2,FALSE)</f>
        <v>Caio Brito</v>
      </c>
      <c r="J526" s="17">
        <f>IF(Tabela1[[#This Row],[Data de conclusão]]="",NETWORKDAYS(Tabela1[[#This Row],[Data de entrada]],$J$2),NETWORKDAYS(Tabela1[[#This Row],[Data de entrada]],Tabela1[[#This Row],[Data de conclusão]]))</f>
        <v>267</v>
      </c>
      <c r="K526" s="1"/>
    </row>
    <row r="527" spans="2:11" x14ac:dyDescent="0.25">
      <c r="B527" s="3">
        <v>634</v>
      </c>
      <c r="C527" s="3" t="s">
        <v>8</v>
      </c>
      <c r="D527" s="3" t="s">
        <v>13</v>
      </c>
      <c r="E527" s="4">
        <v>43010</v>
      </c>
      <c r="F527" s="4"/>
      <c r="G527" s="3" t="s">
        <v>29</v>
      </c>
      <c r="H527" s="5">
        <v>4130</v>
      </c>
      <c r="I527" s="3" t="str">
        <f>VLOOKUP(Tabela1[[#This Row],[Advogado]],Tabela2[],2,FALSE)</f>
        <v>Caio Brito</v>
      </c>
      <c r="J527" s="17">
        <f>IF(Tabela1[[#This Row],[Data de conclusão]]="",NETWORKDAYS(Tabela1[[#This Row],[Data de entrada]],$J$2),NETWORKDAYS(Tabela1[[#This Row],[Data de entrada]],Tabela1[[#This Row],[Data de conclusão]]))</f>
        <v>162</v>
      </c>
      <c r="K527" s="1"/>
    </row>
    <row r="528" spans="2:11" x14ac:dyDescent="0.25">
      <c r="B528" s="3">
        <v>635</v>
      </c>
      <c r="C528" s="3" t="s">
        <v>9</v>
      </c>
      <c r="D528" s="3" t="s">
        <v>14</v>
      </c>
      <c r="E528" s="4">
        <v>42391</v>
      </c>
      <c r="F528" s="4"/>
      <c r="G528" s="3" t="s">
        <v>29</v>
      </c>
      <c r="H528" s="5">
        <v>48225</v>
      </c>
      <c r="I528" s="3" t="str">
        <f>VLOOKUP(Tabela1[[#This Row],[Advogado]],Tabela2[],2,FALSE)</f>
        <v>Renê Amaranto</v>
      </c>
      <c r="J528" s="17">
        <f>IF(Tabela1[[#This Row],[Data de conclusão]]="",NETWORKDAYS(Tabela1[[#This Row],[Data de entrada]],$J$2),NETWORKDAYS(Tabela1[[#This Row],[Data de entrada]],Tabela1[[#This Row],[Data de conclusão]]))</f>
        <v>603</v>
      </c>
      <c r="K528" s="1"/>
    </row>
    <row r="529" spans="2:11" x14ac:dyDescent="0.25">
      <c r="B529" s="3">
        <v>636</v>
      </c>
      <c r="C529" s="3" t="s">
        <v>7</v>
      </c>
      <c r="D529" s="3" t="s">
        <v>15</v>
      </c>
      <c r="E529" s="4">
        <v>42758</v>
      </c>
      <c r="F529" s="4"/>
      <c r="G529" s="3" t="s">
        <v>29</v>
      </c>
      <c r="H529" s="5">
        <v>5379</v>
      </c>
      <c r="I529" s="3" t="str">
        <f>VLOOKUP(Tabela1[[#This Row],[Advogado]],Tabela2[],2,FALSE)</f>
        <v>Renê Amaranto</v>
      </c>
      <c r="J529" s="17">
        <f>IF(Tabela1[[#This Row],[Data de conclusão]]="",NETWORKDAYS(Tabela1[[#This Row],[Data de entrada]],$J$2),NETWORKDAYS(Tabela1[[#This Row],[Data de entrada]],Tabela1[[#This Row],[Data de conclusão]]))</f>
        <v>342</v>
      </c>
      <c r="K529" s="1"/>
    </row>
    <row r="530" spans="2:11" x14ac:dyDescent="0.25">
      <c r="B530" s="3">
        <v>637</v>
      </c>
      <c r="C530" s="3" t="s">
        <v>8</v>
      </c>
      <c r="D530" s="3" t="s">
        <v>16</v>
      </c>
      <c r="E530" s="4">
        <v>42963</v>
      </c>
      <c r="F530" s="4"/>
      <c r="G530" s="3" t="s">
        <v>29</v>
      </c>
      <c r="H530" s="5">
        <v>29870</v>
      </c>
      <c r="I530" s="3" t="str">
        <f>VLOOKUP(Tabela1[[#This Row],[Advogado]],Tabela2[],2,FALSE)</f>
        <v>Renê Amaranto</v>
      </c>
      <c r="J530" s="17">
        <f>IF(Tabela1[[#This Row],[Data de conclusão]]="",NETWORKDAYS(Tabela1[[#This Row],[Data de entrada]],$J$2),NETWORKDAYS(Tabela1[[#This Row],[Data de entrada]],Tabela1[[#This Row],[Data de conclusão]]))</f>
        <v>195</v>
      </c>
      <c r="K530" s="1"/>
    </row>
    <row r="531" spans="2:11" x14ac:dyDescent="0.25">
      <c r="B531" s="3">
        <v>638</v>
      </c>
      <c r="C531" s="3" t="s">
        <v>9</v>
      </c>
      <c r="D531" s="3" t="s">
        <v>17</v>
      </c>
      <c r="E531" s="4">
        <v>42822</v>
      </c>
      <c r="F531" s="4"/>
      <c r="G531" s="3" t="s">
        <v>29</v>
      </c>
      <c r="H531" s="5">
        <v>13748</v>
      </c>
      <c r="I531" s="3" t="str">
        <f>VLOOKUP(Tabela1[[#This Row],[Advogado]],Tabela2[],2,FALSE)</f>
        <v>Renê Amaranto</v>
      </c>
      <c r="J531" s="17">
        <f>IF(Tabela1[[#This Row],[Data de conclusão]]="",NETWORKDAYS(Tabela1[[#This Row],[Data de entrada]],$J$2),NETWORKDAYS(Tabela1[[#This Row],[Data de entrada]],Tabela1[[#This Row],[Data de conclusão]]))</f>
        <v>296</v>
      </c>
      <c r="K531" s="1"/>
    </row>
    <row r="532" spans="2:11" x14ac:dyDescent="0.25">
      <c r="B532" s="3">
        <v>639</v>
      </c>
      <c r="C532" s="3" t="s">
        <v>7</v>
      </c>
      <c r="D532" s="3" t="s">
        <v>10</v>
      </c>
      <c r="E532" s="4">
        <v>43090</v>
      </c>
      <c r="F532" s="4"/>
      <c r="G532" s="3" t="s">
        <v>29</v>
      </c>
      <c r="H532" s="5">
        <v>13452</v>
      </c>
      <c r="I532" s="3" t="str">
        <f>VLOOKUP(Tabela1[[#This Row],[Advogado]],Tabela2[],2,FALSE)</f>
        <v>Caio Brito</v>
      </c>
      <c r="J532" s="17">
        <f>IF(Tabela1[[#This Row],[Data de conclusão]]="",NETWORKDAYS(Tabela1[[#This Row],[Data de entrada]],$J$2),NETWORKDAYS(Tabela1[[#This Row],[Data de entrada]],Tabela1[[#This Row],[Data de conclusão]]))</f>
        <v>104</v>
      </c>
      <c r="K532" s="1"/>
    </row>
    <row r="533" spans="2:11" x14ac:dyDescent="0.25">
      <c r="B533" s="3">
        <v>640</v>
      </c>
      <c r="C533" s="3" t="s">
        <v>8</v>
      </c>
      <c r="D533" s="3" t="s">
        <v>11</v>
      </c>
      <c r="E533" s="4">
        <v>42390</v>
      </c>
      <c r="F533" s="4"/>
      <c r="G533" s="3" t="s">
        <v>29</v>
      </c>
      <c r="H533" s="5">
        <v>835</v>
      </c>
      <c r="I533" s="3" t="str">
        <f>VLOOKUP(Tabela1[[#This Row],[Advogado]],Tabela2[],2,FALSE)</f>
        <v>Caio Brito</v>
      </c>
      <c r="J533" s="17">
        <f>IF(Tabela1[[#This Row],[Data de conclusão]]="",NETWORKDAYS(Tabela1[[#This Row],[Data de entrada]],$J$2),NETWORKDAYS(Tabela1[[#This Row],[Data de entrada]],Tabela1[[#This Row],[Data de conclusão]]))</f>
        <v>604</v>
      </c>
      <c r="K533" s="1"/>
    </row>
    <row r="534" spans="2:11" x14ac:dyDescent="0.25">
      <c r="B534" s="3">
        <v>641</v>
      </c>
      <c r="C534" s="3" t="s">
        <v>9</v>
      </c>
      <c r="D534" s="3" t="s">
        <v>12</v>
      </c>
      <c r="E534" s="4">
        <v>42830</v>
      </c>
      <c r="F534" s="4"/>
      <c r="G534" s="3" t="s">
        <v>29</v>
      </c>
      <c r="H534" s="5">
        <v>51225</v>
      </c>
      <c r="I534" s="3" t="str">
        <f>VLOOKUP(Tabela1[[#This Row],[Advogado]],Tabela2[],2,FALSE)</f>
        <v>Caio Brito</v>
      </c>
      <c r="J534" s="17">
        <f>IF(Tabela1[[#This Row],[Data de conclusão]]="",NETWORKDAYS(Tabela1[[#This Row],[Data de entrada]],$J$2),NETWORKDAYS(Tabela1[[#This Row],[Data de entrada]],Tabela1[[#This Row],[Data de conclusão]]))</f>
        <v>290</v>
      </c>
      <c r="K534" s="1"/>
    </row>
    <row r="535" spans="2:11" x14ac:dyDescent="0.25">
      <c r="B535" s="3">
        <v>642</v>
      </c>
      <c r="C535" s="3" t="s">
        <v>7</v>
      </c>
      <c r="D535" s="3" t="s">
        <v>13</v>
      </c>
      <c r="E535" s="4">
        <v>42732</v>
      </c>
      <c r="F535" s="4">
        <v>42845</v>
      </c>
      <c r="G535" s="3" t="s">
        <v>28</v>
      </c>
      <c r="H535" s="5">
        <v>47074</v>
      </c>
      <c r="I535" s="3" t="str">
        <f>VLOOKUP(Tabela1[[#This Row],[Advogado]],Tabela2[],2,FALSE)</f>
        <v>Caio Brito</v>
      </c>
      <c r="J535" s="17">
        <f>IF(Tabela1[[#This Row],[Data de conclusão]]="",NETWORKDAYS(Tabela1[[#This Row],[Data de entrada]],$J$2),NETWORKDAYS(Tabela1[[#This Row],[Data de entrada]],Tabela1[[#This Row],[Data de conclusão]]))</f>
        <v>82</v>
      </c>
      <c r="K535" s="1"/>
    </row>
    <row r="536" spans="2:11" x14ac:dyDescent="0.25">
      <c r="B536" s="3">
        <v>643</v>
      </c>
      <c r="C536" s="3" t="s">
        <v>8</v>
      </c>
      <c r="D536" s="3" t="s">
        <v>14</v>
      </c>
      <c r="E536" s="4">
        <v>42895</v>
      </c>
      <c r="F536" s="4"/>
      <c r="G536" s="3" t="s">
        <v>27</v>
      </c>
      <c r="H536" s="5">
        <v>36242</v>
      </c>
      <c r="I536" s="3" t="str">
        <f>VLOOKUP(Tabela1[[#This Row],[Advogado]],Tabela2[],2,FALSE)</f>
        <v>Renê Amaranto</v>
      </c>
      <c r="J536" s="17">
        <f>IF(Tabela1[[#This Row],[Data de conclusão]]="",NETWORKDAYS(Tabela1[[#This Row],[Data de entrada]],$J$2),NETWORKDAYS(Tabela1[[#This Row],[Data de entrada]],Tabela1[[#This Row],[Data de conclusão]]))</f>
        <v>243</v>
      </c>
      <c r="K536" s="1"/>
    </row>
    <row r="537" spans="2:11" x14ac:dyDescent="0.25">
      <c r="B537" s="3">
        <v>644</v>
      </c>
      <c r="C537" s="3" t="s">
        <v>9</v>
      </c>
      <c r="D537" s="3" t="s">
        <v>15</v>
      </c>
      <c r="E537" s="4">
        <v>42949</v>
      </c>
      <c r="F537" s="4"/>
      <c r="G537" s="3" t="s">
        <v>29</v>
      </c>
      <c r="H537" s="5">
        <v>9920</v>
      </c>
      <c r="I537" s="3" t="str">
        <f>VLOOKUP(Tabela1[[#This Row],[Advogado]],Tabela2[],2,FALSE)</f>
        <v>Renê Amaranto</v>
      </c>
      <c r="J537" s="17">
        <f>IF(Tabela1[[#This Row],[Data de conclusão]]="",NETWORKDAYS(Tabela1[[#This Row],[Data de entrada]],$J$2),NETWORKDAYS(Tabela1[[#This Row],[Data de entrada]],Tabela1[[#This Row],[Data de conclusão]]))</f>
        <v>205</v>
      </c>
      <c r="K537" s="1"/>
    </row>
    <row r="538" spans="2:11" x14ac:dyDescent="0.25">
      <c r="B538" s="3">
        <v>645</v>
      </c>
      <c r="C538" s="3" t="s">
        <v>7</v>
      </c>
      <c r="D538" s="3" t="s">
        <v>16</v>
      </c>
      <c r="E538" s="4">
        <v>42582</v>
      </c>
      <c r="F538" s="4"/>
      <c r="G538" s="3" t="s">
        <v>29</v>
      </c>
      <c r="H538" s="5">
        <v>9924</v>
      </c>
      <c r="I538" s="3" t="str">
        <f>VLOOKUP(Tabela1[[#This Row],[Advogado]],Tabela2[],2,FALSE)</f>
        <v>Renê Amaranto</v>
      </c>
      <c r="J538" s="17">
        <f>IF(Tabela1[[#This Row],[Data de conclusão]]="",NETWORKDAYS(Tabela1[[#This Row],[Data de entrada]],$J$2),NETWORKDAYS(Tabela1[[#This Row],[Data de entrada]],Tabela1[[#This Row],[Data de conclusão]]))</f>
        <v>467</v>
      </c>
      <c r="K538" s="1"/>
    </row>
    <row r="539" spans="2:11" x14ac:dyDescent="0.25">
      <c r="B539" s="3">
        <v>646</v>
      </c>
      <c r="C539" s="3" t="s">
        <v>8</v>
      </c>
      <c r="D539" s="3" t="s">
        <v>17</v>
      </c>
      <c r="E539" s="4">
        <v>42950</v>
      </c>
      <c r="F539" s="4"/>
      <c r="G539" s="3" t="s">
        <v>29</v>
      </c>
      <c r="H539" s="5">
        <v>50533</v>
      </c>
      <c r="I539" s="3" t="str">
        <f>VLOOKUP(Tabela1[[#This Row],[Advogado]],Tabela2[],2,FALSE)</f>
        <v>Renê Amaranto</v>
      </c>
      <c r="J539" s="17">
        <f>IF(Tabela1[[#This Row],[Data de conclusão]]="",NETWORKDAYS(Tabela1[[#This Row],[Data de entrada]],$J$2),NETWORKDAYS(Tabela1[[#This Row],[Data de entrada]],Tabela1[[#This Row],[Data de conclusão]]))</f>
        <v>204</v>
      </c>
      <c r="K539" s="1"/>
    </row>
    <row r="540" spans="2:11" x14ac:dyDescent="0.25">
      <c r="B540" s="3">
        <v>647</v>
      </c>
      <c r="C540" s="3" t="s">
        <v>9</v>
      </c>
      <c r="D540" s="3" t="s">
        <v>10</v>
      </c>
      <c r="E540" s="4">
        <v>42738</v>
      </c>
      <c r="F540" s="4"/>
      <c r="G540" s="3" t="s">
        <v>29</v>
      </c>
      <c r="H540" s="5">
        <v>57297</v>
      </c>
      <c r="I540" s="3" t="str">
        <f>VLOOKUP(Tabela1[[#This Row],[Advogado]],Tabela2[],2,FALSE)</f>
        <v>Caio Brito</v>
      </c>
      <c r="J540" s="17">
        <f>IF(Tabela1[[#This Row],[Data de conclusão]]="",NETWORKDAYS(Tabela1[[#This Row],[Data de entrada]],$J$2),NETWORKDAYS(Tabela1[[#This Row],[Data de entrada]],Tabela1[[#This Row],[Data de conclusão]]))</f>
        <v>356</v>
      </c>
      <c r="K540" s="1"/>
    </row>
    <row r="541" spans="2:11" x14ac:dyDescent="0.25">
      <c r="B541" s="3">
        <v>648</v>
      </c>
      <c r="C541" s="3" t="s">
        <v>7</v>
      </c>
      <c r="D541" s="3" t="s">
        <v>11</v>
      </c>
      <c r="E541" s="4">
        <v>43096</v>
      </c>
      <c r="F541" s="4"/>
      <c r="G541" s="3" t="s">
        <v>29</v>
      </c>
      <c r="H541" s="5">
        <v>44522</v>
      </c>
      <c r="I541" s="3" t="str">
        <f>VLOOKUP(Tabela1[[#This Row],[Advogado]],Tabela2[],2,FALSE)</f>
        <v>Caio Brito</v>
      </c>
      <c r="J541" s="17">
        <f>IF(Tabela1[[#This Row],[Data de conclusão]]="",NETWORKDAYS(Tabela1[[#This Row],[Data de entrada]],$J$2),NETWORKDAYS(Tabela1[[#This Row],[Data de entrada]],Tabela1[[#This Row],[Data de conclusão]]))</f>
        <v>100</v>
      </c>
      <c r="K541" s="1"/>
    </row>
    <row r="542" spans="2:11" x14ac:dyDescent="0.25">
      <c r="B542" s="3">
        <v>649</v>
      </c>
      <c r="C542" s="3" t="s">
        <v>8</v>
      </c>
      <c r="D542" s="3" t="s">
        <v>12</v>
      </c>
      <c r="E542" s="4">
        <v>43090</v>
      </c>
      <c r="F542" s="4"/>
      <c r="G542" s="3" t="s">
        <v>29</v>
      </c>
      <c r="H542" s="5">
        <v>21563</v>
      </c>
      <c r="I542" s="3" t="str">
        <f>VLOOKUP(Tabela1[[#This Row],[Advogado]],Tabela2[],2,FALSE)</f>
        <v>Caio Brito</v>
      </c>
      <c r="J542" s="17">
        <f>IF(Tabela1[[#This Row],[Data de conclusão]]="",NETWORKDAYS(Tabela1[[#This Row],[Data de entrada]],$J$2),NETWORKDAYS(Tabela1[[#This Row],[Data de entrada]],Tabela1[[#This Row],[Data de conclusão]]))</f>
        <v>104</v>
      </c>
      <c r="K542" s="1"/>
    </row>
    <row r="543" spans="2:11" x14ac:dyDescent="0.25">
      <c r="B543" s="3">
        <v>650</v>
      </c>
      <c r="C543" s="3" t="s">
        <v>9</v>
      </c>
      <c r="D543" s="3" t="s">
        <v>13</v>
      </c>
      <c r="E543" s="4">
        <v>43010</v>
      </c>
      <c r="F543" s="4"/>
      <c r="G543" s="3" t="s">
        <v>29</v>
      </c>
      <c r="H543" s="5">
        <v>15941</v>
      </c>
      <c r="I543" s="3" t="str">
        <f>VLOOKUP(Tabela1[[#This Row],[Advogado]],Tabela2[],2,FALSE)</f>
        <v>Caio Brito</v>
      </c>
      <c r="J543" s="17">
        <f>IF(Tabela1[[#This Row],[Data de conclusão]]="",NETWORKDAYS(Tabela1[[#This Row],[Data de entrada]],$J$2),NETWORKDAYS(Tabela1[[#This Row],[Data de entrada]],Tabela1[[#This Row],[Data de conclusão]]))</f>
        <v>162</v>
      </c>
      <c r="K543" s="1"/>
    </row>
    <row r="544" spans="2:11" x14ac:dyDescent="0.25">
      <c r="B544" s="3">
        <v>651</v>
      </c>
      <c r="C544" s="3" t="s">
        <v>7</v>
      </c>
      <c r="D544" s="3" t="s">
        <v>14</v>
      </c>
      <c r="E544" s="4">
        <v>43018</v>
      </c>
      <c r="F544" s="4"/>
      <c r="G544" s="3" t="s">
        <v>29</v>
      </c>
      <c r="H544" s="5">
        <v>59603</v>
      </c>
      <c r="I544" s="3" t="str">
        <f>VLOOKUP(Tabela1[[#This Row],[Advogado]],Tabela2[],2,FALSE)</f>
        <v>Renê Amaranto</v>
      </c>
      <c r="J544" s="17">
        <f>IF(Tabela1[[#This Row],[Data de conclusão]]="",NETWORKDAYS(Tabela1[[#This Row],[Data de entrada]],$J$2),NETWORKDAYS(Tabela1[[#This Row],[Data de entrada]],Tabela1[[#This Row],[Data de conclusão]]))</f>
        <v>156</v>
      </c>
      <c r="K544" s="1"/>
    </row>
    <row r="545" spans="2:11" x14ac:dyDescent="0.25">
      <c r="B545" s="3">
        <v>652</v>
      </c>
      <c r="C545" s="3" t="s">
        <v>8</v>
      </c>
      <c r="D545" s="3" t="s">
        <v>15</v>
      </c>
      <c r="E545" s="4">
        <v>42707</v>
      </c>
      <c r="F545" s="4"/>
      <c r="G545" s="3" t="s">
        <v>29</v>
      </c>
      <c r="H545" s="5">
        <v>54777</v>
      </c>
      <c r="I545" s="3" t="str">
        <f>VLOOKUP(Tabela1[[#This Row],[Advogado]],Tabela2[],2,FALSE)</f>
        <v>Renê Amaranto</v>
      </c>
      <c r="J545" s="17">
        <f>IF(Tabela1[[#This Row],[Data de conclusão]]="",NETWORKDAYS(Tabela1[[#This Row],[Data de entrada]],$J$2),NETWORKDAYS(Tabela1[[#This Row],[Data de entrada]],Tabela1[[#This Row],[Data de conclusão]]))</f>
        <v>377</v>
      </c>
      <c r="K545" s="1"/>
    </row>
    <row r="546" spans="2:11" x14ac:dyDescent="0.25">
      <c r="B546" s="3">
        <v>653</v>
      </c>
      <c r="C546" s="3" t="s">
        <v>9</v>
      </c>
      <c r="D546" s="3" t="s">
        <v>16</v>
      </c>
      <c r="E546" s="4">
        <v>42993</v>
      </c>
      <c r="F546" s="4"/>
      <c r="G546" s="3" t="s">
        <v>29</v>
      </c>
      <c r="H546" s="5">
        <v>21066</v>
      </c>
      <c r="I546" s="3" t="str">
        <f>VLOOKUP(Tabela1[[#This Row],[Advogado]],Tabela2[],2,FALSE)</f>
        <v>Renê Amaranto</v>
      </c>
      <c r="J546" s="17">
        <f>IF(Tabela1[[#This Row],[Data de conclusão]]="",NETWORKDAYS(Tabela1[[#This Row],[Data de entrada]],$J$2),NETWORKDAYS(Tabela1[[#This Row],[Data de entrada]],Tabela1[[#This Row],[Data de conclusão]]))</f>
        <v>173</v>
      </c>
      <c r="K546" s="1"/>
    </row>
    <row r="547" spans="2:11" x14ac:dyDescent="0.25">
      <c r="B547" s="3">
        <v>654</v>
      </c>
      <c r="C547" s="3" t="s">
        <v>7</v>
      </c>
      <c r="D547" s="3" t="s">
        <v>17</v>
      </c>
      <c r="E547" s="4">
        <v>42409</v>
      </c>
      <c r="F547" s="4"/>
      <c r="G547" s="3" t="s">
        <v>29</v>
      </c>
      <c r="H547" s="5">
        <v>36718</v>
      </c>
      <c r="I547" s="3" t="str">
        <f>VLOOKUP(Tabela1[[#This Row],[Advogado]],Tabela2[],2,FALSE)</f>
        <v>Renê Amaranto</v>
      </c>
      <c r="J547" s="17">
        <f>IF(Tabela1[[#This Row],[Data de conclusão]]="",NETWORKDAYS(Tabela1[[#This Row],[Data de entrada]],$J$2),NETWORKDAYS(Tabela1[[#This Row],[Data de entrada]],Tabela1[[#This Row],[Data de conclusão]]))</f>
        <v>591</v>
      </c>
      <c r="K547" s="1"/>
    </row>
    <row r="548" spans="2:11" x14ac:dyDescent="0.25">
      <c r="B548" s="3">
        <v>655</v>
      </c>
      <c r="C548" s="3" t="s">
        <v>8</v>
      </c>
      <c r="D548" s="3" t="s">
        <v>10</v>
      </c>
      <c r="E548" s="4">
        <v>42911</v>
      </c>
      <c r="F548" s="4">
        <v>42967</v>
      </c>
      <c r="G548" s="3" t="s">
        <v>28</v>
      </c>
      <c r="H548" s="5">
        <v>10424</v>
      </c>
      <c r="I548" s="3" t="str">
        <f>VLOOKUP(Tabela1[[#This Row],[Advogado]],Tabela2[],2,FALSE)</f>
        <v>Caio Brito</v>
      </c>
      <c r="J548" s="17">
        <f>IF(Tabela1[[#This Row],[Data de conclusão]]="",NETWORKDAYS(Tabela1[[#This Row],[Data de entrada]],$J$2),NETWORKDAYS(Tabela1[[#This Row],[Data de entrada]],Tabela1[[#This Row],[Data de conclusão]]))</f>
        <v>40</v>
      </c>
      <c r="K548" s="1"/>
    </row>
    <row r="549" spans="2:11" x14ac:dyDescent="0.25">
      <c r="B549" s="3">
        <v>656</v>
      </c>
      <c r="C549" s="3" t="s">
        <v>9</v>
      </c>
      <c r="D549" s="3" t="s">
        <v>11</v>
      </c>
      <c r="E549" s="4">
        <v>42765</v>
      </c>
      <c r="F549" s="4"/>
      <c r="G549" s="3" t="s">
        <v>27</v>
      </c>
      <c r="H549" s="5">
        <v>623</v>
      </c>
      <c r="I549" s="3" t="str">
        <f>VLOOKUP(Tabela1[[#This Row],[Advogado]],Tabela2[],2,FALSE)</f>
        <v>Caio Brito</v>
      </c>
      <c r="J549" s="17">
        <f>IF(Tabela1[[#This Row],[Data de conclusão]]="",NETWORKDAYS(Tabela1[[#This Row],[Data de entrada]],$J$2),NETWORKDAYS(Tabela1[[#This Row],[Data de entrada]],Tabela1[[#This Row],[Data de conclusão]]))</f>
        <v>337</v>
      </c>
      <c r="K549" s="1"/>
    </row>
    <row r="550" spans="2:11" x14ac:dyDescent="0.25">
      <c r="B550" s="3">
        <v>657</v>
      </c>
      <c r="C550" s="3" t="s">
        <v>7</v>
      </c>
      <c r="D550" s="3" t="s">
        <v>12</v>
      </c>
      <c r="E550" s="4">
        <v>42618</v>
      </c>
      <c r="F550" s="4"/>
      <c r="G550" s="3" t="s">
        <v>29</v>
      </c>
      <c r="H550" s="5">
        <v>48410</v>
      </c>
      <c r="I550" s="3" t="str">
        <f>VLOOKUP(Tabela1[[#This Row],[Advogado]],Tabela2[],2,FALSE)</f>
        <v>Caio Brito</v>
      </c>
      <c r="J550" s="17">
        <f>IF(Tabela1[[#This Row],[Data de conclusão]]="",NETWORKDAYS(Tabela1[[#This Row],[Data de entrada]],$J$2),NETWORKDAYS(Tabela1[[#This Row],[Data de entrada]],Tabela1[[#This Row],[Data de conclusão]]))</f>
        <v>442</v>
      </c>
      <c r="K550" s="1"/>
    </row>
    <row r="551" spans="2:11" x14ac:dyDescent="0.25">
      <c r="B551" s="3">
        <v>658</v>
      </c>
      <c r="C551" s="3" t="s">
        <v>8</v>
      </c>
      <c r="D551" s="3" t="s">
        <v>13</v>
      </c>
      <c r="E551" s="4">
        <v>42787</v>
      </c>
      <c r="F551" s="4"/>
      <c r="G551" s="3" t="s">
        <v>29</v>
      </c>
      <c r="H551" s="5">
        <v>58759</v>
      </c>
      <c r="I551" s="3" t="str">
        <f>VLOOKUP(Tabela1[[#This Row],[Advogado]],Tabela2[],2,FALSE)</f>
        <v>Caio Brito</v>
      </c>
      <c r="J551" s="17">
        <f>IF(Tabela1[[#This Row],[Data de conclusão]]="",NETWORKDAYS(Tabela1[[#This Row],[Data de entrada]],$J$2),NETWORKDAYS(Tabela1[[#This Row],[Data de entrada]],Tabela1[[#This Row],[Data de conclusão]]))</f>
        <v>321</v>
      </c>
      <c r="K551" s="1"/>
    </row>
    <row r="552" spans="2:11" x14ac:dyDescent="0.25">
      <c r="B552" s="3">
        <v>659</v>
      </c>
      <c r="C552" s="3" t="s">
        <v>9</v>
      </c>
      <c r="D552" s="3" t="s">
        <v>14</v>
      </c>
      <c r="E552" s="4">
        <v>42589</v>
      </c>
      <c r="F552" s="4"/>
      <c r="G552" s="3" t="s">
        <v>29</v>
      </c>
      <c r="H552" s="5">
        <v>31816</v>
      </c>
      <c r="I552" s="3" t="str">
        <f>VLOOKUP(Tabela1[[#This Row],[Advogado]],Tabela2[],2,FALSE)</f>
        <v>Renê Amaranto</v>
      </c>
      <c r="J552" s="17">
        <f>IF(Tabela1[[#This Row],[Data de conclusão]]="",NETWORKDAYS(Tabela1[[#This Row],[Data de entrada]],$J$2),NETWORKDAYS(Tabela1[[#This Row],[Data de entrada]],Tabela1[[#This Row],[Data de conclusão]]))</f>
        <v>462</v>
      </c>
      <c r="K552" s="1"/>
    </row>
    <row r="553" spans="2:11" x14ac:dyDescent="0.25">
      <c r="B553" s="3">
        <v>660</v>
      </c>
      <c r="C553" s="3" t="s">
        <v>7</v>
      </c>
      <c r="D553" s="3" t="s">
        <v>15</v>
      </c>
      <c r="E553" s="4">
        <v>42963</v>
      </c>
      <c r="F553" s="4"/>
      <c r="G553" s="3" t="s">
        <v>29</v>
      </c>
      <c r="H553" s="5">
        <v>8549</v>
      </c>
      <c r="I553" s="3" t="str">
        <f>VLOOKUP(Tabela1[[#This Row],[Advogado]],Tabela2[],2,FALSE)</f>
        <v>Renê Amaranto</v>
      </c>
      <c r="J553" s="17">
        <f>IF(Tabela1[[#This Row],[Data de conclusão]]="",NETWORKDAYS(Tabela1[[#This Row],[Data de entrada]],$J$2),NETWORKDAYS(Tabela1[[#This Row],[Data de entrada]],Tabela1[[#This Row],[Data de conclusão]]))</f>
        <v>195</v>
      </c>
      <c r="K553" s="1"/>
    </row>
    <row r="554" spans="2:11" x14ac:dyDescent="0.25">
      <c r="B554" s="3">
        <v>661</v>
      </c>
      <c r="C554" s="3" t="s">
        <v>8</v>
      </c>
      <c r="D554" s="3" t="s">
        <v>16</v>
      </c>
      <c r="E554" s="4">
        <v>42627</v>
      </c>
      <c r="F554" s="4"/>
      <c r="G554" s="3" t="s">
        <v>29</v>
      </c>
      <c r="H554" s="5">
        <v>55070</v>
      </c>
      <c r="I554" s="3" t="str">
        <f>VLOOKUP(Tabela1[[#This Row],[Advogado]],Tabela2[],2,FALSE)</f>
        <v>Renê Amaranto</v>
      </c>
      <c r="J554" s="17">
        <f>IF(Tabela1[[#This Row],[Data de conclusão]]="",NETWORKDAYS(Tabela1[[#This Row],[Data de entrada]],$J$2),NETWORKDAYS(Tabela1[[#This Row],[Data de entrada]],Tabela1[[#This Row],[Data de conclusão]]))</f>
        <v>435</v>
      </c>
      <c r="K554" s="1"/>
    </row>
    <row r="555" spans="2:11" x14ac:dyDescent="0.25">
      <c r="B555" s="3">
        <v>662</v>
      </c>
      <c r="C555" s="3" t="s">
        <v>9</v>
      </c>
      <c r="D555" s="3" t="s">
        <v>17</v>
      </c>
      <c r="E555" s="4">
        <v>43056</v>
      </c>
      <c r="F555" s="4"/>
      <c r="G555" s="3" t="s">
        <v>29</v>
      </c>
      <c r="H555" s="5">
        <v>45091</v>
      </c>
      <c r="I555" s="3" t="str">
        <f>VLOOKUP(Tabela1[[#This Row],[Advogado]],Tabela2[],2,FALSE)</f>
        <v>Renê Amaranto</v>
      </c>
      <c r="J555" s="17">
        <f>IF(Tabela1[[#This Row],[Data de conclusão]]="",NETWORKDAYS(Tabela1[[#This Row],[Data de entrada]],$J$2),NETWORKDAYS(Tabela1[[#This Row],[Data de entrada]],Tabela1[[#This Row],[Data de conclusão]]))</f>
        <v>128</v>
      </c>
      <c r="K555" s="1"/>
    </row>
    <row r="556" spans="2:11" x14ac:dyDescent="0.25">
      <c r="B556" s="3">
        <v>663</v>
      </c>
      <c r="C556" s="3" t="s">
        <v>7</v>
      </c>
      <c r="D556" s="3" t="s">
        <v>10</v>
      </c>
      <c r="E556" s="4">
        <v>42905</v>
      </c>
      <c r="F556" s="4"/>
      <c r="G556" s="3" t="s">
        <v>29</v>
      </c>
      <c r="H556" s="5">
        <v>55959</v>
      </c>
      <c r="I556" s="3" t="str">
        <f>VLOOKUP(Tabela1[[#This Row],[Advogado]],Tabela2[],2,FALSE)</f>
        <v>Caio Brito</v>
      </c>
      <c r="J556" s="17">
        <f>IF(Tabela1[[#This Row],[Data de conclusão]]="",NETWORKDAYS(Tabela1[[#This Row],[Data de entrada]],$J$2),NETWORKDAYS(Tabela1[[#This Row],[Data de entrada]],Tabela1[[#This Row],[Data de conclusão]]))</f>
        <v>237</v>
      </c>
      <c r="K556" s="1"/>
    </row>
    <row r="557" spans="2:11" x14ac:dyDescent="0.25">
      <c r="B557" s="3">
        <v>664</v>
      </c>
      <c r="C557" s="3" t="s">
        <v>8</v>
      </c>
      <c r="D557" s="3" t="s">
        <v>11</v>
      </c>
      <c r="E557" s="4">
        <v>42518</v>
      </c>
      <c r="F557" s="4"/>
      <c r="G557" s="3" t="s">
        <v>29</v>
      </c>
      <c r="H557" s="5">
        <v>10993</v>
      </c>
      <c r="I557" s="3" t="str">
        <f>VLOOKUP(Tabela1[[#This Row],[Advogado]],Tabela2[],2,FALSE)</f>
        <v>Caio Brito</v>
      </c>
      <c r="J557" s="17">
        <f>IF(Tabela1[[#This Row],[Data de conclusão]]="",NETWORKDAYS(Tabela1[[#This Row],[Data de entrada]],$J$2),NETWORKDAYS(Tabela1[[#This Row],[Data de entrada]],Tabela1[[#This Row],[Data de conclusão]]))</f>
        <v>512</v>
      </c>
      <c r="K557" s="1"/>
    </row>
    <row r="558" spans="2:11" x14ac:dyDescent="0.25">
      <c r="B558" s="3">
        <v>665</v>
      </c>
      <c r="C558" s="3" t="s">
        <v>9</v>
      </c>
      <c r="D558" s="3" t="s">
        <v>12</v>
      </c>
      <c r="E558" s="4">
        <v>42888</v>
      </c>
      <c r="F558" s="4"/>
      <c r="G558" s="3" t="s">
        <v>29</v>
      </c>
      <c r="H558" s="5">
        <v>20220</v>
      </c>
      <c r="I558" s="3" t="str">
        <f>VLOOKUP(Tabela1[[#This Row],[Advogado]],Tabela2[],2,FALSE)</f>
        <v>Caio Brito</v>
      </c>
      <c r="J558" s="17">
        <f>IF(Tabela1[[#This Row],[Data de conclusão]]="",NETWORKDAYS(Tabela1[[#This Row],[Data de entrada]],$J$2),NETWORKDAYS(Tabela1[[#This Row],[Data de entrada]],Tabela1[[#This Row],[Data de conclusão]]))</f>
        <v>248</v>
      </c>
      <c r="K558" s="1"/>
    </row>
    <row r="559" spans="2:11" x14ac:dyDescent="0.25">
      <c r="B559" s="3">
        <v>666</v>
      </c>
      <c r="C559" s="3" t="s">
        <v>7</v>
      </c>
      <c r="D559" s="3" t="s">
        <v>13</v>
      </c>
      <c r="E559" s="4">
        <v>42911</v>
      </c>
      <c r="F559" s="4"/>
      <c r="G559" s="3" t="s">
        <v>29</v>
      </c>
      <c r="H559" s="5">
        <v>36731</v>
      </c>
      <c r="I559" s="3" t="str">
        <f>VLOOKUP(Tabela1[[#This Row],[Advogado]],Tabela2[],2,FALSE)</f>
        <v>Caio Brito</v>
      </c>
      <c r="J559" s="17">
        <f>IF(Tabela1[[#This Row],[Data de conclusão]]="",NETWORKDAYS(Tabela1[[#This Row],[Data de entrada]],$J$2),NETWORKDAYS(Tabela1[[#This Row],[Data de entrada]],Tabela1[[#This Row],[Data de conclusão]]))</f>
        <v>232</v>
      </c>
      <c r="K559" s="1"/>
    </row>
    <row r="560" spans="2:11" x14ac:dyDescent="0.25">
      <c r="B560" s="3">
        <v>667</v>
      </c>
      <c r="C560" s="3" t="s">
        <v>8</v>
      </c>
      <c r="D560" s="3" t="s">
        <v>14</v>
      </c>
      <c r="E560" s="4">
        <v>43080</v>
      </c>
      <c r="F560" s="4"/>
      <c r="G560" s="3" t="s">
        <v>29</v>
      </c>
      <c r="H560" s="5">
        <v>50091</v>
      </c>
      <c r="I560" s="3" t="str">
        <f>VLOOKUP(Tabela1[[#This Row],[Advogado]],Tabela2[],2,FALSE)</f>
        <v>Renê Amaranto</v>
      </c>
      <c r="J560" s="17">
        <f>IF(Tabela1[[#This Row],[Data de conclusão]]="",NETWORKDAYS(Tabela1[[#This Row],[Data de entrada]],$J$2),NETWORKDAYS(Tabela1[[#This Row],[Data de entrada]],Tabela1[[#This Row],[Data de conclusão]]))</f>
        <v>112</v>
      </c>
      <c r="K560" s="1"/>
    </row>
    <row r="561" spans="2:11" x14ac:dyDescent="0.25">
      <c r="B561" s="3">
        <v>668</v>
      </c>
      <c r="C561" s="3" t="s">
        <v>9</v>
      </c>
      <c r="D561" s="3" t="s">
        <v>15</v>
      </c>
      <c r="E561" s="4">
        <v>42723</v>
      </c>
      <c r="F561" s="4">
        <v>42788</v>
      </c>
      <c r="G561" s="3" t="s">
        <v>28</v>
      </c>
      <c r="H561" s="5">
        <v>30945</v>
      </c>
      <c r="I561" s="3" t="str">
        <f>VLOOKUP(Tabela1[[#This Row],[Advogado]],Tabela2[],2,FALSE)</f>
        <v>Renê Amaranto</v>
      </c>
      <c r="J561" s="17">
        <f>IF(Tabela1[[#This Row],[Data de conclusão]]="",NETWORKDAYS(Tabela1[[#This Row],[Data de entrada]],$J$2),NETWORKDAYS(Tabela1[[#This Row],[Data de entrada]],Tabela1[[#This Row],[Data de conclusão]]))</f>
        <v>48</v>
      </c>
      <c r="K561" s="1"/>
    </row>
    <row r="562" spans="2:11" x14ac:dyDescent="0.25">
      <c r="B562" s="3">
        <v>669</v>
      </c>
      <c r="C562" s="3" t="s">
        <v>7</v>
      </c>
      <c r="D562" s="3" t="s">
        <v>16</v>
      </c>
      <c r="E562" s="4">
        <v>43062</v>
      </c>
      <c r="F562" s="4"/>
      <c r="G562" s="3" t="s">
        <v>27</v>
      </c>
      <c r="H562" s="5">
        <v>11822</v>
      </c>
      <c r="I562" s="3" t="str">
        <f>VLOOKUP(Tabela1[[#This Row],[Advogado]],Tabela2[],2,FALSE)</f>
        <v>Renê Amaranto</v>
      </c>
      <c r="J562" s="17">
        <f>IF(Tabela1[[#This Row],[Data de conclusão]]="",NETWORKDAYS(Tabela1[[#This Row],[Data de entrada]],$J$2),NETWORKDAYS(Tabela1[[#This Row],[Data de entrada]],Tabela1[[#This Row],[Data de conclusão]]))</f>
        <v>124</v>
      </c>
      <c r="K562" s="1"/>
    </row>
    <row r="563" spans="2:11" x14ac:dyDescent="0.25">
      <c r="B563" s="3">
        <v>670</v>
      </c>
      <c r="C563" s="3" t="s">
        <v>8</v>
      </c>
      <c r="D563" s="3" t="s">
        <v>17</v>
      </c>
      <c r="E563" s="4">
        <v>42881</v>
      </c>
      <c r="F563" s="4"/>
      <c r="G563" s="3" t="s">
        <v>29</v>
      </c>
      <c r="H563" s="5">
        <v>29608</v>
      </c>
      <c r="I563" s="3" t="str">
        <f>VLOOKUP(Tabela1[[#This Row],[Advogado]],Tabela2[],2,FALSE)</f>
        <v>Renê Amaranto</v>
      </c>
      <c r="J563" s="17">
        <f>IF(Tabela1[[#This Row],[Data de conclusão]]="",NETWORKDAYS(Tabela1[[#This Row],[Data de entrada]],$J$2),NETWORKDAYS(Tabela1[[#This Row],[Data de entrada]],Tabela1[[#This Row],[Data de conclusão]]))</f>
        <v>253</v>
      </c>
      <c r="K563" s="1"/>
    </row>
    <row r="564" spans="2:11" x14ac:dyDescent="0.25">
      <c r="B564" s="3">
        <v>671</v>
      </c>
      <c r="C564" s="3" t="s">
        <v>9</v>
      </c>
      <c r="D564" s="3" t="s">
        <v>10</v>
      </c>
      <c r="E564" s="4">
        <v>42857</v>
      </c>
      <c r="F564" s="4"/>
      <c r="G564" s="3" t="s">
        <v>29</v>
      </c>
      <c r="H564" s="5">
        <v>8706</v>
      </c>
      <c r="I564" s="3" t="str">
        <f>VLOOKUP(Tabela1[[#This Row],[Advogado]],Tabela2[],2,FALSE)</f>
        <v>Caio Brito</v>
      </c>
      <c r="J564" s="17">
        <f>IF(Tabela1[[#This Row],[Data de conclusão]]="",NETWORKDAYS(Tabela1[[#This Row],[Data de entrada]],$J$2),NETWORKDAYS(Tabela1[[#This Row],[Data de entrada]],Tabela1[[#This Row],[Data de conclusão]]))</f>
        <v>271</v>
      </c>
      <c r="K564" s="1"/>
    </row>
    <row r="565" spans="2:11" x14ac:dyDescent="0.25">
      <c r="B565" s="3">
        <v>672</v>
      </c>
      <c r="C565" s="3" t="s">
        <v>7</v>
      </c>
      <c r="D565" s="3" t="s">
        <v>11</v>
      </c>
      <c r="E565" s="4">
        <v>42440</v>
      </c>
      <c r="F565" s="4"/>
      <c r="G565" s="3" t="s">
        <v>29</v>
      </c>
      <c r="H565" s="5">
        <v>42695</v>
      </c>
      <c r="I565" s="3" t="str">
        <f>VLOOKUP(Tabela1[[#This Row],[Advogado]],Tabela2[],2,FALSE)</f>
        <v>Caio Brito</v>
      </c>
      <c r="J565" s="17">
        <f>IF(Tabela1[[#This Row],[Data de conclusão]]="",NETWORKDAYS(Tabela1[[#This Row],[Data de entrada]],$J$2),NETWORKDAYS(Tabela1[[#This Row],[Data de entrada]],Tabela1[[#This Row],[Data de conclusão]]))</f>
        <v>568</v>
      </c>
      <c r="K565" s="1"/>
    </row>
    <row r="566" spans="2:11" x14ac:dyDescent="0.25">
      <c r="B566" s="3">
        <v>673</v>
      </c>
      <c r="C566" s="3" t="s">
        <v>8</v>
      </c>
      <c r="D566" s="3" t="s">
        <v>12</v>
      </c>
      <c r="E566" s="4">
        <v>42575</v>
      </c>
      <c r="F566" s="4"/>
      <c r="G566" s="3" t="s">
        <v>29</v>
      </c>
      <c r="H566" s="5">
        <v>51460</v>
      </c>
      <c r="I566" s="3" t="str">
        <f>VLOOKUP(Tabela1[[#This Row],[Advogado]],Tabela2[],2,FALSE)</f>
        <v>Caio Brito</v>
      </c>
      <c r="J566" s="17">
        <f>IF(Tabela1[[#This Row],[Data de conclusão]]="",NETWORKDAYS(Tabela1[[#This Row],[Data de entrada]],$J$2),NETWORKDAYS(Tabela1[[#This Row],[Data de entrada]],Tabela1[[#This Row],[Data de conclusão]]))</f>
        <v>472</v>
      </c>
      <c r="K566" s="1"/>
    </row>
    <row r="567" spans="2:11" x14ac:dyDescent="0.25">
      <c r="B567" s="3">
        <v>674</v>
      </c>
      <c r="C567" s="3" t="s">
        <v>9</v>
      </c>
      <c r="D567" s="3" t="s">
        <v>13</v>
      </c>
      <c r="E567" s="4">
        <v>43096</v>
      </c>
      <c r="F567" s="4"/>
      <c r="G567" s="3" t="s">
        <v>29</v>
      </c>
      <c r="H567" s="5">
        <v>2757</v>
      </c>
      <c r="I567" s="3" t="str">
        <f>VLOOKUP(Tabela1[[#This Row],[Advogado]],Tabela2[],2,FALSE)</f>
        <v>Caio Brito</v>
      </c>
      <c r="J567" s="17">
        <f>IF(Tabela1[[#This Row],[Data de conclusão]]="",NETWORKDAYS(Tabela1[[#This Row],[Data de entrada]],$J$2),NETWORKDAYS(Tabela1[[#This Row],[Data de entrada]],Tabela1[[#This Row],[Data de conclusão]]))</f>
        <v>100</v>
      </c>
      <c r="K567" s="1"/>
    </row>
    <row r="568" spans="2:11" x14ac:dyDescent="0.25">
      <c r="B568" s="3">
        <v>675</v>
      </c>
      <c r="C568" s="3" t="s">
        <v>7</v>
      </c>
      <c r="D568" s="3" t="s">
        <v>14</v>
      </c>
      <c r="E568" s="4">
        <v>42712</v>
      </c>
      <c r="F568" s="4"/>
      <c r="G568" s="3" t="s">
        <v>29</v>
      </c>
      <c r="H568" s="5">
        <v>56347</v>
      </c>
      <c r="I568" s="3" t="str">
        <f>VLOOKUP(Tabela1[[#This Row],[Advogado]],Tabela2[],2,FALSE)</f>
        <v>Renê Amaranto</v>
      </c>
      <c r="J568" s="17">
        <f>IF(Tabela1[[#This Row],[Data de conclusão]]="",NETWORKDAYS(Tabela1[[#This Row],[Data de entrada]],$J$2),NETWORKDAYS(Tabela1[[#This Row],[Data de entrada]],Tabela1[[#This Row],[Data de conclusão]]))</f>
        <v>374</v>
      </c>
      <c r="K568" s="1"/>
    </row>
    <row r="569" spans="2:11" x14ac:dyDescent="0.25">
      <c r="B569" s="3">
        <v>676</v>
      </c>
      <c r="C569" s="3" t="s">
        <v>8</v>
      </c>
      <c r="D569" s="3" t="s">
        <v>15</v>
      </c>
      <c r="E569" s="4">
        <v>42580</v>
      </c>
      <c r="F569" s="4"/>
      <c r="G569" s="3" t="s">
        <v>29</v>
      </c>
      <c r="H569" s="5">
        <v>4193</v>
      </c>
      <c r="I569" s="3" t="str">
        <f>VLOOKUP(Tabela1[[#This Row],[Advogado]],Tabela2[],2,FALSE)</f>
        <v>Renê Amaranto</v>
      </c>
      <c r="J569" s="17">
        <f>IF(Tabela1[[#This Row],[Data de conclusão]]="",NETWORKDAYS(Tabela1[[#This Row],[Data de entrada]],$J$2),NETWORKDAYS(Tabela1[[#This Row],[Data de entrada]],Tabela1[[#This Row],[Data de conclusão]]))</f>
        <v>468</v>
      </c>
      <c r="K569" s="1"/>
    </row>
    <row r="570" spans="2:11" x14ac:dyDescent="0.25">
      <c r="B570" s="3">
        <v>677</v>
      </c>
      <c r="C570" s="3" t="s">
        <v>9</v>
      </c>
      <c r="D570" s="3" t="s">
        <v>16</v>
      </c>
      <c r="E570" s="4">
        <v>43093</v>
      </c>
      <c r="F570" s="4"/>
      <c r="G570" s="3" t="s">
        <v>29</v>
      </c>
      <c r="H570" s="5">
        <v>43994</v>
      </c>
      <c r="I570" s="3" t="str">
        <f>VLOOKUP(Tabela1[[#This Row],[Advogado]],Tabela2[],2,FALSE)</f>
        <v>Renê Amaranto</v>
      </c>
      <c r="J570" s="17">
        <f>IF(Tabela1[[#This Row],[Data de conclusão]]="",NETWORKDAYS(Tabela1[[#This Row],[Data de entrada]],$J$2),NETWORKDAYS(Tabela1[[#This Row],[Data de entrada]],Tabela1[[#This Row],[Data de conclusão]]))</f>
        <v>102</v>
      </c>
      <c r="K570" s="1"/>
    </row>
    <row r="571" spans="2:11" x14ac:dyDescent="0.25">
      <c r="B571" s="3">
        <v>678</v>
      </c>
      <c r="C571" s="3" t="s">
        <v>7</v>
      </c>
      <c r="D571" s="3" t="s">
        <v>17</v>
      </c>
      <c r="E571" s="4">
        <v>42471</v>
      </c>
      <c r="F571" s="4"/>
      <c r="G571" s="3" t="s">
        <v>29</v>
      </c>
      <c r="H571" s="5">
        <v>15569</v>
      </c>
      <c r="I571" s="3" t="str">
        <f>VLOOKUP(Tabela1[[#This Row],[Advogado]],Tabela2[],2,FALSE)</f>
        <v>Renê Amaranto</v>
      </c>
      <c r="J571" s="17">
        <f>IF(Tabela1[[#This Row],[Data de conclusão]]="",NETWORKDAYS(Tabela1[[#This Row],[Data de entrada]],$J$2),NETWORKDAYS(Tabela1[[#This Row],[Data de entrada]],Tabela1[[#This Row],[Data de conclusão]]))</f>
        <v>547</v>
      </c>
      <c r="K571" s="1"/>
    </row>
    <row r="572" spans="2:11" x14ac:dyDescent="0.25">
      <c r="B572" s="3">
        <v>679</v>
      </c>
      <c r="C572" s="3" t="s">
        <v>8</v>
      </c>
      <c r="D572" s="3" t="s">
        <v>10</v>
      </c>
      <c r="E572" s="4">
        <v>42393</v>
      </c>
      <c r="F572" s="4"/>
      <c r="G572" s="3" t="s">
        <v>29</v>
      </c>
      <c r="H572" s="5">
        <v>50605</v>
      </c>
      <c r="I572" s="3" t="str">
        <f>VLOOKUP(Tabela1[[#This Row],[Advogado]],Tabela2[],2,FALSE)</f>
        <v>Caio Brito</v>
      </c>
      <c r="J572" s="17">
        <f>IF(Tabela1[[#This Row],[Data de conclusão]]="",NETWORKDAYS(Tabela1[[#This Row],[Data de entrada]],$J$2),NETWORKDAYS(Tabela1[[#This Row],[Data de entrada]],Tabela1[[#This Row],[Data de conclusão]]))</f>
        <v>602</v>
      </c>
      <c r="K572" s="1"/>
    </row>
    <row r="573" spans="2:11" x14ac:dyDescent="0.25">
      <c r="B573" s="3">
        <v>680</v>
      </c>
      <c r="C573" s="3" t="s">
        <v>9</v>
      </c>
      <c r="D573" s="3" t="s">
        <v>11</v>
      </c>
      <c r="E573" s="4">
        <v>42536</v>
      </c>
      <c r="F573" s="4"/>
      <c r="G573" s="3" t="s">
        <v>29</v>
      </c>
      <c r="H573" s="5">
        <v>50736</v>
      </c>
      <c r="I573" s="3" t="str">
        <f>VLOOKUP(Tabela1[[#This Row],[Advogado]],Tabela2[],2,FALSE)</f>
        <v>Caio Brito</v>
      </c>
      <c r="J573" s="17">
        <f>IF(Tabela1[[#This Row],[Data de conclusão]]="",NETWORKDAYS(Tabela1[[#This Row],[Data de entrada]],$J$2),NETWORKDAYS(Tabela1[[#This Row],[Data de entrada]],Tabela1[[#This Row],[Data de conclusão]]))</f>
        <v>500</v>
      </c>
      <c r="K573" s="1"/>
    </row>
    <row r="574" spans="2:11" x14ac:dyDescent="0.25">
      <c r="B574" s="3">
        <v>681</v>
      </c>
      <c r="C574" s="3" t="s">
        <v>7</v>
      </c>
      <c r="D574" s="3" t="s">
        <v>12</v>
      </c>
      <c r="E574" s="4">
        <v>42519</v>
      </c>
      <c r="F574" s="4">
        <v>42662</v>
      </c>
      <c r="G574" s="3" t="s">
        <v>28</v>
      </c>
      <c r="H574" s="5">
        <v>49701</v>
      </c>
      <c r="I574" s="3" t="str">
        <f>VLOOKUP(Tabela1[[#This Row],[Advogado]],Tabela2[],2,FALSE)</f>
        <v>Caio Brito</v>
      </c>
      <c r="J574" s="17">
        <f>IF(Tabela1[[#This Row],[Data de conclusão]]="",NETWORKDAYS(Tabela1[[#This Row],[Data de entrada]],$J$2),NETWORKDAYS(Tabela1[[#This Row],[Data de entrada]],Tabela1[[#This Row],[Data de conclusão]]))</f>
        <v>103</v>
      </c>
      <c r="K574" s="1"/>
    </row>
    <row r="575" spans="2:11" x14ac:dyDescent="0.25">
      <c r="B575" s="3">
        <v>682</v>
      </c>
      <c r="C575" s="3" t="s">
        <v>8</v>
      </c>
      <c r="D575" s="3" t="s">
        <v>13</v>
      </c>
      <c r="E575" s="4">
        <v>42622</v>
      </c>
      <c r="F575" s="4"/>
      <c r="G575" s="3" t="s">
        <v>27</v>
      </c>
      <c r="H575" s="5">
        <v>29502</v>
      </c>
      <c r="I575" s="3" t="str">
        <f>VLOOKUP(Tabela1[[#This Row],[Advogado]],Tabela2[],2,FALSE)</f>
        <v>Caio Brito</v>
      </c>
      <c r="J575" s="17">
        <f>IF(Tabela1[[#This Row],[Data de conclusão]]="",NETWORKDAYS(Tabela1[[#This Row],[Data de entrada]],$J$2),NETWORKDAYS(Tabela1[[#This Row],[Data de entrada]],Tabela1[[#This Row],[Data de conclusão]]))</f>
        <v>438</v>
      </c>
      <c r="K575" s="1"/>
    </row>
    <row r="576" spans="2:11" x14ac:dyDescent="0.25">
      <c r="B576" s="3">
        <v>683</v>
      </c>
      <c r="C576" s="3" t="s">
        <v>9</v>
      </c>
      <c r="D576" s="3" t="s">
        <v>14</v>
      </c>
      <c r="E576" s="4">
        <v>42901</v>
      </c>
      <c r="F576" s="4"/>
      <c r="G576" s="3" t="s">
        <v>29</v>
      </c>
      <c r="H576" s="5">
        <v>58809</v>
      </c>
      <c r="I576" s="3" t="str">
        <f>VLOOKUP(Tabela1[[#This Row],[Advogado]],Tabela2[],2,FALSE)</f>
        <v>Renê Amaranto</v>
      </c>
      <c r="J576" s="17">
        <f>IF(Tabela1[[#This Row],[Data de conclusão]]="",NETWORKDAYS(Tabela1[[#This Row],[Data de entrada]],$J$2),NETWORKDAYS(Tabela1[[#This Row],[Data de entrada]],Tabela1[[#This Row],[Data de conclusão]]))</f>
        <v>239</v>
      </c>
      <c r="K576" s="1"/>
    </row>
    <row r="577" spans="2:11" x14ac:dyDescent="0.25">
      <c r="B577" s="3">
        <v>684</v>
      </c>
      <c r="C577" s="3" t="s">
        <v>7</v>
      </c>
      <c r="D577" s="3" t="s">
        <v>15</v>
      </c>
      <c r="E577" s="4">
        <v>42686</v>
      </c>
      <c r="F577" s="4"/>
      <c r="G577" s="3" t="s">
        <v>29</v>
      </c>
      <c r="H577" s="5">
        <v>17109</v>
      </c>
      <c r="I577" s="3" t="str">
        <f>VLOOKUP(Tabela1[[#This Row],[Advogado]],Tabela2[],2,FALSE)</f>
        <v>Renê Amaranto</v>
      </c>
      <c r="J577" s="17">
        <f>IF(Tabela1[[#This Row],[Data de conclusão]]="",NETWORKDAYS(Tabela1[[#This Row],[Data de entrada]],$J$2),NETWORKDAYS(Tabela1[[#This Row],[Data de entrada]],Tabela1[[#This Row],[Data de conclusão]]))</f>
        <v>392</v>
      </c>
      <c r="K577" s="1"/>
    </row>
    <row r="578" spans="2:11" x14ac:dyDescent="0.25">
      <c r="B578" s="3">
        <v>685</v>
      </c>
      <c r="C578" s="3" t="s">
        <v>8</v>
      </c>
      <c r="D578" s="3" t="s">
        <v>16</v>
      </c>
      <c r="E578" s="4">
        <v>42914</v>
      </c>
      <c r="F578" s="4"/>
      <c r="G578" s="3" t="s">
        <v>29</v>
      </c>
      <c r="H578" s="5">
        <v>52124</v>
      </c>
      <c r="I578" s="3" t="str">
        <f>VLOOKUP(Tabela1[[#This Row],[Advogado]],Tabela2[],2,FALSE)</f>
        <v>Renê Amaranto</v>
      </c>
      <c r="J578" s="17">
        <f>IF(Tabela1[[#This Row],[Data de conclusão]]="",NETWORKDAYS(Tabela1[[#This Row],[Data de entrada]],$J$2),NETWORKDAYS(Tabela1[[#This Row],[Data de entrada]],Tabela1[[#This Row],[Data de conclusão]]))</f>
        <v>230</v>
      </c>
      <c r="K578" s="1"/>
    </row>
    <row r="579" spans="2:11" x14ac:dyDescent="0.25">
      <c r="B579" s="3">
        <v>686</v>
      </c>
      <c r="C579" s="3" t="s">
        <v>9</v>
      </c>
      <c r="D579" s="3" t="s">
        <v>17</v>
      </c>
      <c r="E579" s="4">
        <v>42991</v>
      </c>
      <c r="F579" s="4"/>
      <c r="G579" s="3" t="s">
        <v>29</v>
      </c>
      <c r="H579" s="5">
        <v>20912</v>
      </c>
      <c r="I579" s="3" t="str">
        <f>VLOOKUP(Tabela1[[#This Row],[Advogado]],Tabela2[],2,FALSE)</f>
        <v>Renê Amaranto</v>
      </c>
      <c r="J579" s="17">
        <f>IF(Tabela1[[#This Row],[Data de conclusão]]="",NETWORKDAYS(Tabela1[[#This Row],[Data de entrada]],$J$2),NETWORKDAYS(Tabela1[[#This Row],[Data de entrada]],Tabela1[[#This Row],[Data de conclusão]]))</f>
        <v>175</v>
      </c>
      <c r="K579" s="1"/>
    </row>
    <row r="580" spans="2:11" x14ac:dyDescent="0.25">
      <c r="B580" s="3">
        <v>687</v>
      </c>
      <c r="C580" s="3" t="s">
        <v>7</v>
      </c>
      <c r="D580" s="3" t="s">
        <v>10</v>
      </c>
      <c r="E580" s="4">
        <v>43041</v>
      </c>
      <c r="F580" s="4"/>
      <c r="G580" s="3" t="s">
        <v>29</v>
      </c>
      <c r="H580" s="5">
        <v>18595</v>
      </c>
      <c r="I580" s="3" t="str">
        <f>VLOOKUP(Tabela1[[#This Row],[Advogado]],Tabela2[],2,FALSE)</f>
        <v>Caio Brito</v>
      </c>
      <c r="J580" s="17">
        <f>IF(Tabela1[[#This Row],[Data de conclusão]]="",NETWORKDAYS(Tabela1[[#This Row],[Data de entrada]],$J$2),NETWORKDAYS(Tabela1[[#This Row],[Data de entrada]],Tabela1[[#This Row],[Data de conclusão]]))</f>
        <v>139</v>
      </c>
      <c r="K580" s="1"/>
    </row>
    <row r="581" spans="2:11" x14ac:dyDescent="0.25">
      <c r="B581" s="3">
        <v>688</v>
      </c>
      <c r="C581" s="3" t="s">
        <v>8</v>
      </c>
      <c r="D581" s="3" t="s">
        <v>11</v>
      </c>
      <c r="E581" s="4">
        <v>42779</v>
      </c>
      <c r="F581" s="4"/>
      <c r="G581" s="3" t="s">
        <v>29</v>
      </c>
      <c r="H581" s="5">
        <v>45289</v>
      </c>
      <c r="I581" s="3" t="str">
        <f>VLOOKUP(Tabela1[[#This Row],[Advogado]],Tabela2[],2,FALSE)</f>
        <v>Caio Brito</v>
      </c>
      <c r="J581" s="17">
        <f>IF(Tabela1[[#This Row],[Data de conclusão]]="",NETWORKDAYS(Tabela1[[#This Row],[Data de entrada]],$J$2),NETWORKDAYS(Tabela1[[#This Row],[Data de entrada]],Tabela1[[#This Row],[Data de conclusão]]))</f>
        <v>327</v>
      </c>
      <c r="K581" s="1"/>
    </row>
    <row r="582" spans="2:11" x14ac:dyDescent="0.25">
      <c r="B582" s="3">
        <v>689</v>
      </c>
      <c r="C582" s="3" t="s">
        <v>9</v>
      </c>
      <c r="D582" s="3" t="s">
        <v>12</v>
      </c>
      <c r="E582" s="4">
        <v>42642</v>
      </c>
      <c r="F582" s="4"/>
      <c r="G582" s="3" t="s">
        <v>29</v>
      </c>
      <c r="H582" s="5">
        <v>19965</v>
      </c>
      <c r="I582" s="3" t="str">
        <f>VLOOKUP(Tabela1[[#This Row],[Advogado]],Tabela2[],2,FALSE)</f>
        <v>Caio Brito</v>
      </c>
      <c r="J582" s="17">
        <f>IF(Tabela1[[#This Row],[Data de conclusão]]="",NETWORKDAYS(Tabela1[[#This Row],[Data de entrada]],$J$2),NETWORKDAYS(Tabela1[[#This Row],[Data de entrada]],Tabela1[[#This Row],[Data de conclusão]]))</f>
        <v>424</v>
      </c>
      <c r="K582" s="1"/>
    </row>
    <row r="583" spans="2:11" x14ac:dyDescent="0.25">
      <c r="B583" s="3">
        <v>690</v>
      </c>
      <c r="C583" s="3" t="s">
        <v>7</v>
      </c>
      <c r="D583" s="3" t="s">
        <v>13</v>
      </c>
      <c r="E583" s="4">
        <v>42862</v>
      </c>
      <c r="F583" s="4"/>
      <c r="G583" s="3" t="s">
        <v>29</v>
      </c>
      <c r="H583" s="5">
        <v>24296</v>
      </c>
      <c r="I583" s="3" t="str">
        <f>VLOOKUP(Tabela1[[#This Row],[Advogado]],Tabela2[],2,FALSE)</f>
        <v>Caio Brito</v>
      </c>
      <c r="J583" s="17">
        <f>IF(Tabela1[[#This Row],[Data de conclusão]]="",NETWORKDAYS(Tabela1[[#This Row],[Data de entrada]],$J$2),NETWORKDAYS(Tabela1[[#This Row],[Data de entrada]],Tabela1[[#This Row],[Data de conclusão]]))</f>
        <v>267</v>
      </c>
      <c r="K583" s="1"/>
    </row>
    <row r="584" spans="2:11" x14ac:dyDescent="0.25">
      <c r="B584" s="3">
        <v>691</v>
      </c>
      <c r="C584" s="3" t="s">
        <v>8</v>
      </c>
      <c r="D584" s="3" t="s">
        <v>14</v>
      </c>
      <c r="E584" s="4">
        <v>43059</v>
      </c>
      <c r="F584" s="4"/>
      <c r="G584" s="3" t="s">
        <v>29</v>
      </c>
      <c r="H584" s="5">
        <v>17566</v>
      </c>
      <c r="I584" s="3" t="str">
        <f>VLOOKUP(Tabela1[[#This Row],[Advogado]],Tabela2[],2,FALSE)</f>
        <v>Renê Amaranto</v>
      </c>
      <c r="J584" s="17">
        <f>IF(Tabela1[[#This Row],[Data de conclusão]]="",NETWORKDAYS(Tabela1[[#This Row],[Data de entrada]],$J$2),NETWORKDAYS(Tabela1[[#This Row],[Data de entrada]],Tabela1[[#This Row],[Data de conclusão]]))</f>
        <v>127</v>
      </c>
      <c r="K584" s="1"/>
    </row>
    <row r="585" spans="2:11" x14ac:dyDescent="0.25">
      <c r="B585" s="3">
        <v>692</v>
      </c>
      <c r="C585" s="3" t="s">
        <v>9</v>
      </c>
      <c r="D585" s="3" t="s">
        <v>15</v>
      </c>
      <c r="E585" s="4">
        <v>42821</v>
      </c>
      <c r="F585" s="4"/>
      <c r="G585" s="3" t="s">
        <v>29</v>
      </c>
      <c r="H585" s="5">
        <v>26359</v>
      </c>
      <c r="I585" s="3" t="str">
        <f>VLOOKUP(Tabela1[[#This Row],[Advogado]],Tabela2[],2,FALSE)</f>
        <v>Renê Amaranto</v>
      </c>
      <c r="J585" s="17">
        <f>IF(Tabela1[[#This Row],[Data de conclusão]]="",NETWORKDAYS(Tabela1[[#This Row],[Data de entrada]],$J$2),NETWORKDAYS(Tabela1[[#This Row],[Data de entrada]],Tabela1[[#This Row],[Data de conclusão]]))</f>
        <v>297</v>
      </c>
      <c r="K585" s="1"/>
    </row>
    <row r="586" spans="2:11" x14ac:dyDescent="0.25">
      <c r="B586" s="3">
        <v>693</v>
      </c>
      <c r="C586" s="3" t="s">
        <v>7</v>
      </c>
      <c r="D586" s="3" t="s">
        <v>16</v>
      </c>
      <c r="E586" s="4">
        <v>42746</v>
      </c>
      <c r="F586" s="4"/>
      <c r="G586" s="3" t="s">
        <v>29</v>
      </c>
      <c r="H586" s="5">
        <v>34567</v>
      </c>
      <c r="I586" s="3" t="str">
        <f>VLOOKUP(Tabela1[[#This Row],[Advogado]],Tabela2[],2,FALSE)</f>
        <v>Renê Amaranto</v>
      </c>
      <c r="J586" s="17">
        <f>IF(Tabela1[[#This Row],[Data de conclusão]]="",NETWORKDAYS(Tabela1[[#This Row],[Data de entrada]],$J$2),NETWORKDAYS(Tabela1[[#This Row],[Data de entrada]],Tabela1[[#This Row],[Data de conclusão]]))</f>
        <v>350</v>
      </c>
      <c r="K586" s="1"/>
    </row>
    <row r="587" spans="2:11" x14ac:dyDescent="0.25">
      <c r="B587" s="3">
        <v>694</v>
      </c>
      <c r="C587" s="3" t="s">
        <v>8</v>
      </c>
      <c r="D587" s="3" t="s">
        <v>17</v>
      </c>
      <c r="E587" s="4">
        <v>43093</v>
      </c>
      <c r="F587" s="4">
        <v>43163</v>
      </c>
      <c r="G587" s="3" t="s">
        <v>28</v>
      </c>
      <c r="H587" s="5">
        <v>33200</v>
      </c>
      <c r="I587" s="3" t="str">
        <f>VLOOKUP(Tabela1[[#This Row],[Advogado]],Tabela2[],2,FALSE)</f>
        <v>Renê Amaranto</v>
      </c>
      <c r="J587" s="17">
        <f>IF(Tabela1[[#This Row],[Data de conclusão]]="",NETWORKDAYS(Tabela1[[#This Row],[Data de entrada]],$J$2),NETWORKDAYS(Tabela1[[#This Row],[Data de entrada]],Tabela1[[#This Row],[Data de conclusão]]))</f>
        <v>50</v>
      </c>
      <c r="K587" s="1"/>
    </row>
    <row r="588" spans="2:11" x14ac:dyDescent="0.25">
      <c r="B588" s="3">
        <v>695</v>
      </c>
      <c r="C588" s="3" t="s">
        <v>9</v>
      </c>
      <c r="D588" s="3" t="s">
        <v>10</v>
      </c>
      <c r="E588" s="4">
        <v>43035</v>
      </c>
      <c r="F588" s="4"/>
      <c r="G588" s="3" t="s">
        <v>27</v>
      </c>
      <c r="H588" s="5">
        <v>54578</v>
      </c>
      <c r="I588" s="3" t="str">
        <f>VLOOKUP(Tabela1[[#This Row],[Advogado]],Tabela2[],2,FALSE)</f>
        <v>Caio Brito</v>
      </c>
      <c r="J588" s="17">
        <f>IF(Tabela1[[#This Row],[Data de conclusão]]="",NETWORKDAYS(Tabela1[[#This Row],[Data de entrada]],$J$2),NETWORKDAYS(Tabela1[[#This Row],[Data de entrada]],Tabela1[[#This Row],[Data de conclusão]]))</f>
        <v>143</v>
      </c>
      <c r="K588" s="1"/>
    </row>
    <row r="589" spans="2:11" x14ac:dyDescent="0.25">
      <c r="B589" s="3">
        <v>696</v>
      </c>
      <c r="C589" s="3" t="s">
        <v>7</v>
      </c>
      <c r="D589" s="3" t="s">
        <v>11</v>
      </c>
      <c r="E589" s="4">
        <v>42930</v>
      </c>
      <c r="F589" s="4"/>
      <c r="G589" s="3" t="s">
        <v>29</v>
      </c>
      <c r="H589" s="5">
        <v>56155</v>
      </c>
      <c r="I589" s="3" t="str">
        <f>VLOOKUP(Tabela1[[#This Row],[Advogado]],Tabela2[],2,FALSE)</f>
        <v>Caio Brito</v>
      </c>
      <c r="J589" s="17">
        <f>IF(Tabela1[[#This Row],[Data de conclusão]]="",NETWORKDAYS(Tabela1[[#This Row],[Data de entrada]],$J$2),NETWORKDAYS(Tabela1[[#This Row],[Data de entrada]],Tabela1[[#This Row],[Data de conclusão]]))</f>
        <v>218</v>
      </c>
      <c r="K589" s="1"/>
    </row>
    <row r="590" spans="2:11" x14ac:dyDescent="0.25">
      <c r="B590" s="3">
        <v>697</v>
      </c>
      <c r="C590" s="3" t="s">
        <v>8</v>
      </c>
      <c r="D590" s="3" t="s">
        <v>12</v>
      </c>
      <c r="E590" s="4">
        <v>42913</v>
      </c>
      <c r="F590" s="4"/>
      <c r="G590" s="3" t="s">
        <v>29</v>
      </c>
      <c r="H590" s="5">
        <v>37631</v>
      </c>
      <c r="I590" s="3" t="str">
        <f>VLOOKUP(Tabela1[[#This Row],[Advogado]],Tabela2[],2,FALSE)</f>
        <v>Caio Brito</v>
      </c>
      <c r="J590" s="17">
        <f>IF(Tabela1[[#This Row],[Data de conclusão]]="",NETWORKDAYS(Tabela1[[#This Row],[Data de entrada]],$J$2),NETWORKDAYS(Tabela1[[#This Row],[Data de entrada]],Tabela1[[#This Row],[Data de conclusão]]))</f>
        <v>231</v>
      </c>
      <c r="K590" s="1"/>
    </row>
    <row r="591" spans="2:11" x14ac:dyDescent="0.25">
      <c r="B591" s="3">
        <v>698</v>
      </c>
      <c r="C591" s="3" t="s">
        <v>9</v>
      </c>
      <c r="D591" s="3" t="s">
        <v>13</v>
      </c>
      <c r="E591" s="4">
        <v>42430</v>
      </c>
      <c r="F591" s="4"/>
      <c r="G591" s="3" t="s">
        <v>29</v>
      </c>
      <c r="H591" s="5">
        <v>20354</v>
      </c>
      <c r="I591" s="3" t="str">
        <f>VLOOKUP(Tabela1[[#This Row],[Advogado]],Tabela2[],2,FALSE)</f>
        <v>Caio Brito</v>
      </c>
      <c r="J591" s="17">
        <f>IF(Tabela1[[#This Row],[Data de conclusão]]="",NETWORKDAYS(Tabela1[[#This Row],[Data de entrada]],$J$2),NETWORKDAYS(Tabela1[[#This Row],[Data de entrada]],Tabela1[[#This Row],[Data de conclusão]]))</f>
        <v>576</v>
      </c>
      <c r="K591" s="1"/>
    </row>
    <row r="592" spans="2:11" x14ac:dyDescent="0.25">
      <c r="B592" s="3">
        <v>699</v>
      </c>
      <c r="C592" s="3" t="s">
        <v>7</v>
      </c>
      <c r="D592" s="3" t="s">
        <v>14</v>
      </c>
      <c r="E592" s="4">
        <v>42788</v>
      </c>
      <c r="F592" s="4"/>
      <c r="G592" s="3" t="s">
        <v>29</v>
      </c>
      <c r="H592" s="5">
        <v>41138</v>
      </c>
      <c r="I592" s="3" t="str">
        <f>VLOOKUP(Tabela1[[#This Row],[Advogado]],Tabela2[],2,FALSE)</f>
        <v>Renê Amaranto</v>
      </c>
      <c r="J592" s="17">
        <f>IF(Tabela1[[#This Row],[Data de conclusão]]="",NETWORKDAYS(Tabela1[[#This Row],[Data de entrada]],$J$2),NETWORKDAYS(Tabela1[[#This Row],[Data de entrada]],Tabela1[[#This Row],[Data de conclusão]]))</f>
        <v>320</v>
      </c>
      <c r="K592" s="1"/>
    </row>
    <row r="593" spans="2:11" x14ac:dyDescent="0.25">
      <c r="B593" s="3">
        <v>700</v>
      </c>
      <c r="C593" s="3" t="s">
        <v>8</v>
      </c>
      <c r="D593" s="3" t="s">
        <v>15</v>
      </c>
      <c r="E593" s="4">
        <v>42813</v>
      </c>
      <c r="F593" s="4"/>
      <c r="G593" s="3" t="s">
        <v>29</v>
      </c>
      <c r="H593" s="5">
        <v>50814</v>
      </c>
      <c r="I593" s="3" t="str">
        <f>VLOOKUP(Tabela1[[#This Row],[Advogado]],Tabela2[],2,FALSE)</f>
        <v>Renê Amaranto</v>
      </c>
      <c r="J593" s="17">
        <f>IF(Tabela1[[#This Row],[Data de conclusão]]="",NETWORKDAYS(Tabela1[[#This Row],[Data de entrada]],$J$2),NETWORKDAYS(Tabela1[[#This Row],[Data de entrada]],Tabela1[[#This Row],[Data de conclusão]]))</f>
        <v>302</v>
      </c>
      <c r="K593" s="1"/>
    </row>
    <row r="594" spans="2:11" x14ac:dyDescent="0.25">
      <c r="B594" s="3">
        <v>701</v>
      </c>
      <c r="C594" s="3" t="s">
        <v>9</v>
      </c>
      <c r="D594" s="3" t="s">
        <v>16</v>
      </c>
      <c r="E594" s="4">
        <v>43062</v>
      </c>
      <c r="F594" s="4"/>
      <c r="G594" s="3" t="s">
        <v>29</v>
      </c>
      <c r="H594" s="5">
        <v>17127</v>
      </c>
      <c r="I594" s="3" t="str">
        <f>VLOOKUP(Tabela1[[#This Row],[Advogado]],Tabela2[],2,FALSE)</f>
        <v>Renê Amaranto</v>
      </c>
      <c r="J594" s="17">
        <f>IF(Tabela1[[#This Row],[Data de conclusão]]="",NETWORKDAYS(Tabela1[[#This Row],[Data de entrada]],$J$2),NETWORKDAYS(Tabela1[[#This Row],[Data de entrada]],Tabela1[[#This Row],[Data de conclusão]]))</f>
        <v>124</v>
      </c>
      <c r="K594" s="1"/>
    </row>
    <row r="595" spans="2:11" x14ac:dyDescent="0.25">
      <c r="B595" s="3">
        <v>702</v>
      </c>
      <c r="C595" s="3" t="s">
        <v>7</v>
      </c>
      <c r="D595" s="3" t="s">
        <v>17</v>
      </c>
      <c r="E595" s="4">
        <v>42763</v>
      </c>
      <c r="F595" s="4"/>
      <c r="G595" s="3" t="s">
        <v>29</v>
      </c>
      <c r="H595" s="5">
        <v>44006</v>
      </c>
      <c r="I595" s="3" t="str">
        <f>VLOOKUP(Tabela1[[#This Row],[Advogado]],Tabela2[],2,FALSE)</f>
        <v>Renê Amaranto</v>
      </c>
      <c r="J595" s="17">
        <f>IF(Tabela1[[#This Row],[Data de conclusão]]="",NETWORKDAYS(Tabela1[[#This Row],[Data de entrada]],$J$2),NETWORKDAYS(Tabela1[[#This Row],[Data de entrada]],Tabela1[[#This Row],[Data de conclusão]]))</f>
        <v>337</v>
      </c>
      <c r="K595" s="1"/>
    </row>
    <row r="596" spans="2:11" x14ac:dyDescent="0.25">
      <c r="B596" s="3">
        <v>703</v>
      </c>
      <c r="C596" s="3" t="s">
        <v>8</v>
      </c>
      <c r="D596" s="3" t="s">
        <v>10</v>
      </c>
      <c r="E596" s="4">
        <v>42655</v>
      </c>
      <c r="F596" s="4"/>
      <c r="G596" s="3" t="s">
        <v>29</v>
      </c>
      <c r="H596" s="5">
        <v>54999</v>
      </c>
      <c r="I596" s="3" t="str">
        <f>VLOOKUP(Tabela1[[#This Row],[Advogado]],Tabela2[],2,FALSE)</f>
        <v>Caio Brito</v>
      </c>
      <c r="J596" s="17">
        <f>IF(Tabela1[[#This Row],[Data de conclusão]]="",NETWORKDAYS(Tabela1[[#This Row],[Data de entrada]],$J$2),NETWORKDAYS(Tabela1[[#This Row],[Data de entrada]],Tabela1[[#This Row],[Data de conclusão]]))</f>
        <v>415</v>
      </c>
      <c r="K596" s="1"/>
    </row>
    <row r="597" spans="2:11" x14ac:dyDescent="0.25">
      <c r="B597" s="3">
        <v>704</v>
      </c>
      <c r="C597" s="3" t="s">
        <v>9</v>
      </c>
      <c r="D597" s="3" t="s">
        <v>11</v>
      </c>
      <c r="E597" s="4">
        <v>42653</v>
      </c>
      <c r="F597" s="4"/>
      <c r="G597" s="3" t="s">
        <v>29</v>
      </c>
      <c r="H597" s="5">
        <v>15231</v>
      </c>
      <c r="I597" s="3" t="str">
        <f>VLOOKUP(Tabela1[[#This Row],[Advogado]],Tabela2[],2,FALSE)</f>
        <v>Caio Brito</v>
      </c>
      <c r="J597" s="17">
        <f>IF(Tabela1[[#This Row],[Data de conclusão]]="",NETWORKDAYS(Tabela1[[#This Row],[Data de entrada]],$J$2),NETWORKDAYS(Tabela1[[#This Row],[Data de entrada]],Tabela1[[#This Row],[Data de conclusão]]))</f>
        <v>417</v>
      </c>
      <c r="K597" s="1"/>
    </row>
    <row r="598" spans="2:11" x14ac:dyDescent="0.25">
      <c r="B598" s="3">
        <v>705</v>
      </c>
      <c r="C598" s="3" t="s">
        <v>7</v>
      </c>
      <c r="D598" s="3" t="s">
        <v>12</v>
      </c>
      <c r="E598" s="4">
        <v>42470</v>
      </c>
      <c r="F598" s="4"/>
      <c r="G598" s="3" t="s">
        <v>29</v>
      </c>
      <c r="H598" s="5">
        <v>49836</v>
      </c>
      <c r="I598" s="3" t="str">
        <f>VLOOKUP(Tabela1[[#This Row],[Advogado]],Tabela2[],2,FALSE)</f>
        <v>Caio Brito</v>
      </c>
      <c r="J598" s="17">
        <f>IF(Tabela1[[#This Row],[Data de conclusão]]="",NETWORKDAYS(Tabela1[[#This Row],[Data de entrada]],$J$2),NETWORKDAYS(Tabela1[[#This Row],[Data de entrada]],Tabela1[[#This Row],[Data de conclusão]]))</f>
        <v>547</v>
      </c>
      <c r="K598" s="1"/>
    </row>
    <row r="599" spans="2:11" x14ac:dyDescent="0.25">
      <c r="B599" s="3">
        <v>706</v>
      </c>
      <c r="C599" s="3" t="s">
        <v>8</v>
      </c>
      <c r="D599" s="3" t="s">
        <v>13</v>
      </c>
      <c r="E599" s="4">
        <v>42539</v>
      </c>
      <c r="F599" s="4"/>
      <c r="G599" s="3" t="s">
        <v>29</v>
      </c>
      <c r="H599" s="5">
        <v>14483</v>
      </c>
      <c r="I599" s="3" t="str">
        <f>VLOOKUP(Tabela1[[#This Row],[Advogado]],Tabela2[],2,FALSE)</f>
        <v>Caio Brito</v>
      </c>
      <c r="J599" s="17">
        <f>IF(Tabela1[[#This Row],[Data de conclusão]]="",NETWORKDAYS(Tabela1[[#This Row],[Data de entrada]],$J$2),NETWORKDAYS(Tabela1[[#This Row],[Data de entrada]],Tabela1[[#This Row],[Data de conclusão]]))</f>
        <v>497</v>
      </c>
      <c r="K599" s="1"/>
    </row>
    <row r="600" spans="2:11" x14ac:dyDescent="0.25">
      <c r="B600" s="3">
        <v>707</v>
      </c>
      <c r="C600" s="3" t="s">
        <v>9</v>
      </c>
      <c r="D600" s="3" t="s">
        <v>14</v>
      </c>
      <c r="E600" s="4">
        <v>42592</v>
      </c>
      <c r="F600" s="4">
        <v>42660</v>
      </c>
      <c r="G600" s="3" t="s">
        <v>28</v>
      </c>
      <c r="H600" s="5">
        <v>59474</v>
      </c>
      <c r="I600" s="3" t="str">
        <f>VLOOKUP(Tabela1[[#This Row],[Advogado]],Tabela2[],2,FALSE)</f>
        <v>Renê Amaranto</v>
      </c>
      <c r="J600" s="17">
        <f>IF(Tabela1[[#This Row],[Data de conclusão]]="",NETWORKDAYS(Tabela1[[#This Row],[Data de entrada]],$J$2),NETWORKDAYS(Tabela1[[#This Row],[Data de entrada]],Tabela1[[#This Row],[Data de conclusão]]))</f>
        <v>49</v>
      </c>
      <c r="K600" s="1"/>
    </row>
    <row r="601" spans="2:11" x14ac:dyDescent="0.25">
      <c r="B601" s="3">
        <v>708</v>
      </c>
      <c r="C601" s="3" t="s">
        <v>7</v>
      </c>
      <c r="D601" s="3" t="s">
        <v>15</v>
      </c>
      <c r="E601" s="4">
        <v>42763</v>
      </c>
      <c r="F601" s="4"/>
      <c r="G601" s="3" t="s">
        <v>27</v>
      </c>
      <c r="H601" s="5">
        <v>54372</v>
      </c>
      <c r="I601" s="3" t="str">
        <f>VLOOKUP(Tabela1[[#This Row],[Advogado]],Tabela2[],2,FALSE)</f>
        <v>Renê Amaranto</v>
      </c>
      <c r="J601" s="17">
        <f>IF(Tabela1[[#This Row],[Data de conclusão]]="",NETWORKDAYS(Tabela1[[#This Row],[Data de entrada]],$J$2),NETWORKDAYS(Tabela1[[#This Row],[Data de entrada]],Tabela1[[#This Row],[Data de conclusão]]))</f>
        <v>337</v>
      </c>
      <c r="K601" s="1"/>
    </row>
    <row r="602" spans="2:11" x14ac:dyDescent="0.25">
      <c r="B602" s="3">
        <v>709</v>
      </c>
      <c r="C602" s="3" t="s">
        <v>8</v>
      </c>
      <c r="D602" s="3" t="s">
        <v>16</v>
      </c>
      <c r="E602" s="4">
        <v>42384</v>
      </c>
      <c r="F602" s="4"/>
      <c r="G602" s="3" t="s">
        <v>29</v>
      </c>
      <c r="H602" s="5">
        <v>42223</v>
      </c>
      <c r="I602" s="3" t="str">
        <f>VLOOKUP(Tabela1[[#This Row],[Advogado]],Tabela2[],2,FALSE)</f>
        <v>Renê Amaranto</v>
      </c>
      <c r="J602" s="17">
        <f>IF(Tabela1[[#This Row],[Data de conclusão]]="",NETWORKDAYS(Tabela1[[#This Row],[Data de entrada]],$J$2),NETWORKDAYS(Tabela1[[#This Row],[Data de entrada]],Tabela1[[#This Row],[Data de conclusão]]))</f>
        <v>608</v>
      </c>
      <c r="K602" s="1"/>
    </row>
    <row r="603" spans="2:11" x14ac:dyDescent="0.25">
      <c r="B603" s="3">
        <v>710</v>
      </c>
      <c r="C603" s="3" t="s">
        <v>9</v>
      </c>
      <c r="D603" s="3" t="s">
        <v>17</v>
      </c>
      <c r="E603" s="4">
        <v>42833</v>
      </c>
      <c r="F603" s="4"/>
      <c r="G603" s="3" t="s">
        <v>29</v>
      </c>
      <c r="H603" s="5">
        <v>17553</v>
      </c>
      <c r="I603" s="3" t="str">
        <f>VLOOKUP(Tabela1[[#This Row],[Advogado]],Tabela2[],2,FALSE)</f>
        <v>Renê Amaranto</v>
      </c>
      <c r="J603" s="17">
        <f>IF(Tabela1[[#This Row],[Data de conclusão]]="",NETWORKDAYS(Tabela1[[#This Row],[Data de entrada]],$J$2),NETWORKDAYS(Tabela1[[#This Row],[Data de entrada]],Tabela1[[#This Row],[Data de conclusão]]))</f>
        <v>287</v>
      </c>
      <c r="K603" s="1"/>
    </row>
    <row r="604" spans="2:11" x14ac:dyDescent="0.25">
      <c r="B604" s="3">
        <v>711</v>
      </c>
      <c r="C604" s="3" t="s">
        <v>7</v>
      </c>
      <c r="D604" s="3" t="s">
        <v>10</v>
      </c>
      <c r="E604" s="4">
        <v>42578</v>
      </c>
      <c r="F604" s="4"/>
      <c r="G604" s="3" t="s">
        <v>29</v>
      </c>
      <c r="H604" s="5">
        <v>38598</v>
      </c>
      <c r="I604" s="3" t="str">
        <f>VLOOKUP(Tabela1[[#This Row],[Advogado]],Tabela2[],2,FALSE)</f>
        <v>Caio Brito</v>
      </c>
      <c r="J604" s="17">
        <f>IF(Tabela1[[#This Row],[Data de conclusão]]="",NETWORKDAYS(Tabela1[[#This Row],[Data de entrada]],$J$2),NETWORKDAYS(Tabela1[[#This Row],[Data de entrada]],Tabela1[[#This Row],[Data de conclusão]]))</f>
        <v>470</v>
      </c>
      <c r="K604" s="1"/>
    </row>
    <row r="605" spans="2:11" x14ac:dyDescent="0.25">
      <c r="B605" s="3">
        <v>712</v>
      </c>
      <c r="C605" s="3" t="s">
        <v>8</v>
      </c>
      <c r="D605" s="3" t="s">
        <v>11</v>
      </c>
      <c r="E605" s="4">
        <v>42953</v>
      </c>
      <c r="F605" s="4"/>
      <c r="G605" s="3" t="s">
        <v>29</v>
      </c>
      <c r="H605" s="5">
        <v>12431</v>
      </c>
      <c r="I605" s="3" t="str">
        <f>VLOOKUP(Tabela1[[#This Row],[Advogado]],Tabela2[],2,FALSE)</f>
        <v>Caio Brito</v>
      </c>
      <c r="J605" s="17">
        <f>IF(Tabela1[[#This Row],[Data de conclusão]]="",NETWORKDAYS(Tabela1[[#This Row],[Data de entrada]],$J$2),NETWORKDAYS(Tabela1[[#This Row],[Data de entrada]],Tabela1[[#This Row],[Data de conclusão]]))</f>
        <v>202</v>
      </c>
      <c r="K605" s="1"/>
    </row>
    <row r="606" spans="2:11" x14ac:dyDescent="0.25">
      <c r="B606" s="3">
        <v>713</v>
      </c>
      <c r="C606" s="3" t="s">
        <v>9</v>
      </c>
      <c r="D606" s="3" t="s">
        <v>12</v>
      </c>
      <c r="E606" s="4">
        <v>42717</v>
      </c>
      <c r="F606" s="4"/>
      <c r="G606" s="3" t="s">
        <v>29</v>
      </c>
      <c r="H606" s="5">
        <v>56028</v>
      </c>
      <c r="I606" s="3" t="str">
        <f>VLOOKUP(Tabela1[[#This Row],[Advogado]],Tabela2[],2,FALSE)</f>
        <v>Caio Brito</v>
      </c>
      <c r="J606" s="17">
        <f>IF(Tabela1[[#This Row],[Data de conclusão]]="",NETWORKDAYS(Tabela1[[#This Row],[Data de entrada]],$J$2),NETWORKDAYS(Tabela1[[#This Row],[Data de entrada]],Tabela1[[#This Row],[Data de conclusão]]))</f>
        <v>371</v>
      </c>
      <c r="K606" s="1"/>
    </row>
    <row r="607" spans="2:11" x14ac:dyDescent="0.25">
      <c r="B607" s="3">
        <v>714</v>
      </c>
      <c r="C607" s="3" t="s">
        <v>7</v>
      </c>
      <c r="D607" s="3" t="s">
        <v>13</v>
      </c>
      <c r="E607" s="4">
        <v>42900</v>
      </c>
      <c r="F607" s="4"/>
      <c r="G607" s="3" t="s">
        <v>29</v>
      </c>
      <c r="H607" s="5">
        <v>2482</v>
      </c>
      <c r="I607" s="3" t="str">
        <f>VLOOKUP(Tabela1[[#This Row],[Advogado]],Tabela2[],2,FALSE)</f>
        <v>Caio Brito</v>
      </c>
      <c r="J607" s="17">
        <f>IF(Tabela1[[#This Row],[Data de conclusão]]="",NETWORKDAYS(Tabela1[[#This Row],[Data de entrada]],$J$2),NETWORKDAYS(Tabela1[[#This Row],[Data de entrada]],Tabela1[[#This Row],[Data de conclusão]]))</f>
        <v>240</v>
      </c>
      <c r="K607" s="1"/>
    </row>
    <row r="608" spans="2:11" x14ac:dyDescent="0.25">
      <c r="B608" s="3">
        <v>715</v>
      </c>
      <c r="C608" s="3" t="s">
        <v>8</v>
      </c>
      <c r="D608" s="3" t="s">
        <v>14</v>
      </c>
      <c r="E608" s="4">
        <v>43085</v>
      </c>
      <c r="F608" s="4"/>
      <c r="G608" s="3" t="s">
        <v>29</v>
      </c>
      <c r="H608" s="5">
        <v>19786</v>
      </c>
      <c r="I608" s="3" t="str">
        <f>VLOOKUP(Tabela1[[#This Row],[Advogado]],Tabela2[],2,FALSE)</f>
        <v>Renê Amaranto</v>
      </c>
      <c r="J608" s="17">
        <f>IF(Tabela1[[#This Row],[Data de conclusão]]="",NETWORKDAYS(Tabela1[[#This Row],[Data de entrada]],$J$2),NETWORKDAYS(Tabela1[[#This Row],[Data de entrada]],Tabela1[[#This Row],[Data de conclusão]]))</f>
        <v>107</v>
      </c>
      <c r="K608" s="1"/>
    </row>
    <row r="609" spans="2:11" x14ac:dyDescent="0.25">
      <c r="B609" s="3">
        <v>716</v>
      </c>
      <c r="C609" s="3" t="s">
        <v>9</v>
      </c>
      <c r="D609" s="3" t="s">
        <v>15</v>
      </c>
      <c r="E609" s="4">
        <v>43089</v>
      </c>
      <c r="F609" s="4"/>
      <c r="G609" s="3" t="s">
        <v>29</v>
      </c>
      <c r="H609" s="5">
        <v>21035</v>
      </c>
      <c r="I609" s="3" t="str">
        <f>VLOOKUP(Tabela1[[#This Row],[Advogado]],Tabela2[],2,FALSE)</f>
        <v>Renê Amaranto</v>
      </c>
      <c r="J609" s="17">
        <f>IF(Tabela1[[#This Row],[Data de conclusão]]="",NETWORKDAYS(Tabela1[[#This Row],[Data de entrada]],$J$2),NETWORKDAYS(Tabela1[[#This Row],[Data de entrada]],Tabela1[[#This Row],[Data de conclusão]]))</f>
        <v>105</v>
      </c>
      <c r="K609" s="1"/>
    </row>
    <row r="610" spans="2:11" x14ac:dyDescent="0.25">
      <c r="B610" s="3">
        <v>717</v>
      </c>
      <c r="C610" s="3" t="s">
        <v>7</v>
      </c>
      <c r="D610" s="3" t="s">
        <v>16</v>
      </c>
      <c r="E610" s="4">
        <v>42869</v>
      </c>
      <c r="F610" s="4"/>
      <c r="G610" s="3" t="s">
        <v>29</v>
      </c>
      <c r="H610" s="5">
        <v>33555</v>
      </c>
      <c r="I610" s="3" t="str">
        <f>VLOOKUP(Tabela1[[#This Row],[Advogado]],Tabela2[],2,FALSE)</f>
        <v>Renê Amaranto</v>
      </c>
      <c r="J610" s="17">
        <f>IF(Tabela1[[#This Row],[Data de conclusão]]="",NETWORKDAYS(Tabela1[[#This Row],[Data de entrada]],$J$2),NETWORKDAYS(Tabela1[[#This Row],[Data de entrada]],Tabela1[[#This Row],[Data de conclusão]]))</f>
        <v>262</v>
      </c>
      <c r="K610" s="1"/>
    </row>
    <row r="611" spans="2:11" x14ac:dyDescent="0.25">
      <c r="B611" s="3">
        <v>718</v>
      </c>
      <c r="C611" s="3" t="s">
        <v>8</v>
      </c>
      <c r="D611" s="3" t="s">
        <v>17</v>
      </c>
      <c r="E611" s="4">
        <v>42918</v>
      </c>
      <c r="F611" s="4"/>
      <c r="G611" s="3" t="s">
        <v>29</v>
      </c>
      <c r="H611" s="5">
        <v>16804</v>
      </c>
      <c r="I611" s="3" t="str">
        <f>VLOOKUP(Tabela1[[#This Row],[Advogado]],Tabela2[],2,FALSE)</f>
        <v>Renê Amaranto</v>
      </c>
      <c r="J611" s="17">
        <f>IF(Tabela1[[#This Row],[Data de conclusão]]="",NETWORKDAYS(Tabela1[[#This Row],[Data de entrada]],$J$2),NETWORKDAYS(Tabela1[[#This Row],[Data de entrada]],Tabela1[[#This Row],[Data de conclusão]]))</f>
        <v>227</v>
      </c>
      <c r="K611" s="1"/>
    </row>
    <row r="612" spans="2:11" x14ac:dyDescent="0.25">
      <c r="B612" s="3">
        <v>719</v>
      </c>
      <c r="C612" s="3" t="s">
        <v>9</v>
      </c>
      <c r="D612" s="3" t="s">
        <v>10</v>
      </c>
      <c r="E612" s="4">
        <v>42801</v>
      </c>
      <c r="F612" s="4"/>
      <c r="G612" s="3" t="s">
        <v>29</v>
      </c>
      <c r="H612" s="5">
        <v>25954</v>
      </c>
      <c r="I612" s="3" t="str">
        <f>VLOOKUP(Tabela1[[#This Row],[Advogado]],Tabela2[],2,FALSE)</f>
        <v>Caio Brito</v>
      </c>
      <c r="J612" s="17">
        <f>IF(Tabela1[[#This Row],[Data de conclusão]]="",NETWORKDAYS(Tabela1[[#This Row],[Data de entrada]],$J$2),NETWORKDAYS(Tabela1[[#This Row],[Data de entrada]],Tabela1[[#This Row],[Data de conclusão]]))</f>
        <v>311</v>
      </c>
      <c r="K612" s="1"/>
    </row>
    <row r="613" spans="2:11" x14ac:dyDescent="0.25">
      <c r="B613" s="3">
        <v>720</v>
      </c>
      <c r="C613" s="3" t="s">
        <v>7</v>
      </c>
      <c r="D613" s="3" t="s">
        <v>11</v>
      </c>
      <c r="E613" s="4">
        <v>42525</v>
      </c>
      <c r="F613" s="4">
        <v>42581</v>
      </c>
      <c r="G613" s="3" t="s">
        <v>28</v>
      </c>
      <c r="H613" s="5">
        <v>52729</v>
      </c>
      <c r="I613" s="3" t="str">
        <f>VLOOKUP(Tabela1[[#This Row],[Advogado]],Tabela2[],2,FALSE)</f>
        <v>Caio Brito</v>
      </c>
      <c r="J613" s="17">
        <f>IF(Tabela1[[#This Row],[Data de conclusão]]="",NETWORKDAYS(Tabela1[[#This Row],[Data de entrada]],$J$2),NETWORKDAYS(Tabela1[[#This Row],[Data de entrada]],Tabela1[[#This Row],[Data de conclusão]]))</f>
        <v>40</v>
      </c>
      <c r="K613" s="1"/>
    </row>
    <row r="614" spans="2:11" x14ac:dyDescent="0.25">
      <c r="B614" s="3">
        <v>721</v>
      </c>
      <c r="C614" s="3" t="s">
        <v>8</v>
      </c>
      <c r="D614" s="3" t="s">
        <v>12</v>
      </c>
      <c r="E614" s="4">
        <v>42916</v>
      </c>
      <c r="F614" s="4"/>
      <c r="G614" s="3" t="s">
        <v>27</v>
      </c>
      <c r="H614" s="5">
        <v>53170</v>
      </c>
      <c r="I614" s="3" t="str">
        <f>VLOOKUP(Tabela1[[#This Row],[Advogado]],Tabela2[],2,FALSE)</f>
        <v>Caio Brito</v>
      </c>
      <c r="J614" s="17">
        <f>IF(Tabela1[[#This Row],[Data de conclusão]]="",NETWORKDAYS(Tabela1[[#This Row],[Data de entrada]],$J$2),NETWORKDAYS(Tabela1[[#This Row],[Data de entrada]],Tabela1[[#This Row],[Data de conclusão]]))</f>
        <v>228</v>
      </c>
      <c r="K614" s="1"/>
    </row>
    <row r="615" spans="2:11" x14ac:dyDescent="0.25">
      <c r="B615" s="3">
        <v>722</v>
      </c>
      <c r="C615" s="3" t="s">
        <v>9</v>
      </c>
      <c r="D615" s="3" t="s">
        <v>13</v>
      </c>
      <c r="E615" s="4">
        <v>42722</v>
      </c>
      <c r="F615" s="4"/>
      <c r="G615" s="3" t="s">
        <v>29</v>
      </c>
      <c r="H615" s="5">
        <v>18009</v>
      </c>
      <c r="I615" s="3" t="str">
        <f>VLOOKUP(Tabela1[[#This Row],[Advogado]],Tabela2[],2,FALSE)</f>
        <v>Caio Brito</v>
      </c>
      <c r="J615" s="17">
        <f>IF(Tabela1[[#This Row],[Data de conclusão]]="",NETWORKDAYS(Tabela1[[#This Row],[Data de entrada]],$J$2),NETWORKDAYS(Tabela1[[#This Row],[Data de entrada]],Tabela1[[#This Row],[Data de conclusão]]))</f>
        <v>367</v>
      </c>
      <c r="K615" s="1"/>
    </row>
    <row r="616" spans="2:11" x14ac:dyDescent="0.25">
      <c r="B616" s="3">
        <v>723</v>
      </c>
      <c r="C616" s="3" t="s">
        <v>7</v>
      </c>
      <c r="D616" s="3" t="s">
        <v>14</v>
      </c>
      <c r="E616" s="4">
        <v>42779</v>
      </c>
      <c r="F616" s="4"/>
      <c r="G616" s="3" t="s">
        <v>29</v>
      </c>
      <c r="H616" s="5">
        <v>3952</v>
      </c>
      <c r="I616" s="3" t="str">
        <f>VLOOKUP(Tabela1[[#This Row],[Advogado]],Tabela2[],2,FALSE)</f>
        <v>Renê Amaranto</v>
      </c>
      <c r="J616" s="17">
        <f>IF(Tabela1[[#This Row],[Data de conclusão]]="",NETWORKDAYS(Tabela1[[#This Row],[Data de entrada]],$J$2),NETWORKDAYS(Tabela1[[#This Row],[Data de entrada]],Tabela1[[#This Row],[Data de conclusão]]))</f>
        <v>327</v>
      </c>
      <c r="K616" s="1"/>
    </row>
    <row r="617" spans="2:11" x14ac:dyDescent="0.25">
      <c r="B617" s="3">
        <v>724</v>
      </c>
      <c r="C617" s="3" t="s">
        <v>8</v>
      </c>
      <c r="D617" s="3" t="s">
        <v>15</v>
      </c>
      <c r="E617" s="4">
        <v>43013</v>
      </c>
      <c r="F617" s="4"/>
      <c r="G617" s="3" t="s">
        <v>29</v>
      </c>
      <c r="H617" s="5">
        <v>49581</v>
      </c>
      <c r="I617" s="3" t="str">
        <f>VLOOKUP(Tabela1[[#This Row],[Advogado]],Tabela2[],2,FALSE)</f>
        <v>Renê Amaranto</v>
      </c>
      <c r="J617" s="17">
        <f>IF(Tabela1[[#This Row],[Data de conclusão]]="",NETWORKDAYS(Tabela1[[#This Row],[Data de entrada]],$J$2),NETWORKDAYS(Tabela1[[#This Row],[Data de entrada]],Tabela1[[#This Row],[Data de conclusão]]))</f>
        <v>159</v>
      </c>
      <c r="K617" s="1"/>
    </row>
    <row r="618" spans="2:11" x14ac:dyDescent="0.25">
      <c r="B618" s="3">
        <v>725</v>
      </c>
      <c r="C618" s="3" t="s">
        <v>9</v>
      </c>
      <c r="D618" s="3" t="s">
        <v>16</v>
      </c>
      <c r="E618" s="4">
        <v>42928</v>
      </c>
      <c r="F618" s="4"/>
      <c r="G618" s="3" t="s">
        <v>29</v>
      </c>
      <c r="H618" s="5">
        <v>32964</v>
      </c>
      <c r="I618" s="3" t="str">
        <f>VLOOKUP(Tabela1[[#This Row],[Advogado]],Tabela2[],2,FALSE)</f>
        <v>Renê Amaranto</v>
      </c>
      <c r="J618" s="17">
        <f>IF(Tabela1[[#This Row],[Data de conclusão]]="",NETWORKDAYS(Tabela1[[#This Row],[Data de entrada]],$J$2),NETWORKDAYS(Tabela1[[#This Row],[Data de entrada]],Tabela1[[#This Row],[Data de conclusão]]))</f>
        <v>220</v>
      </c>
      <c r="K618" s="1"/>
    </row>
    <row r="619" spans="2:11" x14ac:dyDescent="0.25">
      <c r="B619" s="3">
        <v>726</v>
      </c>
      <c r="C619" s="3" t="s">
        <v>7</v>
      </c>
      <c r="D619" s="3" t="s">
        <v>17</v>
      </c>
      <c r="E619" s="4">
        <v>43025</v>
      </c>
      <c r="F619" s="4"/>
      <c r="G619" s="3" t="s">
        <v>29</v>
      </c>
      <c r="H619" s="5">
        <v>4278</v>
      </c>
      <c r="I619" s="3" t="str">
        <f>VLOOKUP(Tabela1[[#This Row],[Advogado]],Tabela2[],2,FALSE)</f>
        <v>Renê Amaranto</v>
      </c>
      <c r="J619" s="17">
        <f>IF(Tabela1[[#This Row],[Data de conclusão]]="",NETWORKDAYS(Tabela1[[#This Row],[Data de entrada]],$J$2),NETWORKDAYS(Tabela1[[#This Row],[Data de entrada]],Tabela1[[#This Row],[Data de conclusão]]))</f>
        <v>151</v>
      </c>
      <c r="K619" s="1"/>
    </row>
    <row r="620" spans="2:11" x14ac:dyDescent="0.25">
      <c r="B620" s="3">
        <v>727</v>
      </c>
      <c r="C620" s="3" t="s">
        <v>8</v>
      </c>
      <c r="D620" s="3" t="s">
        <v>10</v>
      </c>
      <c r="E620" s="4">
        <v>42553</v>
      </c>
      <c r="F620" s="4"/>
      <c r="G620" s="3" t="s">
        <v>29</v>
      </c>
      <c r="H620" s="5">
        <v>42454</v>
      </c>
      <c r="I620" s="3" t="str">
        <f>VLOOKUP(Tabela1[[#This Row],[Advogado]],Tabela2[],2,FALSE)</f>
        <v>Caio Brito</v>
      </c>
      <c r="J620" s="17">
        <f>IF(Tabela1[[#This Row],[Data de conclusão]]="",NETWORKDAYS(Tabela1[[#This Row],[Data de entrada]],$J$2),NETWORKDAYS(Tabela1[[#This Row],[Data de entrada]],Tabela1[[#This Row],[Data de conclusão]]))</f>
        <v>487</v>
      </c>
      <c r="K620" s="1"/>
    </row>
    <row r="621" spans="2:11" x14ac:dyDescent="0.25">
      <c r="B621" s="3">
        <v>728</v>
      </c>
      <c r="C621" s="3" t="s">
        <v>9</v>
      </c>
      <c r="D621" s="3" t="s">
        <v>11</v>
      </c>
      <c r="E621" s="4">
        <v>42836</v>
      </c>
      <c r="F621" s="4"/>
      <c r="G621" s="3" t="s">
        <v>29</v>
      </c>
      <c r="H621" s="5">
        <v>14838</v>
      </c>
      <c r="I621" s="3" t="str">
        <f>VLOOKUP(Tabela1[[#This Row],[Advogado]],Tabela2[],2,FALSE)</f>
        <v>Caio Brito</v>
      </c>
      <c r="J621" s="17">
        <f>IF(Tabela1[[#This Row],[Data de conclusão]]="",NETWORKDAYS(Tabela1[[#This Row],[Data de entrada]],$J$2),NETWORKDAYS(Tabela1[[#This Row],[Data de entrada]],Tabela1[[#This Row],[Data de conclusão]]))</f>
        <v>286</v>
      </c>
      <c r="K621" s="1"/>
    </row>
    <row r="622" spans="2:11" x14ac:dyDescent="0.25">
      <c r="B622" s="3">
        <v>729</v>
      </c>
      <c r="C622" s="3" t="s">
        <v>7</v>
      </c>
      <c r="D622" s="3" t="s">
        <v>12</v>
      </c>
      <c r="E622" s="4">
        <v>42788</v>
      </c>
      <c r="F622" s="4"/>
      <c r="G622" s="3" t="s">
        <v>29</v>
      </c>
      <c r="H622" s="5">
        <v>56936</v>
      </c>
      <c r="I622" s="3" t="str">
        <f>VLOOKUP(Tabela1[[#This Row],[Advogado]],Tabela2[],2,FALSE)</f>
        <v>Caio Brito</v>
      </c>
      <c r="J622" s="17">
        <f>IF(Tabela1[[#This Row],[Data de conclusão]]="",NETWORKDAYS(Tabela1[[#This Row],[Data de entrada]],$J$2),NETWORKDAYS(Tabela1[[#This Row],[Data de entrada]],Tabela1[[#This Row],[Data de conclusão]]))</f>
        <v>320</v>
      </c>
      <c r="K622" s="1"/>
    </row>
    <row r="623" spans="2:11" x14ac:dyDescent="0.25">
      <c r="B623" s="3">
        <v>730</v>
      </c>
      <c r="C623" s="3" t="s">
        <v>8</v>
      </c>
      <c r="D623" s="3" t="s">
        <v>13</v>
      </c>
      <c r="E623" s="4">
        <v>42991</v>
      </c>
      <c r="F623" s="4"/>
      <c r="G623" s="3" t="s">
        <v>29</v>
      </c>
      <c r="H623" s="5">
        <v>7909</v>
      </c>
      <c r="I623" s="3" t="str">
        <f>VLOOKUP(Tabela1[[#This Row],[Advogado]],Tabela2[],2,FALSE)</f>
        <v>Caio Brito</v>
      </c>
      <c r="J623" s="17">
        <f>IF(Tabela1[[#This Row],[Data de conclusão]]="",NETWORKDAYS(Tabela1[[#This Row],[Data de entrada]],$J$2),NETWORKDAYS(Tabela1[[#This Row],[Data de entrada]],Tabela1[[#This Row],[Data de conclusão]]))</f>
        <v>175</v>
      </c>
      <c r="K623" s="1"/>
    </row>
    <row r="624" spans="2:11" x14ac:dyDescent="0.25">
      <c r="B624" s="3">
        <v>731</v>
      </c>
      <c r="C624" s="3" t="s">
        <v>9</v>
      </c>
      <c r="D624" s="3" t="s">
        <v>14</v>
      </c>
      <c r="E624" s="4">
        <v>42377</v>
      </c>
      <c r="F624" s="4"/>
      <c r="G624" s="3" t="s">
        <v>29</v>
      </c>
      <c r="H624" s="5">
        <v>58114</v>
      </c>
      <c r="I624" s="3" t="str">
        <f>VLOOKUP(Tabela1[[#This Row],[Advogado]],Tabela2[],2,FALSE)</f>
        <v>Renê Amaranto</v>
      </c>
      <c r="J624" s="17">
        <f>IF(Tabela1[[#This Row],[Data de conclusão]]="",NETWORKDAYS(Tabela1[[#This Row],[Data de entrada]],$J$2),NETWORKDAYS(Tabela1[[#This Row],[Data de entrada]],Tabela1[[#This Row],[Data de conclusão]]))</f>
        <v>613</v>
      </c>
      <c r="K624" s="1"/>
    </row>
    <row r="625" spans="2:11" x14ac:dyDescent="0.25">
      <c r="B625" s="3">
        <v>732</v>
      </c>
      <c r="C625" s="3" t="s">
        <v>7</v>
      </c>
      <c r="D625" s="3" t="s">
        <v>15</v>
      </c>
      <c r="E625" s="4">
        <v>42389</v>
      </c>
      <c r="F625" s="4"/>
      <c r="G625" s="3" t="s">
        <v>29</v>
      </c>
      <c r="H625" s="5">
        <v>5302</v>
      </c>
      <c r="I625" s="3" t="str">
        <f>VLOOKUP(Tabela1[[#This Row],[Advogado]],Tabela2[],2,FALSE)</f>
        <v>Renê Amaranto</v>
      </c>
      <c r="J625" s="17">
        <f>IF(Tabela1[[#This Row],[Data de conclusão]]="",NETWORKDAYS(Tabela1[[#This Row],[Data de entrada]],$J$2),NETWORKDAYS(Tabela1[[#This Row],[Data de entrada]],Tabela1[[#This Row],[Data de conclusão]]))</f>
        <v>605</v>
      </c>
      <c r="K625" s="1"/>
    </row>
    <row r="626" spans="2:11" x14ac:dyDescent="0.25">
      <c r="B626" s="3">
        <v>733</v>
      </c>
      <c r="C626" s="3" t="s">
        <v>8</v>
      </c>
      <c r="D626" s="3" t="s">
        <v>16</v>
      </c>
      <c r="E626" s="4">
        <v>42600</v>
      </c>
      <c r="F626" s="4">
        <v>42693</v>
      </c>
      <c r="G626" s="3" t="s">
        <v>28</v>
      </c>
      <c r="H626" s="5">
        <v>4609</v>
      </c>
      <c r="I626" s="3" t="str">
        <f>VLOOKUP(Tabela1[[#This Row],[Advogado]],Tabela2[],2,FALSE)</f>
        <v>Renê Amaranto</v>
      </c>
      <c r="J626" s="17">
        <f>IF(Tabela1[[#This Row],[Data de conclusão]]="",NETWORKDAYS(Tabela1[[#This Row],[Data de entrada]],$J$2),NETWORKDAYS(Tabela1[[#This Row],[Data de entrada]],Tabela1[[#This Row],[Data de conclusão]]))</f>
        <v>67</v>
      </c>
      <c r="K626" s="1"/>
    </row>
    <row r="627" spans="2:11" x14ac:dyDescent="0.25">
      <c r="B627" s="3">
        <v>734</v>
      </c>
      <c r="C627" s="3" t="s">
        <v>9</v>
      </c>
      <c r="D627" s="3" t="s">
        <v>17</v>
      </c>
      <c r="E627" s="4">
        <v>42464</v>
      </c>
      <c r="F627" s="4"/>
      <c r="G627" s="3" t="s">
        <v>27</v>
      </c>
      <c r="H627" s="5">
        <v>37435</v>
      </c>
      <c r="I627" s="3" t="str">
        <f>VLOOKUP(Tabela1[[#This Row],[Advogado]],Tabela2[],2,FALSE)</f>
        <v>Renê Amaranto</v>
      </c>
      <c r="J627" s="17">
        <f>IF(Tabela1[[#This Row],[Data de conclusão]]="",NETWORKDAYS(Tabela1[[#This Row],[Data de entrada]],$J$2),NETWORKDAYS(Tabela1[[#This Row],[Data de entrada]],Tabela1[[#This Row],[Data de conclusão]]))</f>
        <v>552</v>
      </c>
      <c r="K627" s="1"/>
    </row>
    <row r="628" spans="2:11" x14ac:dyDescent="0.25">
      <c r="B628" s="3">
        <v>735</v>
      </c>
      <c r="C628" s="3" t="s">
        <v>7</v>
      </c>
      <c r="D628" s="3" t="s">
        <v>10</v>
      </c>
      <c r="E628" s="4">
        <v>43075</v>
      </c>
      <c r="F628" s="4"/>
      <c r="G628" s="3" t="s">
        <v>29</v>
      </c>
      <c r="H628" s="5">
        <v>15331</v>
      </c>
      <c r="I628" s="3" t="str">
        <f>VLOOKUP(Tabela1[[#This Row],[Advogado]],Tabela2[],2,FALSE)</f>
        <v>Caio Brito</v>
      </c>
      <c r="J628" s="17">
        <f>IF(Tabela1[[#This Row],[Data de conclusão]]="",NETWORKDAYS(Tabela1[[#This Row],[Data de entrada]],$J$2),NETWORKDAYS(Tabela1[[#This Row],[Data de entrada]],Tabela1[[#This Row],[Data de conclusão]]))</f>
        <v>115</v>
      </c>
      <c r="K628" s="1"/>
    </row>
    <row r="629" spans="2:11" x14ac:dyDescent="0.25">
      <c r="B629" s="3">
        <v>736</v>
      </c>
      <c r="C629" s="3" t="s">
        <v>8</v>
      </c>
      <c r="D629" s="3" t="s">
        <v>11</v>
      </c>
      <c r="E629" s="4">
        <v>42395</v>
      </c>
      <c r="F629" s="4"/>
      <c r="G629" s="3" t="s">
        <v>29</v>
      </c>
      <c r="H629" s="5">
        <v>38427</v>
      </c>
      <c r="I629" s="3" t="str">
        <f>VLOOKUP(Tabela1[[#This Row],[Advogado]],Tabela2[],2,FALSE)</f>
        <v>Caio Brito</v>
      </c>
      <c r="J629" s="17">
        <f>IF(Tabela1[[#This Row],[Data de conclusão]]="",NETWORKDAYS(Tabela1[[#This Row],[Data de entrada]],$J$2),NETWORKDAYS(Tabela1[[#This Row],[Data de entrada]],Tabela1[[#This Row],[Data de conclusão]]))</f>
        <v>601</v>
      </c>
      <c r="K629" s="1"/>
    </row>
    <row r="630" spans="2:11" x14ac:dyDescent="0.25">
      <c r="B630" s="3">
        <v>737</v>
      </c>
      <c r="C630" s="3" t="s">
        <v>9</v>
      </c>
      <c r="D630" s="3" t="s">
        <v>12</v>
      </c>
      <c r="E630" s="4">
        <v>42551</v>
      </c>
      <c r="F630" s="4"/>
      <c r="G630" s="3" t="s">
        <v>29</v>
      </c>
      <c r="H630" s="5">
        <v>22256</v>
      </c>
      <c r="I630" s="3" t="str">
        <f>VLOOKUP(Tabela1[[#This Row],[Advogado]],Tabela2[],2,FALSE)</f>
        <v>Caio Brito</v>
      </c>
      <c r="J630" s="17">
        <f>IF(Tabela1[[#This Row],[Data de conclusão]]="",NETWORKDAYS(Tabela1[[#This Row],[Data de entrada]],$J$2),NETWORKDAYS(Tabela1[[#This Row],[Data de entrada]],Tabela1[[#This Row],[Data de conclusão]]))</f>
        <v>489</v>
      </c>
      <c r="K630" s="1"/>
    </row>
    <row r="631" spans="2:11" x14ac:dyDescent="0.25">
      <c r="B631" s="3">
        <v>738</v>
      </c>
      <c r="C631" s="3" t="s">
        <v>7</v>
      </c>
      <c r="D631" s="3" t="s">
        <v>13</v>
      </c>
      <c r="E631" s="4">
        <v>42938</v>
      </c>
      <c r="F631" s="4"/>
      <c r="G631" s="3" t="s">
        <v>29</v>
      </c>
      <c r="H631" s="5">
        <v>7179</v>
      </c>
      <c r="I631" s="3" t="str">
        <f>VLOOKUP(Tabela1[[#This Row],[Advogado]],Tabela2[],2,FALSE)</f>
        <v>Caio Brito</v>
      </c>
      <c r="J631" s="17">
        <f>IF(Tabela1[[#This Row],[Data de conclusão]]="",NETWORKDAYS(Tabela1[[#This Row],[Data de entrada]],$J$2),NETWORKDAYS(Tabela1[[#This Row],[Data de entrada]],Tabela1[[#This Row],[Data de conclusão]]))</f>
        <v>212</v>
      </c>
      <c r="K631" s="1"/>
    </row>
    <row r="632" spans="2:11" x14ac:dyDescent="0.25">
      <c r="B632" s="3">
        <v>739</v>
      </c>
      <c r="C632" s="3" t="s">
        <v>8</v>
      </c>
      <c r="D632" s="3" t="s">
        <v>14</v>
      </c>
      <c r="E632" s="4">
        <v>42397</v>
      </c>
      <c r="F632" s="4"/>
      <c r="G632" s="3" t="s">
        <v>29</v>
      </c>
      <c r="H632" s="5">
        <v>28104</v>
      </c>
      <c r="I632" s="3" t="str">
        <f>VLOOKUP(Tabela1[[#This Row],[Advogado]],Tabela2[],2,FALSE)</f>
        <v>Renê Amaranto</v>
      </c>
      <c r="J632" s="17">
        <f>IF(Tabela1[[#This Row],[Data de conclusão]]="",NETWORKDAYS(Tabela1[[#This Row],[Data de entrada]],$J$2),NETWORKDAYS(Tabela1[[#This Row],[Data de entrada]],Tabela1[[#This Row],[Data de conclusão]]))</f>
        <v>599</v>
      </c>
      <c r="K632" s="1"/>
    </row>
    <row r="633" spans="2:11" x14ac:dyDescent="0.25">
      <c r="B633" s="3">
        <v>740</v>
      </c>
      <c r="C633" s="3" t="s">
        <v>9</v>
      </c>
      <c r="D633" s="3" t="s">
        <v>15</v>
      </c>
      <c r="E633" s="4">
        <v>42987</v>
      </c>
      <c r="F633" s="4"/>
      <c r="G633" s="3" t="s">
        <v>29</v>
      </c>
      <c r="H633" s="5">
        <v>30918</v>
      </c>
      <c r="I633" s="3" t="str">
        <f>VLOOKUP(Tabela1[[#This Row],[Advogado]],Tabela2[],2,FALSE)</f>
        <v>Renê Amaranto</v>
      </c>
      <c r="J633" s="17">
        <f>IF(Tabela1[[#This Row],[Data de conclusão]]="",NETWORKDAYS(Tabela1[[#This Row],[Data de entrada]],$J$2),NETWORKDAYS(Tabela1[[#This Row],[Data de entrada]],Tabela1[[#This Row],[Data de conclusão]]))</f>
        <v>177</v>
      </c>
      <c r="K633" s="1"/>
    </row>
    <row r="634" spans="2:11" x14ac:dyDescent="0.25">
      <c r="B634" s="3">
        <v>741</v>
      </c>
      <c r="C634" s="3" t="s">
        <v>7</v>
      </c>
      <c r="D634" s="3" t="s">
        <v>16</v>
      </c>
      <c r="E634" s="4">
        <v>42990</v>
      </c>
      <c r="F634" s="4"/>
      <c r="G634" s="3" t="s">
        <v>29</v>
      </c>
      <c r="H634" s="5">
        <v>27768</v>
      </c>
      <c r="I634" s="3" t="str">
        <f>VLOOKUP(Tabela1[[#This Row],[Advogado]],Tabela2[],2,FALSE)</f>
        <v>Renê Amaranto</v>
      </c>
      <c r="J634" s="17">
        <f>IF(Tabela1[[#This Row],[Data de conclusão]]="",NETWORKDAYS(Tabela1[[#This Row],[Data de entrada]],$J$2),NETWORKDAYS(Tabela1[[#This Row],[Data de entrada]],Tabela1[[#This Row],[Data de conclusão]]))</f>
        <v>176</v>
      </c>
      <c r="K634" s="1"/>
    </row>
    <row r="635" spans="2:11" x14ac:dyDescent="0.25">
      <c r="B635" s="3">
        <v>742</v>
      </c>
      <c r="C635" s="3" t="s">
        <v>8</v>
      </c>
      <c r="D635" s="3" t="s">
        <v>17</v>
      </c>
      <c r="E635" s="4">
        <v>42654</v>
      </c>
      <c r="F635" s="4"/>
      <c r="G635" s="3" t="s">
        <v>29</v>
      </c>
      <c r="H635" s="5">
        <v>8255</v>
      </c>
      <c r="I635" s="3" t="str">
        <f>VLOOKUP(Tabela1[[#This Row],[Advogado]],Tabela2[],2,FALSE)</f>
        <v>Renê Amaranto</v>
      </c>
      <c r="J635" s="17">
        <f>IF(Tabela1[[#This Row],[Data de conclusão]]="",NETWORKDAYS(Tabela1[[#This Row],[Data de entrada]],$J$2),NETWORKDAYS(Tabela1[[#This Row],[Data de entrada]],Tabela1[[#This Row],[Data de conclusão]]))</f>
        <v>416</v>
      </c>
      <c r="K635" s="1"/>
    </row>
    <row r="636" spans="2:11" x14ac:dyDescent="0.25">
      <c r="B636" s="3">
        <v>743</v>
      </c>
      <c r="C636" s="3" t="s">
        <v>9</v>
      </c>
      <c r="D636" s="3" t="s">
        <v>10</v>
      </c>
      <c r="E636" s="4">
        <v>42734</v>
      </c>
      <c r="F636" s="4"/>
      <c r="G636" s="3" t="s">
        <v>29</v>
      </c>
      <c r="H636" s="5">
        <v>34973</v>
      </c>
      <c r="I636" s="3" t="str">
        <f>VLOOKUP(Tabela1[[#This Row],[Advogado]],Tabela2[],2,FALSE)</f>
        <v>Caio Brito</v>
      </c>
      <c r="J636" s="17">
        <f>IF(Tabela1[[#This Row],[Data de conclusão]]="",NETWORKDAYS(Tabela1[[#This Row],[Data de entrada]],$J$2),NETWORKDAYS(Tabela1[[#This Row],[Data de entrada]],Tabela1[[#This Row],[Data de conclusão]]))</f>
        <v>358</v>
      </c>
      <c r="K636" s="1"/>
    </row>
    <row r="637" spans="2:11" x14ac:dyDescent="0.25">
      <c r="B637" s="3">
        <v>744</v>
      </c>
      <c r="C637" s="3" t="s">
        <v>7</v>
      </c>
      <c r="D637" s="3" t="s">
        <v>11</v>
      </c>
      <c r="E637" s="4">
        <v>42531</v>
      </c>
      <c r="F637" s="4"/>
      <c r="G637" s="3" t="s">
        <v>29</v>
      </c>
      <c r="H637" s="5">
        <v>13799</v>
      </c>
      <c r="I637" s="3" t="str">
        <f>VLOOKUP(Tabela1[[#This Row],[Advogado]],Tabela2[],2,FALSE)</f>
        <v>Caio Brito</v>
      </c>
      <c r="J637" s="17">
        <f>IF(Tabela1[[#This Row],[Data de conclusão]]="",NETWORKDAYS(Tabela1[[#This Row],[Data de entrada]],$J$2),NETWORKDAYS(Tabela1[[#This Row],[Data de entrada]],Tabela1[[#This Row],[Data de conclusão]]))</f>
        <v>503</v>
      </c>
      <c r="K637" s="1"/>
    </row>
    <row r="638" spans="2:11" x14ac:dyDescent="0.25">
      <c r="B638" s="3">
        <v>745</v>
      </c>
      <c r="C638" s="3" t="s">
        <v>8</v>
      </c>
      <c r="D638" s="3" t="s">
        <v>12</v>
      </c>
      <c r="E638" s="4">
        <v>42937</v>
      </c>
      <c r="F638" s="4"/>
      <c r="G638" s="3" t="s">
        <v>29</v>
      </c>
      <c r="H638" s="5">
        <v>17744</v>
      </c>
      <c r="I638" s="3" t="str">
        <f>VLOOKUP(Tabela1[[#This Row],[Advogado]],Tabela2[],2,FALSE)</f>
        <v>Caio Brito</v>
      </c>
      <c r="J638" s="17">
        <f>IF(Tabela1[[#This Row],[Data de conclusão]]="",NETWORKDAYS(Tabela1[[#This Row],[Data de entrada]],$J$2),NETWORKDAYS(Tabela1[[#This Row],[Data de entrada]],Tabela1[[#This Row],[Data de conclusão]]))</f>
        <v>213</v>
      </c>
      <c r="K638" s="1"/>
    </row>
    <row r="639" spans="2:11" x14ac:dyDescent="0.25">
      <c r="B639" s="3">
        <v>746</v>
      </c>
      <c r="C639" s="3" t="s">
        <v>9</v>
      </c>
      <c r="D639" s="3" t="s">
        <v>13</v>
      </c>
      <c r="E639" s="4">
        <v>42403</v>
      </c>
      <c r="F639" s="4">
        <v>42448</v>
      </c>
      <c r="G639" s="3" t="s">
        <v>28</v>
      </c>
      <c r="H639" s="5">
        <v>33182</v>
      </c>
      <c r="I639" s="3" t="str">
        <f>VLOOKUP(Tabela1[[#This Row],[Advogado]],Tabela2[],2,FALSE)</f>
        <v>Caio Brito</v>
      </c>
      <c r="J639" s="17">
        <f>IF(Tabela1[[#This Row],[Data de conclusão]]="",NETWORKDAYS(Tabela1[[#This Row],[Data de entrada]],$J$2),NETWORKDAYS(Tabela1[[#This Row],[Data de entrada]],Tabela1[[#This Row],[Data de conclusão]]))</f>
        <v>33</v>
      </c>
      <c r="K639" s="1"/>
    </row>
    <row r="640" spans="2:11" x14ac:dyDescent="0.25">
      <c r="B640" s="3">
        <v>747</v>
      </c>
      <c r="C640" s="3" t="s">
        <v>7</v>
      </c>
      <c r="D640" s="3" t="s">
        <v>14</v>
      </c>
      <c r="E640" s="4">
        <v>43053</v>
      </c>
      <c r="F640" s="4"/>
      <c r="G640" s="3" t="s">
        <v>27</v>
      </c>
      <c r="H640" s="5">
        <v>23666</v>
      </c>
      <c r="I640" s="3" t="str">
        <f>VLOOKUP(Tabela1[[#This Row],[Advogado]],Tabela2[],2,FALSE)</f>
        <v>Renê Amaranto</v>
      </c>
      <c r="J640" s="17">
        <f>IF(Tabela1[[#This Row],[Data de conclusão]]="",NETWORKDAYS(Tabela1[[#This Row],[Data de entrada]],$J$2),NETWORKDAYS(Tabela1[[#This Row],[Data de entrada]],Tabela1[[#This Row],[Data de conclusão]]))</f>
        <v>131</v>
      </c>
      <c r="K640" s="1"/>
    </row>
    <row r="641" spans="2:11" x14ac:dyDescent="0.25">
      <c r="B641" s="3">
        <v>748</v>
      </c>
      <c r="C641" s="3" t="s">
        <v>8</v>
      </c>
      <c r="D641" s="3" t="s">
        <v>15</v>
      </c>
      <c r="E641" s="4">
        <v>43026</v>
      </c>
      <c r="F641" s="4"/>
      <c r="G641" s="3" t="s">
        <v>29</v>
      </c>
      <c r="H641" s="5">
        <v>43421</v>
      </c>
      <c r="I641" s="3" t="str">
        <f>VLOOKUP(Tabela1[[#This Row],[Advogado]],Tabela2[],2,FALSE)</f>
        <v>Renê Amaranto</v>
      </c>
      <c r="J641" s="17">
        <f>IF(Tabela1[[#This Row],[Data de conclusão]]="",NETWORKDAYS(Tabela1[[#This Row],[Data de entrada]],$J$2),NETWORKDAYS(Tabela1[[#This Row],[Data de entrada]],Tabela1[[#This Row],[Data de conclusão]]))</f>
        <v>150</v>
      </c>
      <c r="K641" s="1"/>
    </row>
    <row r="642" spans="2:11" x14ac:dyDescent="0.25">
      <c r="B642" s="3">
        <v>749</v>
      </c>
      <c r="C642" s="3" t="s">
        <v>9</v>
      </c>
      <c r="D642" s="3" t="s">
        <v>16</v>
      </c>
      <c r="E642" s="4">
        <v>42409</v>
      </c>
      <c r="F642" s="4"/>
      <c r="G642" s="3" t="s">
        <v>29</v>
      </c>
      <c r="H642" s="5">
        <v>9339</v>
      </c>
      <c r="I642" s="3" t="str">
        <f>VLOOKUP(Tabela1[[#This Row],[Advogado]],Tabela2[],2,FALSE)</f>
        <v>Renê Amaranto</v>
      </c>
      <c r="J642" s="17">
        <f>IF(Tabela1[[#This Row],[Data de conclusão]]="",NETWORKDAYS(Tabela1[[#This Row],[Data de entrada]],$J$2),NETWORKDAYS(Tabela1[[#This Row],[Data de entrada]],Tabela1[[#This Row],[Data de conclusão]]))</f>
        <v>591</v>
      </c>
      <c r="K642" s="1"/>
    </row>
    <row r="643" spans="2:11" x14ac:dyDescent="0.25">
      <c r="B643" s="3">
        <v>750</v>
      </c>
      <c r="C643" s="3" t="s">
        <v>7</v>
      </c>
      <c r="D643" s="3" t="s">
        <v>17</v>
      </c>
      <c r="E643" s="4">
        <v>42448</v>
      </c>
      <c r="F643" s="4"/>
      <c r="G643" s="3" t="s">
        <v>29</v>
      </c>
      <c r="H643" s="5">
        <v>32963</v>
      </c>
      <c r="I643" s="3" t="str">
        <f>VLOOKUP(Tabela1[[#This Row],[Advogado]],Tabela2[],2,FALSE)</f>
        <v>Renê Amaranto</v>
      </c>
      <c r="J643" s="17">
        <f>IF(Tabela1[[#This Row],[Data de conclusão]]="",NETWORKDAYS(Tabela1[[#This Row],[Data de entrada]],$J$2),NETWORKDAYS(Tabela1[[#This Row],[Data de entrada]],Tabela1[[#This Row],[Data de conclusão]]))</f>
        <v>562</v>
      </c>
      <c r="K643" s="1"/>
    </row>
    <row r="644" spans="2:11" x14ac:dyDescent="0.25">
      <c r="B644" s="3">
        <v>751</v>
      </c>
      <c r="C644" s="3" t="s">
        <v>8</v>
      </c>
      <c r="D644" s="3" t="s">
        <v>10</v>
      </c>
      <c r="E644" s="4">
        <v>42598</v>
      </c>
      <c r="F644" s="4"/>
      <c r="G644" s="3" t="s">
        <v>29</v>
      </c>
      <c r="H644" s="5">
        <v>19513</v>
      </c>
      <c r="I644" s="3" t="str">
        <f>VLOOKUP(Tabela1[[#This Row],[Advogado]],Tabela2[],2,FALSE)</f>
        <v>Caio Brito</v>
      </c>
      <c r="J644" s="17">
        <f>IF(Tabela1[[#This Row],[Data de conclusão]]="",NETWORKDAYS(Tabela1[[#This Row],[Data de entrada]],$J$2),NETWORKDAYS(Tabela1[[#This Row],[Data de entrada]],Tabela1[[#This Row],[Data de conclusão]]))</f>
        <v>456</v>
      </c>
      <c r="K644" s="1"/>
    </row>
    <row r="645" spans="2:11" x14ac:dyDescent="0.25">
      <c r="B645" s="3">
        <v>752</v>
      </c>
      <c r="C645" s="3" t="s">
        <v>9</v>
      </c>
      <c r="D645" s="3" t="s">
        <v>11</v>
      </c>
      <c r="E645" s="4">
        <v>42956</v>
      </c>
      <c r="F645" s="4"/>
      <c r="G645" s="3" t="s">
        <v>29</v>
      </c>
      <c r="H645" s="5">
        <v>30100</v>
      </c>
      <c r="I645" s="3" t="str">
        <f>VLOOKUP(Tabela1[[#This Row],[Advogado]],Tabela2[],2,FALSE)</f>
        <v>Caio Brito</v>
      </c>
      <c r="J645" s="17">
        <f>IF(Tabela1[[#This Row],[Data de conclusão]]="",NETWORKDAYS(Tabela1[[#This Row],[Data de entrada]],$J$2),NETWORKDAYS(Tabela1[[#This Row],[Data de entrada]],Tabela1[[#This Row],[Data de conclusão]]))</f>
        <v>200</v>
      </c>
      <c r="K645" s="1"/>
    </row>
    <row r="646" spans="2:11" x14ac:dyDescent="0.25">
      <c r="B646" s="3">
        <v>753</v>
      </c>
      <c r="C646" s="3" t="s">
        <v>7</v>
      </c>
      <c r="D646" s="3" t="s">
        <v>12</v>
      </c>
      <c r="E646" s="4">
        <v>42657</v>
      </c>
      <c r="F646" s="4"/>
      <c r="G646" s="3" t="s">
        <v>29</v>
      </c>
      <c r="H646" s="5">
        <v>56812</v>
      </c>
      <c r="I646" s="3" t="str">
        <f>VLOOKUP(Tabela1[[#This Row],[Advogado]],Tabela2[],2,FALSE)</f>
        <v>Caio Brito</v>
      </c>
      <c r="J646" s="17">
        <f>IF(Tabela1[[#This Row],[Data de conclusão]]="",NETWORKDAYS(Tabela1[[#This Row],[Data de entrada]],$J$2),NETWORKDAYS(Tabela1[[#This Row],[Data de entrada]],Tabela1[[#This Row],[Data de conclusão]]))</f>
        <v>413</v>
      </c>
      <c r="K646" s="1"/>
    </row>
    <row r="647" spans="2:11" x14ac:dyDescent="0.25">
      <c r="B647" s="3">
        <v>754</v>
      </c>
      <c r="C647" s="3" t="s">
        <v>8</v>
      </c>
      <c r="D647" s="3" t="s">
        <v>13</v>
      </c>
      <c r="E647" s="4">
        <v>42741</v>
      </c>
      <c r="F647" s="4"/>
      <c r="G647" s="3" t="s">
        <v>29</v>
      </c>
      <c r="H647" s="5">
        <v>47530</v>
      </c>
      <c r="I647" s="3" t="str">
        <f>VLOOKUP(Tabela1[[#This Row],[Advogado]],Tabela2[],2,FALSE)</f>
        <v>Caio Brito</v>
      </c>
      <c r="J647" s="17">
        <f>IF(Tabela1[[#This Row],[Data de conclusão]]="",NETWORKDAYS(Tabela1[[#This Row],[Data de entrada]],$J$2),NETWORKDAYS(Tabela1[[#This Row],[Data de entrada]],Tabela1[[#This Row],[Data de conclusão]]))</f>
        <v>353</v>
      </c>
      <c r="K647" s="1"/>
    </row>
    <row r="648" spans="2:11" x14ac:dyDescent="0.25">
      <c r="B648" s="3">
        <v>755</v>
      </c>
      <c r="C648" s="3" t="s">
        <v>9</v>
      </c>
      <c r="D648" s="3" t="s">
        <v>14</v>
      </c>
      <c r="E648" s="4">
        <v>43050</v>
      </c>
      <c r="F648" s="4"/>
      <c r="G648" s="3" t="s">
        <v>29</v>
      </c>
      <c r="H648" s="5">
        <v>23314</v>
      </c>
      <c r="I648" s="3" t="str">
        <f>VLOOKUP(Tabela1[[#This Row],[Advogado]],Tabela2[],2,FALSE)</f>
        <v>Renê Amaranto</v>
      </c>
      <c r="J648" s="17">
        <f>IF(Tabela1[[#This Row],[Data de conclusão]]="",NETWORKDAYS(Tabela1[[#This Row],[Data de entrada]],$J$2),NETWORKDAYS(Tabela1[[#This Row],[Data de entrada]],Tabela1[[#This Row],[Data de conclusão]]))</f>
        <v>132</v>
      </c>
      <c r="K648" s="1"/>
    </row>
    <row r="649" spans="2:11" x14ac:dyDescent="0.25">
      <c r="B649" s="3">
        <v>756</v>
      </c>
      <c r="C649" s="3" t="s">
        <v>7</v>
      </c>
      <c r="D649" s="3" t="s">
        <v>15</v>
      </c>
      <c r="E649" s="4">
        <v>42542</v>
      </c>
      <c r="F649" s="4"/>
      <c r="G649" s="3" t="s">
        <v>29</v>
      </c>
      <c r="H649" s="5">
        <v>51103</v>
      </c>
      <c r="I649" s="3" t="str">
        <f>VLOOKUP(Tabela1[[#This Row],[Advogado]],Tabela2[],2,FALSE)</f>
        <v>Renê Amaranto</v>
      </c>
      <c r="J649" s="17">
        <f>IF(Tabela1[[#This Row],[Data de conclusão]]="",NETWORKDAYS(Tabela1[[#This Row],[Data de entrada]],$J$2),NETWORKDAYS(Tabela1[[#This Row],[Data de entrada]],Tabela1[[#This Row],[Data de conclusão]]))</f>
        <v>496</v>
      </c>
      <c r="K649" s="1"/>
    </row>
    <row r="650" spans="2:11" x14ac:dyDescent="0.25">
      <c r="B650" s="3">
        <v>757</v>
      </c>
      <c r="C650" s="3" t="s">
        <v>8</v>
      </c>
      <c r="D650" s="3" t="s">
        <v>16</v>
      </c>
      <c r="E650" s="4">
        <v>42628</v>
      </c>
      <c r="F650" s="4"/>
      <c r="G650" s="3" t="s">
        <v>29</v>
      </c>
      <c r="H650" s="5">
        <v>29856</v>
      </c>
      <c r="I650" s="3" t="str">
        <f>VLOOKUP(Tabela1[[#This Row],[Advogado]],Tabela2[],2,FALSE)</f>
        <v>Renê Amaranto</v>
      </c>
      <c r="J650" s="17">
        <f>IF(Tabela1[[#This Row],[Data de conclusão]]="",NETWORKDAYS(Tabela1[[#This Row],[Data de entrada]],$J$2),NETWORKDAYS(Tabela1[[#This Row],[Data de entrada]],Tabela1[[#This Row],[Data de conclusão]]))</f>
        <v>434</v>
      </c>
      <c r="K650" s="1"/>
    </row>
    <row r="651" spans="2:11" x14ac:dyDescent="0.25">
      <c r="B651" s="3">
        <v>758</v>
      </c>
      <c r="C651" s="3" t="s">
        <v>9</v>
      </c>
      <c r="D651" s="3" t="s">
        <v>17</v>
      </c>
      <c r="E651" s="4">
        <v>42770</v>
      </c>
      <c r="F651" s="4"/>
      <c r="G651" s="3" t="s">
        <v>29</v>
      </c>
      <c r="H651" s="5">
        <v>24543</v>
      </c>
      <c r="I651" s="3" t="str">
        <f>VLOOKUP(Tabela1[[#This Row],[Advogado]],Tabela2[],2,FALSE)</f>
        <v>Renê Amaranto</v>
      </c>
      <c r="J651" s="17">
        <f>IF(Tabela1[[#This Row],[Data de conclusão]]="",NETWORKDAYS(Tabela1[[#This Row],[Data de entrada]],$J$2),NETWORKDAYS(Tabela1[[#This Row],[Data de entrada]],Tabela1[[#This Row],[Data de conclusão]]))</f>
        <v>332</v>
      </c>
      <c r="K651" s="1"/>
    </row>
    <row r="652" spans="2:11" x14ac:dyDescent="0.25">
      <c r="B652" s="3">
        <v>759</v>
      </c>
      <c r="C652" s="3" t="s">
        <v>7</v>
      </c>
      <c r="D652" s="3" t="s">
        <v>10</v>
      </c>
      <c r="E652" s="4">
        <v>42988</v>
      </c>
      <c r="F652" s="4">
        <v>43077</v>
      </c>
      <c r="G652" s="3" t="s">
        <v>28</v>
      </c>
      <c r="H652" s="5">
        <v>14417</v>
      </c>
      <c r="I652" s="3" t="str">
        <f>VLOOKUP(Tabela1[[#This Row],[Advogado]],Tabela2[],2,FALSE)</f>
        <v>Caio Brito</v>
      </c>
      <c r="J652" s="17">
        <f>IF(Tabela1[[#This Row],[Data de conclusão]]="",NETWORKDAYS(Tabela1[[#This Row],[Data de entrada]],$J$2),NETWORKDAYS(Tabela1[[#This Row],[Data de entrada]],Tabela1[[#This Row],[Data de conclusão]]))</f>
        <v>65</v>
      </c>
      <c r="K652" s="1"/>
    </row>
    <row r="653" spans="2:11" x14ac:dyDescent="0.25">
      <c r="B653" s="3">
        <v>760</v>
      </c>
      <c r="C653" s="3" t="s">
        <v>8</v>
      </c>
      <c r="D653" s="3" t="s">
        <v>11</v>
      </c>
      <c r="E653" s="4">
        <v>42628</v>
      </c>
      <c r="F653" s="4"/>
      <c r="G653" s="3" t="s">
        <v>27</v>
      </c>
      <c r="H653" s="5">
        <v>2928</v>
      </c>
      <c r="I653" s="3" t="str">
        <f>VLOOKUP(Tabela1[[#This Row],[Advogado]],Tabela2[],2,FALSE)</f>
        <v>Caio Brito</v>
      </c>
      <c r="J653" s="17">
        <f>IF(Tabela1[[#This Row],[Data de conclusão]]="",NETWORKDAYS(Tabela1[[#This Row],[Data de entrada]],$J$2),NETWORKDAYS(Tabela1[[#This Row],[Data de entrada]],Tabela1[[#This Row],[Data de conclusão]]))</f>
        <v>434</v>
      </c>
      <c r="K653" s="1"/>
    </row>
    <row r="654" spans="2:11" x14ac:dyDescent="0.25">
      <c r="B654" s="3">
        <v>761</v>
      </c>
      <c r="C654" s="3" t="s">
        <v>9</v>
      </c>
      <c r="D654" s="3" t="s">
        <v>12</v>
      </c>
      <c r="E654" s="4">
        <v>42866</v>
      </c>
      <c r="F654" s="4"/>
      <c r="G654" s="3" t="s">
        <v>29</v>
      </c>
      <c r="H654" s="5">
        <v>28436</v>
      </c>
      <c r="I654" s="3" t="str">
        <f>VLOOKUP(Tabela1[[#This Row],[Advogado]],Tabela2[],2,FALSE)</f>
        <v>Caio Brito</v>
      </c>
      <c r="J654" s="17">
        <f>IF(Tabela1[[#This Row],[Data de conclusão]]="",NETWORKDAYS(Tabela1[[#This Row],[Data de entrada]],$J$2),NETWORKDAYS(Tabela1[[#This Row],[Data de entrada]],Tabela1[[#This Row],[Data de conclusão]]))</f>
        <v>264</v>
      </c>
      <c r="K654" s="1"/>
    </row>
    <row r="655" spans="2:11" x14ac:dyDescent="0.25">
      <c r="B655" s="3">
        <v>762</v>
      </c>
      <c r="C655" s="3" t="s">
        <v>7</v>
      </c>
      <c r="D655" s="3" t="s">
        <v>13</v>
      </c>
      <c r="E655" s="4">
        <v>42996</v>
      </c>
      <c r="F655" s="4"/>
      <c r="G655" s="3" t="s">
        <v>29</v>
      </c>
      <c r="H655" s="5">
        <v>10239</v>
      </c>
      <c r="I655" s="3" t="str">
        <f>VLOOKUP(Tabela1[[#This Row],[Advogado]],Tabela2[],2,FALSE)</f>
        <v>Caio Brito</v>
      </c>
      <c r="J655" s="17">
        <f>IF(Tabela1[[#This Row],[Data de conclusão]]="",NETWORKDAYS(Tabela1[[#This Row],[Data de entrada]],$J$2),NETWORKDAYS(Tabela1[[#This Row],[Data de entrada]],Tabela1[[#This Row],[Data de conclusão]]))</f>
        <v>172</v>
      </c>
      <c r="K655" s="1"/>
    </row>
    <row r="656" spans="2:11" x14ac:dyDescent="0.25">
      <c r="B656" s="3">
        <v>763</v>
      </c>
      <c r="C656" s="3" t="s">
        <v>8</v>
      </c>
      <c r="D656" s="3" t="s">
        <v>14</v>
      </c>
      <c r="E656" s="4">
        <v>42863</v>
      </c>
      <c r="F656" s="4"/>
      <c r="G656" s="3" t="s">
        <v>29</v>
      </c>
      <c r="H656" s="5">
        <v>56253</v>
      </c>
      <c r="I656" s="3" t="str">
        <f>VLOOKUP(Tabela1[[#This Row],[Advogado]],Tabela2[],2,FALSE)</f>
        <v>Renê Amaranto</v>
      </c>
      <c r="J656" s="17">
        <f>IF(Tabela1[[#This Row],[Data de conclusão]]="",NETWORKDAYS(Tabela1[[#This Row],[Data de entrada]],$J$2),NETWORKDAYS(Tabela1[[#This Row],[Data de entrada]],Tabela1[[#This Row],[Data de conclusão]]))</f>
        <v>267</v>
      </c>
      <c r="K656" s="1"/>
    </row>
    <row r="657" spans="2:11" x14ac:dyDescent="0.25">
      <c r="B657" s="3">
        <v>764</v>
      </c>
      <c r="C657" s="3" t="s">
        <v>9</v>
      </c>
      <c r="D657" s="3" t="s">
        <v>15</v>
      </c>
      <c r="E657" s="4">
        <v>42717</v>
      </c>
      <c r="F657" s="4"/>
      <c r="G657" s="3" t="s">
        <v>29</v>
      </c>
      <c r="H657" s="5">
        <v>29169</v>
      </c>
      <c r="I657" s="3" t="str">
        <f>VLOOKUP(Tabela1[[#This Row],[Advogado]],Tabela2[],2,FALSE)</f>
        <v>Renê Amaranto</v>
      </c>
      <c r="J657" s="17">
        <f>IF(Tabela1[[#This Row],[Data de conclusão]]="",NETWORKDAYS(Tabela1[[#This Row],[Data de entrada]],$J$2),NETWORKDAYS(Tabela1[[#This Row],[Data de entrada]],Tabela1[[#This Row],[Data de conclusão]]))</f>
        <v>371</v>
      </c>
      <c r="K657" s="1"/>
    </row>
    <row r="658" spans="2:11" x14ac:dyDescent="0.25">
      <c r="B658" s="3">
        <v>765</v>
      </c>
      <c r="C658" s="3" t="s">
        <v>7</v>
      </c>
      <c r="D658" s="3" t="s">
        <v>16</v>
      </c>
      <c r="E658" s="4">
        <v>42603</v>
      </c>
      <c r="F658" s="4"/>
      <c r="G658" s="3" t="s">
        <v>29</v>
      </c>
      <c r="H658" s="5">
        <v>46257</v>
      </c>
      <c r="I658" s="3" t="str">
        <f>VLOOKUP(Tabela1[[#This Row],[Advogado]],Tabela2[],2,FALSE)</f>
        <v>Renê Amaranto</v>
      </c>
      <c r="J658" s="17">
        <f>IF(Tabela1[[#This Row],[Data de conclusão]]="",NETWORKDAYS(Tabela1[[#This Row],[Data de entrada]],$J$2),NETWORKDAYS(Tabela1[[#This Row],[Data de entrada]],Tabela1[[#This Row],[Data de conclusão]]))</f>
        <v>452</v>
      </c>
      <c r="K658" s="1"/>
    </row>
    <row r="659" spans="2:11" x14ac:dyDescent="0.25">
      <c r="B659" s="3">
        <v>766</v>
      </c>
      <c r="C659" s="3" t="s">
        <v>8</v>
      </c>
      <c r="D659" s="3" t="s">
        <v>17</v>
      </c>
      <c r="E659" s="4">
        <v>42796</v>
      </c>
      <c r="F659" s="4"/>
      <c r="G659" s="3" t="s">
        <v>29</v>
      </c>
      <c r="H659" s="5">
        <v>50113</v>
      </c>
      <c r="I659" s="3" t="str">
        <f>VLOOKUP(Tabela1[[#This Row],[Advogado]],Tabela2[],2,FALSE)</f>
        <v>Renê Amaranto</v>
      </c>
      <c r="J659" s="17">
        <f>IF(Tabela1[[#This Row],[Data de conclusão]]="",NETWORKDAYS(Tabela1[[#This Row],[Data de entrada]],$J$2),NETWORKDAYS(Tabela1[[#This Row],[Data de entrada]],Tabela1[[#This Row],[Data de conclusão]]))</f>
        <v>314</v>
      </c>
      <c r="K659" s="1"/>
    </row>
    <row r="660" spans="2:11" x14ac:dyDescent="0.25">
      <c r="B660" s="3">
        <v>767</v>
      </c>
      <c r="C660" s="3" t="s">
        <v>9</v>
      </c>
      <c r="D660" s="3" t="s">
        <v>10</v>
      </c>
      <c r="E660" s="4">
        <v>42537</v>
      </c>
      <c r="F660" s="4"/>
      <c r="G660" s="3" t="s">
        <v>29</v>
      </c>
      <c r="H660" s="5">
        <v>36496</v>
      </c>
      <c r="I660" s="3" t="str">
        <f>VLOOKUP(Tabela1[[#This Row],[Advogado]],Tabela2[],2,FALSE)</f>
        <v>Caio Brito</v>
      </c>
      <c r="J660" s="17">
        <f>IF(Tabela1[[#This Row],[Data de conclusão]]="",NETWORKDAYS(Tabela1[[#This Row],[Data de entrada]],$J$2),NETWORKDAYS(Tabela1[[#This Row],[Data de entrada]],Tabela1[[#This Row],[Data de conclusão]]))</f>
        <v>499</v>
      </c>
      <c r="K660" s="1"/>
    </row>
    <row r="661" spans="2:11" x14ac:dyDescent="0.25">
      <c r="B661" s="3">
        <v>768</v>
      </c>
      <c r="C661" s="3" t="s">
        <v>7</v>
      </c>
      <c r="D661" s="3" t="s">
        <v>11</v>
      </c>
      <c r="E661" s="4">
        <v>42873</v>
      </c>
      <c r="F661" s="4"/>
      <c r="G661" s="3" t="s">
        <v>29</v>
      </c>
      <c r="H661" s="5">
        <v>28749</v>
      </c>
      <c r="I661" s="3" t="str">
        <f>VLOOKUP(Tabela1[[#This Row],[Advogado]],Tabela2[],2,FALSE)</f>
        <v>Caio Brito</v>
      </c>
      <c r="J661" s="17">
        <f>IF(Tabela1[[#This Row],[Data de conclusão]]="",NETWORKDAYS(Tabela1[[#This Row],[Data de entrada]],$J$2),NETWORKDAYS(Tabela1[[#This Row],[Data de entrada]],Tabela1[[#This Row],[Data de conclusão]]))</f>
        <v>259</v>
      </c>
      <c r="K661" s="1"/>
    </row>
    <row r="662" spans="2:11" x14ac:dyDescent="0.25">
      <c r="B662" s="3">
        <v>769</v>
      </c>
      <c r="C662" s="3" t="s">
        <v>8</v>
      </c>
      <c r="D662" s="3" t="s">
        <v>12</v>
      </c>
      <c r="E662" s="4">
        <v>42459</v>
      </c>
      <c r="F662" s="4"/>
      <c r="G662" s="3" t="s">
        <v>29</v>
      </c>
      <c r="H662" s="5">
        <v>20971</v>
      </c>
      <c r="I662" s="3" t="str">
        <f>VLOOKUP(Tabela1[[#This Row],[Advogado]],Tabela2[],2,FALSE)</f>
        <v>Caio Brito</v>
      </c>
      <c r="J662" s="17">
        <f>IF(Tabela1[[#This Row],[Data de conclusão]]="",NETWORKDAYS(Tabela1[[#This Row],[Data de entrada]],$J$2),NETWORKDAYS(Tabela1[[#This Row],[Data de entrada]],Tabela1[[#This Row],[Data de conclusão]]))</f>
        <v>555</v>
      </c>
      <c r="K662" s="1"/>
    </row>
    <row r="663" spans="2:11" x14ac:dyDescent="0.25">
      <c r="B663" s="3">
        <v>770</v>
      </c>
      <c r="C663" s="3" t="s">
        <v>9</v>
      </c>
      <c r="D663" s="3" t="s">
        <v>13</v>
      </c>
      <c r="E663" s="4">
        <v>43039</v>
      </c>
      <c r="F663" s="4"/>
      <c r="G663" s="3" t="s">
        <v>29</v>
      </c>
      <c r="H663" s="5">
        <v>55677</v>
      </c>
      <c r="I663" s="3" t="str">
        <f>VLOOKUP(Tabela1[[#This Row],[Advogado]],Tabela2[],2,FALSE)</f>
        <v>Caio Brito</v>
      </c>
      <c r="J663" s="17">
        <f>IF(Tabela1[[#This Row],[Data de conclusão]]="",NETWORKDAYS(Tabela1[[#This Row],[Data de entrada]],$J$2),NETWORKDAYS(Tabela1[[#This Row],[Data de entrada]],Tabela1[[#This Row],[Data de conclusão]]))</f>
        <v>141</v>
      </c>
      <c r="K663" s="1"/>
    </row>
    <row r="664" spans="2:11" x14ac:dyDescent="0.25">
      <c r="B664" s="3">
        <v>771</v>
      </c>
      <c r="C664" s="3" t="s">
        <v>7</v>
      </c>
      <c r="D664" s="3" t="s">
        <v>14</v>
      </c>
      <c r="E664" s="4">
        <v>42506</v>
      </c>
      <c r="F664" s="4"/>
      <c r="G664" s="3" t="s">
        <v>29</v>
      </c>
      <c r="H664" s="5">
        <v>22821</v>
      </c>
      <c r="I664" s="3" t="str">
        <f>VLOOKUP(Tabela1[[#This Row],[Advogado]],Tabela2[],2,FALSE)</f>
        <v>Renê Amaranto</v>
      </c>
      <c r="J664" s="17">
        <f>IF(Tabela1[[#This Row],[Data de conclusão]]="",NETWORKDAYS(Tabela1[[#This Row],[Data de entrada]],$J$2),NETWORKDAYS(Tabela1[[#This Row],[Data de entrada]],Tabela1[[#This Row],[Data de conclusão]]))</f>
        <v>522</v>
      </c>
      <c r="K664" s="1"/>
    </row>
    <row r="665" spans="2:11" x14ac:dyDescent="0.25">
      <c r="B665" s="3">
        <v>772</v>
      </c>
      <c r="C665" s="3" t="s">
        <v>8</v>
      </c>
      <c r="D665" s="3" t="s">
        <v>15</v>
      </c>
      <c r="E665" s="4">
        <v>42882</v>
      </c>
      <c r="F665" s="4">
        <v>42959</v>
      </c>
      <c r="G665" s="3" t="s">
        <v>28</v>
      </c>
      <c r="H665" s="5">
        <v>57969</v>
      </c>
      <c r="I665" s="3" t="str">
        <f>VLOOKUP(Tabela1[[#This Row],[Advogado]],Tabela2[],2,FALSE)</f>
        <v>Renê Amaranto</v>
      </c>
      <c r="J665" s="17">
        <f>IF(Tabela1[[#This Row],[Data de conclusão]]="",NETWORKDAYS(Tabela1[[#This Row],[Data de entrada]],$J$2),NETWORKDAYS(Tabela1[[#This Row],[Data de entrada]],Tabela1[[#This Row],[Data de conclusão]]))</f>
        <v>55</v>
      </c>
      <c r="K665" s="1"/>
    </row>
    <row r="666" spans="2:11" x14ac:dyDescent="0.25">
      <c r="B666" s="3">
        <v>773</v>
      </c>
      <c r="C666" s="3" t="s">
        <v>9</v>
      </c>
      <c r="D666" s="3" t="s">
        <v>16</v>
      </c>
      <c r="E666" s="4">
        <v>42897</v>
      </c>
      <c r="F666" s="4"/>
      <c r="G666" s="3" t="s">
        <v>27</v>
      </c>
      <c r="H666" s="5">
        <v>31968</v>
      </c>
      <c r="I666" s="3" t="str">
        <f>VLOOKUP(Tabela1[[#This Row],[Advogado]],Tabela2[],2,FALSE)</f>
        <v>Renê Amaranto</v>
      </c>
      <c r="J666" s="17">
        <f>IF(Tabela1[[#This Row],[Data de conclusão]]="",NETWORKDAYS(Tabela1[[#This Row],[Data de entrada]],$J$2),NETWORKDAYS(Tabela1[[#This Row],[Data de entrada]],Tabela1[[#This Row],[Data de conclusão]]))</f>
        <v>242</v>
      </c>
      <c r="K666" s="1"/>
    </row>
    <row r="667" spans="2:11" x14ac:dyDescent="0.25">
      <c r="B667" s="3">
        <v>774</v>
      </c>
      <c r="C667" s="3" t="s">
        <v>7</v>
      </c>
      <c r="D667" s="3" t="s">
        <v>17</v>
      </c>
      <c r="E667" s="4">
        <v>42819</v>
      </c>
      <c r="F667" s="4"/>
      <c r="G667" s="3" t="s">
        <v>29</v>
      </c>
      <c r="H667" s="5">
        <v>51177</v>
      </c>
      <c r="I667" s="3" t="str">
        <f>VLOOKUP(Tabela1[[#This Row],[Advogado]],Tabela2[],2,FALSE)</f>
        <v>Renê Amaranto</v>
      </c>
      <c r="J667" s="17">
        <f>IF(Tabela1[[#This Row],[Data de conclusão]]="",NETWORKDAYS(Tabela1[[#This Row],[Data de entrada]],$J$2),NETWORKDAYS(Tabela1[[#This Row],[Data de entrada]],Tabela1[[#This Row],[Data de conclusão]]))</f>
        <v>297</v>
      </c>
      <c r="K667" s="1"/>
    </row>
    <row r="668" spans="2:11" x14ac:dyDescent="0.25">
      <c r="B668" s="3">
        <v>775</v>
      </c>
      <c r="C668" s="3" t="s">
        <v>8</v>
      </c>
      <c r="D668" s="3" t="s">
        <v>10</v>
      </c>
      <c r="E668" s="4">
        <v>42971</v>
      </c>
      <c r="F668" s="4"/>
      <c r="G668" s="3" t="s">
        <v>29</v>
      </c>
      <c r="H668" s="5">
        <v>18424</v>
      </c>
      <c r="I668" s="3" t="str">
        <f>VLOOKUP(Tabela1[[#This Row],[Advogado]],Tabela2[],2,FALSE)</f>
        <v>Caio Brito</v>
      </c>
      <c r="J668" s="17">
        <f>IF(Tabela1[[#This Row],[Data de conclusão]]="",NETWORKDAYS(Tabela1[[#This Row],[Data de entrada]],$J$2),NETWORKDAYS(Tabela1[[#This Row],[Data de entrada]],Tabela1[[#This Row],[Data de conclusão]]))</f>
        <v>189</v>
      </c>
      <c r="K668" s="1"/>
    </row>
    <row r="669" spans="2:11" x14ac:dyDescent="0.25">
      <c r="B669" s="3">
        <v>776</v>
      </c>
      <c r="C669" s="3" t="s">
        <v>9</v>
      </c>
      <c r="D669" s="3" t="s">
        <v>11</v>
      </c>
      <c r="E669" s="4">
        <v>42839</v>
      </c>
      <c r="F669" s="4"/>
      <c r="G669" s="3" t="s">
        <v>29</v>
      </c>
      <c r="H669" s="5">
        <v>41700</v>
      </c>
      <c r="I669" s="3" t="str">
        <f>VLOOKUP(Tabela1[[#This Row],[Advogado]],Tabela2[],2,FALSE)</f>
        <v>Caio Brito</v>
      </c>
      <c r="J669" s="17">
        <f>IF(Tabela1[[#This Row],[Data de conclusão]]="",NETWORKDAYS(Tabela1[[#This Row],[Data de entrada]],$J$2),NETWORKDAYS(Tabela1[[#This Row],[Data de entrada]],Tabela1[[#This Row],[Data de conclusão]]))</f>
        <v>283</v>
      </c>
      <c r="K669" s="1"/>
    </row>
    <row r="670" spans="2:11" x14ac:dyDescent="0.25">
      <c r="B670" s="3">
        <v>777</v>
      </c>
      <c r="C670" s="3" t="s">
        <v>7</v>
      </c>
      <c r="D670" s="3" t="s">
        <v>12</v>
      </c>
      <c r="E670" s="4">
        <v>42656</v>
      </c>
      <c r="F670" s="4"/>
      <c r="G670" s="3" t="s">
        <v>29</v>
      </c>
      <c r="H670" s="5">
        <v>18414</v>
      </c>
      <c r="I670" s="3" t="str">
        <f>VLOOKUP(Tabela1[[#This Row],[Advogado]],Tabela2[],2,FALSE)</f>
        <v>Caio Brito</v>
      </c>
      <c r="J670" s="17">
        <f>IF(Tabela1[[#This Row],[Data de conclusão]]="",NETWORKDAYS(Tabela1[[#This Row],[Data de entrada]],$J$2),NETWORKDAYS(Tabela1[[#This Row],[Data de entrada]],Tabela1[[#This Row],[Data de conclusão]]))</f>
        <v>414</v>
      </c>
      <c r="K670" s="1"/>
    </row>
    <row r="671" spans="2:11" x14ac:dyDescent="0.25">
      <c r="B671" s="3">
        <v>778</v>
      </c>
      <c r="C671" s="3" t="s">
        <v>8</v>
      </c>
      <c r="D671" s="3" t="s">
        <v>13</v>
      </c>
      <c r="E671" s="4">
        <v>42876</v>
      </c>
      <c r="F671" s="4"/>
      <c r="G671" s="3" t="s">
        <v>29</v>
      </c>
      <c r="H671" s="5">
        <v>30834</v>
      </c>
      <c r="I671" s="3" t="str">
        <f>VLOOKUP(Tabela1[[#This Row],[Advogado]],Tabela2[],2,FALSE)</f>
        <v>Caio Brito</v>
      </c>
      <c r="J671" s="17">
        <f>IF(Tabela1[[#This Row],[Data de conclusão]]="",NETWORKDAYS(Tabela1[[#This Row],[Data de entrada]],$J$2),NETWORKDAYS(Tabela1[[#This Row],[Data de entrada]],Tabela1[[#This Row],[Data de conclusão]]))</f>
        <v>257</v>
      </c>
      <c r="K671" s="1"/>
    </row>
    <row r="672" spans="2:11" x14ac:dyDescent="0.25">
      <c r="B672" s="3">
        <v>779</v>
      </c>
      <c r="C672" s="3" t="s">
        <v>9</v>
      </c>
      <c r="D672" s="3" t="s">
        <v>14</v>
      </c>
      <c r="E672" s="4">
        <v>42834</v>
      </c>
      <c r="F672" s="4"/>
      <c r="G672" s="3" t="s">
        <v>29</v>
      </c>
      <c r="H672" s="5">
        <v>24028</v>
      </c>
      <c r="I672" s="3" t="str">
        <f>VLOOKUP(Tabela1[[#This Row],[Advogado]],Tabela2[],2,FALSE)</f>
        <v>Renê Amaranto</v>
      </c>
      <c r="J672" s="17">
        <f>IF(Tabela1[[#This Row],[Data de conclusão]]="",NETWORKDAYS(Tabela1[[#This Row],[Data de entrada]],$J$2),NETWORKDAYS(Tabela1[[#This Row],[Data de entrada]],Tabela1[[#This Row],[Data de conclusão]]))</f>
        <v>287</v>
      </c>
      <c r="K672" s="1"/>
    </row>
    <row r="673" spans="2:11" x14ac:dyDescent="0.25">
      <c r="B673" s="3">
        <v>780</v>
      </c>
      <c r="C673" s="3" t="s">
        <v>7</v>
      </c>
      <c r="D673" s="3" t="s">
        <v>15</v>
      </c>
      <c r="E673" s="4">
        <v>42382</v>
      </c>
      <c r="F673" s="4"/>
      <c r="G673" s="3" t="s">
        <v>29</v>
      </c>
      <c r="H673" s="5">
        <v>40273</v>
      </c>
      <c r="I673" s="3" t="str">
        <f>VLOOKUP(Tabela1[[#This Row],[Advogado]],Tabela2[],2,FALSE)</f>
        <v>Renê Amaranto</v>
      </c>
      <c r="J673" s="17">
        <f>IF(Tabela1[[#This Row],[Data de conclusão]]="",NETWORKDAYS(Tabela1[[#This Row],[Data de entrada]],$J$2),NETWORKDAYS(Tabela1[[#This Row],[Data de entrada]],Tabela1[[#This Row],[Data de conclusão]]))</f>
        <v>610</v>
      </c>
      <c r="K673" s="1"/>
    </row>
    <row r="674" spans="2:11" x14ac:dyDescent="0.25">
      <c r="B674" s="3">
        <v>781</v>
      </c>
      <c r="C674" s="3" t="s">
        <v>8</v>
      </c>
      <c r="D674" s="3" t="s">
        <v>16</v>
      </c>
      <c r="E674" s="4">
        <v>42773</v>
      </c>
      <c r="F674" s="4"/>
      <c r="G674" s="3" t="s">
        <v>29</v>
      </c>
      <c r="H674" s="5">
        <v>24791</v>
      </c>
      <c r="I674" s="3" t="str">
        <f>VLOOKUP(Tabela1[[#This Row],[Advogado]],Tabela2[],2,FALSE)</f>
        <v>Renê Amaranto</v>
      </c>
      <c r="J674" s="17">
        <f>IF(Tabela1[[#This Row],[Data de conclusão]]="",NETWORKDAYS(Tabela1[[#This Row],[Data de entrada]],$J$2),NETWORKDAYS(Tabela1[[#This Row],[Data de entrada]],Tabela1[[#This Row],[Data de conclusão]]))</f>
        <v>331</v>
      </c>
      <c r="K674" s="1"/>
    </row>
    <row r="675" spans="2:11" x14ac:dyDescent="0.25">
      <c r="B675" s="3">
        <v>782</v>
      </c>
      <c r="C675" s="3" t="s">
        <v>9</v>
      </c>
      <c r="D675" s="3" t="s">
        <v>17</v>
      </c>
      <c r="E675" s="4">
        <v>42542</v>
      </c>
      <c r="F675" s="4"/>
      <c r="G675" s="3" t="s">
        <v>29</v>
      </c>
      <c r="H675" s="5">
        <v>12549</v>
      </c>
      <c r="I675" s="3" t="str">
        <f>VLOOKUP(Tabela1[[#This Row],[Advogado]],Tabela2[],2,FALSE)</f>
        <v>Renê Amaranto</v>
      </c>
      <c r="J675" s="17">
        <f>IF(Tabela1[[#This Row],[Data de conclusão]]="",NETWORKDAYS(Tabela1[[#This Row],[Data de entrada]],$J$2),NETWORKDAYS(Tabela1[[#This Row],[Data de entrada]],Tabela1[[#This Row],[Data de conclusão]]))</f>
        <v>496</v>
      </c>
      <c r="K675" s="1"/>
    </row>
    <row r="676" spans="2:11" x14ac:dyDescent="0.25">
      <c r="B676" s="3">
        <v>783</v>
      </c>
      <c r="C676" s="3" t="s">
        <v>7</v>
      </c>
      <c r="D676" s="3" t="s">
        <v>10</v>
      </c>
      <c r="E676" s="4">
        <v>43048</v>
      </c>
      <c r="F676" s="4"/>
      <c r="G676" s="3" t="s">
        <v>29</v>
      </c>
      <c r="H676" s="5">
        <v>7087</v>
      </c>
      <c r="I676" s="3" t="str">
        <f>VLOOKUP(Tabela1[[#This Row],[Advogado]],Tabela2[],2,FALSE)</f>
        <v>Caio Brito</v>
      </c>
      <c r="J676" s="17">
        <f>IF(Tabela1[[#This Row],[Data de conclusão]]="",NETWORKDAYS(Tabela1[[#This Row],[Data de entrada]],$J$2),NETWORKDAYS(Tabela1[[#This Row],[Data de entrada]],Tabela1[[#This Row],[Data de conclusão]]))</f>
        <v>134</v>
      </c>
      <c r="K676" s="1"/>
    </row>
    <row r="677" spans="2:11" x14ac:dyDescent="0.25">
      <c r="B677" s="3">
        <v>784</v>
      </c>
      <c r="C677" s="3" t="s">
        <v>8</v>
      </c>
      <c r="D677" s="3" t="s">
        <v>11</v>
      </c>
      <c r="E677" s="4">
        <v>42808</v>
      </c>
      <c r="F677" s="4"/>
      <c r="G677" s="3" t="s">
        <v>29</v>
      </c>
      <c r="H677" s="5">
        <v>40663</v>
      </c>
      <c r="I677" s="3" t="str">
        <f>VLOOKUP(Tabela1[[#This Row],[Advogado]],Tabela2[],2,FALSE)</f>
        <v>Caio Brito</v>
      </c>
      <c r="J677" s="17">
        <f>IF(Tabela1[[#This Row],[Data de conclusão]]="",NETWORKDAYS(Tabela1[[#This Row],[Data de entrada]],$J$2),NETWORKDAYS(Tabela1[[#This Row],[Data de entrada]],Tabela1[[#This Row],[Data de conclusão]]))</f>
        <v>306</v>
      </c>
      <c r="K677" s="1"/>
    </row>
    <row r="678" spans="2:11" x14ac:dyDescent="0.25">
      <c r="B678" s="3">
        <v>785</v>
      </c>
      <c r="C678" s="3" t="s">
        <v>9</v>
      </c>
      <c r="D678" s="3" t="s">
        <v>12</v>
      </c>
      <c r="E678" s="4">
        <v>42767</v>
      </c>
      <c r="F678" s="4">
        <v>42816</v>
      </c>
      <c r="G678" s="3" t="s">
        <v>28</v>
      </c>
      <c r="H678" s="5">
        <v>33339</v>
      </c>
      <c r="I678" s="3" t="str">
        <f>VLOOKUP(Tabela1[[#This Row],[Advogado]],Tabela2[],2,FALSE)</f>
        <v>Caio Brito</v>
      </c>
      <c r="J678" s="17">
        <f>IF(Tabela1[[#This Row],[Data de conclusão]]="",NETWORKDAYS(Tabela1[[#This Row],[Data de entrada]],$J$2),NETWORKDAYS(Tabela1[[#This Row],[Data de entrada]],Tabela1[[#This Row],[Data de conclusão]]))</f>
        <v>36</v>
      </c>
      <c r="K678" s="1"/>
    </row>
    <row r="679" spans="2:11" x14ac:dyDescent="0.25">
      <c r="B679" s="3">
        <v>786</v>
      </c>
      <c r="C679" s="3" t="s">
        <v>7</v>
      </c>
      <c r="D679" s="3" t="s">
        <v>13</v>
      </c>
      <c r="E679" s="4">
        <v>42869</v>
      </c>
      <c r="F679" s="4"/>
      <c r="G679" s="3" t="s">
        <v>27</v>
      </c>
      <c r="H679" s="5">
        <v>45883</v>
      </c>
      <c r="I679" s="3" t="str">
        <f>VLOOKUP(Tabela1[[#This Row],[Advogado]],Tabela2[],2,FALSE)</f>
        <v>Caio Brito</v>
      </c>
      <c r="J679" s="17">
        <f>IF(Tabela1[[#This Row],[Data de conclusão]]="",NETWORKDAYS(Tabela1[[#This Row],[Data de entrada]],$J$2),NETWORKDAYS(Tabela1[[#This Row],[Data de entrada]],Tabela1[[#This Row],[Data de conclusão]]))</f>
        <v>262</v>
      </c>
      <c r="K679" s="1"/>
    </row>
    <row r="680" spans="2:11" x14ac:dyDescent="0.25">
      <c r="B680" s="3">
        <v>787</v>
      </c>
      <c r="C680" s="3" t="s">
        <v>8</v>
      </c>
      <c r="D680" s="3" t="s">
        <v>14</v>
      </c>
      <c r="E680" s="4">
        <v>42859</v>
      </c>
      <c r="F680" s="4"/>
      <c r="G680" s="3" t="s">
        <v>29</v>
      </c>
      <c r="H680" s="5">
        <v>4408</v>
      </c>
      <c r="I680" s="3" t="str">
        <f>VLOOKUP(Tabela1[[#This Row],[Advogado]],Tabela2[],2,FALSE)</f>
        <v>Renê Amaranto</v>
      </c>
      <c r="J680" s="17">
        <f>IF(Tabela1[[#This Row],[Data de conclusão]]="",NETWORKDAYS(Tabela1[[#This Row],[Data de entrada]],$J$2),NETWORKDAYS(Tabela1[[#This Row],[Data de entrada]],Tabela1[[#This Row],[Data de conclusão]]))</f>
        <v>269</v>
      </c>
      <c r="K680" s="1"/>
    </row>
    <row r="681" spans="2:11" x14ac:dyDescent="0.25">
      <c r="B681" s="3">
        <v>788</v>
      </c>
      <c r="C681" s="3" t="s">
        <v>9</v>
      </c>
      <c r="D681" s="3" t="s">
        <v>15</v>
      </c>
      <c r="E681" s="4">
        <v>42466</v>
      </c>
      <c r="F681" s="4"/>
      <c r="G681" s="3" t="s">
        <v>29</v>
      </c>
      <c r="H681" s="5">
        <v>52849</v>
      </c>
      <c r="I681" s="3" t="str">
        <f>VLOOKUP(Tabela1[[#This Row],[Advogado]],Tabela2[],2,FALSE)</f>
        <v>Renê Amaranto</v>
      </c>
      <c r="J681" s="17">
        <f>IF(Tabela1[[#This Row],[Data de conclusão]]="",NETWORKDAYS(Tabela1[[#This Row],[Data de entrada]],$J$2),NETWORKDAYS(Tabela1[[#This Row],[Data de entrada]],Tabela1[[#This Row],[Data de conclusão]]))</f>
        <v>550</v>
      </c>
      <c r="K681" s="1"/>
    </row>
    <row r="682" spans="2:11" x14ac:dyDescent="0.25">
      <c r="B682" s="3">
        <v>789</v>
      </c>
      <c r="C682" s="3" t="s">
        <v>7</v>
      </c>
      <c r="D682" s="3" t="s">
        <v>16</v>
      </c>
      <c r="E682" s="4">
        <v>42982</v>
      </c>
      <c r="F682" s="4"/>
      <c r="G682" s="3" t="s">
        <v>29</v>
      </c>
      <c r="H682" s="5">
        <v>30001</v>
      </c>
      <c r="I682" s="3" t="str">
        <f>VLOOKUP(Tabela1[[#This Row],[Advogado]],Tabela2[],2,FALSE)</f>
        <v>Renê Amaranto</v>
      </c>
      <c r="J682" s="17">
        <f>IF(Tabela1[[#This Row],[Data de conclusão]]="",NETWORKDAYS(Tabela1[[#This Row],[Data de entrada]],$J$2),NETWORKDAYS(Tabela1[[#This Row],[Data de entrada]],Tabela1[[#This Row],[Data de conclusão]]))</f>
        <v>182</v>
      </c>
      <c r="K682" s="1"/>
    </row>
    <row r="683" spans="2:11" x14ac:dyDescent="0.25">
      <c r="B683" s="3">
        <v>790</v>
      </c>
      <c r="C683" s="3" t="s">
        <v>8</v>
      </c>
      <c r="D683" s="3" t="s">
        <v>17</v>
      </c>
      <c r="E683" s="4">
        <v>43092</v>
      </c>
      <c r="F683" s="4"/>
      <c r="G683" s="3" t="s">
        <v>29</v>
      </c>
      <c r="H683" s="5">
        <v>47741</v>
      </c>
      <c r="I683" s="3" t="str">
        <f>VLOOKUP(Tabela1[[#This Row],[Advogado]],Tabela2[],2,FALSE)</f>
        <v>Renê Amaranto</v>
      </c>
      <c r="J683" s="17">
        <f>IF(Tabela1[[#This Row],[Data de conclusão]]="",NETWORKDAYS(Tabela1[[#This Row],[Data de entrada]],$J$2),NETWORKDAYS(Tabela1[[#This Row],[Data de entrada]],Tabela1[[#This Row],[Data de conclusão]]))</f>
        <v>102</v>
      </c>
      <c r="K683" s="1"/>
    </row>
    <row r="684" spans="2:11" x14ac:dyDescent="0.25">
      <c r="B684" s="3">
        <v>791</v>
      </c>
      <c r="C684" s="3" t="s">
        <v>9</v>
      </c>
      <c r="D684" s="3" t="s">
        <v>10</v>
      </c>
      <c r="E684" s="4">
        <v>42458</v>
      </c>
      <c r="F684" s="4"/>
      <c r="G684" s="3" t="s">
        <v>29</v>
      </c>
      <c r="H684" s="5">
        <v>28710</v>
      </c>
      <c r="I684" s="3" t="str">
        <f>VLOOKUP(Tabela1[[#This Row],[Advogado]],Tabela2[],2,FALSE)</f>
        <v>Caio Brito</v>
      </c>
      <c r="J684" s="17">
        <f>IF(Tabela1[[#This Row],[Data de conclusão]]="",NETWORKDAYS(Tabela1[[#This Row],[Data de entrada]],$J$2),NETWORKDAYS(Tabela1[[#This Row],[Data de entrada]],Tabela1[[#This Row],[Data de conclusão]]))</f>
        <v>556</v>
      </c>
      <c r="K684" s="1"/>
    </row>
    <row r="685" spans="2:11" x14ac:dyDescent="0.25">
      <c r="B685" s="3">
        <v>792</v>
      </c>
      <c r="C685" s="3" t="s">
        <v>7</v>
      </c>
      <c r="D685" s="3" t="s">
        <v>11</v>
      </c>
      <c r="E685" s="4">
        <v>42939</v>
      </c>
      <c r="F685" s="4"/>
      <c r="G685" s="3" t="s">
        <v>29</v>
      </c>
      <c r="H685" s="5">
        <v>38316</v>
      </c>
      <c r="I685" s="3" t="str">
        <f>VLOOKUP(Tabela1[[#This Row],[Advogado]],Tabela2[],2,FALSE)</f>
        <v>Caio Brito</v>
      </c>
      <c r="J685" s="17">
        <f>IF(Tabela1[[#This Row],[Data de conclusão]]="",NETWORKDAYS(Tabela1[[#This Row],[Data de entrada]],$J$2),NETWORKDAYS(Tabela1[[#This Row],[Data de entrada]],Tabela1[[#This Row],[Data de conclusão]]))</f>
        <v>212</v>
      </c>
      <c r="K685" s="1"/>
    </row>
    <row r="686" spans="2:11" x14ac:dyDescent="0.25">
      <c r="B686" s="3">
        <v>793</v>
      </c>
      <c r="C686" s="3" t="s">
        <v>8</v>
      </c>
      <c r="D686" s="3" t="s">
        <v>12</v>
      </c>
      <c r="E686" s="4">
        <v>42986</v>
      </c>
      <c r="F686" s="4"/>
      <c r="G686" s="3" t="s">
        <v>29</v>
      </c>
      <c r="H686" s="5">
        <v>54223</v>
      </c>
      <c r="I686" s="3" t="str">
        <f>VLOOKUP(Tabela1[[#This Row],[Advogado]],Tabela2[],2,FALSE)</f>
        <v>Caio Brito</v>
      </c>
      <c r="J686" s="17">
        <f>IF(Tabela1[[#This Row],[Data de conclusão]]="",NETWORKDAYS(Tabela1[[#This Row],[Data de entrada]],$J$2),NETWORKDAYS(Tabela1[[#This Row],[Data de entrada]],Tabela1[[#This Row],[Data de conclusão]]))</f>
        <v>178</v>
      </c>
      <c r="K686" s="1"/>
    </row>
    <row r="687" spans="2:11" x14ac:dyDescent="0.25">
      <c r="B687" s="3">
        <v>794</v>
      </c>
      <c r="C687" s="3" t="s">
        <v>9</v>
      </c>
      <c r="D687" s="3" t="s">
        <v>13</v>
      </c>
      <c r="E687" s="4">
        <v>42448</v>
      </c>
      <c r="F687" s="4"/>
      <c r="G687" s="3" t="s">
        <v>29</v>
      </c>
      <c r="H687" s="5">
        <v>5598</v>
      </c>
      <c r="I687" s="3" t="str">
        <f>VLOOKUP(Tabela1[[#This Row],[Advogado]],Tabela2[],2,FALSE)</f>
        <v>Caio Brito</v>
      </c>
      <c r="J687" s="17">
        <f>IF(Tabela1[[#This Row],[Data de conclusão]]="",NETWORKDAYS(Tabela1[[#This Row],[Data de entrada]],$J$2),NETWORKDAYS(Tabela1[[#This Row],[Data de entrada]],Tabela1[[#This Row],[Data de conclusão]]))</f>
        <v>562</v>
      </c>
      <c r="K687" s="1"/>
    </row>
    <row r="688" spans="2:11" x14ac:dyDescent="0.25">
      <c r="B688" s="3">
        <v>795</v>
      </c>
      <c r="C688" s="3" t="s">
        <v>7</v>
      </c>
      <c r="D688" s="3" t="s">
        <v>14</v>
      </c>
      <c r="E688" s="4">
        <v>42890</v>
      </c>
      <c r="F688" s="4"/>
      <c r="G688" s="3" t="s">
        <v>29</v>
      </c>
      <c r="H688" s="5">
        <v>11760</v>
      </c>
      <c r="I688" s="3" t="str">
        <f>VLOOKUP(Tabela1[[#This Row],[Advogado]],Tabela2[],2,FALSE)</f>
        <v>Renê Amaranto</v>
      </c>
      <c r="J688" s="17">
        <f>IF(Tabela1[[#This Row],[Data de conclusão]]="",NETWORKDAYS(Tabela1[[#This Row],[Data de entrada]],$J$2),NETWORKDAYS(Tabela1[[#This Row],[Data de entrada]],Tabela1[[#This Row],[Data de conclusão]]))</f>
        <v>247</v>
      </c>
      <c r="K688" s="1"/>
    </row>
    <row r="689" spans="2:11" x14ac:dyDescent="0.25">
      <c r="B689" s="3">
        <v>796</v>
      </c>
      <c r="C689" s="3" t="s">
        <v>8</v>
      </c>
      <c r="D689" s="3" t="s">
        <v>15</v>
      </c>
      <c r="E689" s="4">
        <v>42625</v>
      </c>
      <c r="F689" s="4"/>
      <c r="G689" s="3" t="s">
        <v>29</v>
      </c>
      <c r="H689" s="5">
        <v>17531</v>
      </c>
      <c r="I689" s="3" t="str">
        <f>VLOOKUP(Tabela1[[#This Row],[Advogado]],Tabela2[],2,FALSE)</f>
        <v>Renê Amaranto</v>
      </c>
      <c r="J689" s="17">
        <f>IF(Tabela1[[#This Row],[Data de conclusão]]="",NETWORKDAYS(Tabela1[[#This Row],[Data de entrada]],$J$2),NETWORKDAYS(Tabela1[[#This Row],[Data de entrada]],Tabela1[[#This Row],[Data de conclusão]]))</f>
        <v>437</v>
      </c>
      <c r="K689" s="1"/>
    </row>
    <row r="690" spans="2:11" x14ac:dyDescent="0.25">
      <c r="B690" s="3">
        <v>797</v>
      </c>
      <c r="C690" s="3" t="s">
        <v>9</v>
      </c>
      <c r="D690" s="3" t="s">
        <v>16</v>
      </c>
      <c r="E690" s="4">
        <v>42831</v>
      </c>
      <c r="F690" s="4"/>
      <c r="G690" s="3" t="s">
        <v>29</v>
      </c>
      <c r="H690" s="5">
        <v>2964</v>
      </c>
      <c r="I690" s="3" t="str">
        <f>VLOOKUP(Tabela1[[#This Row],[Advogado]],Tabela2[],2,FALSE)</f>
        <v>Renê Amaranto</v>
      </c>
      <c r="J690" s="17">
        <f>IF(Tabela1[[#This Row],[Data de conclusão]]="",NETWORKDAYS(Tabela1[[#This Row],[Data de entrada]],$J$2),NETWORKDAYS(Tabela1[[#This Row],[Data de entrada]],Tabela1[[#This Row],[Data de conclusão]]))</f>
        <v>289</v>
      </c>
      <c r="K690" s="1"/>
    </row>
    <row r="691" spans="2:11" x14ac:dyDescent="0.25">
      <c r="B691" s="3">
        <v>798</v>
      </c>
      <c r="C691" s="3" t="s">
        <v>7</v>
      </c>
      <c r="D691" s="3" t="s">
        <v>17</v>
      </c>
      <c r="E691" s="4">
        <v>43058</v>
      </c>
      <c r="F691" s="4">
        <v>43161</v>
      </c>
      <c r="G691" s="3" t="s">
        <v>28</v>
      </c>
      <c r="H691" s="5">
        <v>24607</v>
      </c>
      <c r="I691" s="3" t="str">
        <f>VLOOKUP(Tabela1[[#This Row],[Advogado]],Tabela2[],2,FALSE)</f>
        <v>Renê Amaranto</v>
      </c>
      <c r="J691" s="17">
        <f>IF(Tabela1[[#This Row],[Data de conclusão]]="",NETWORKDAYS(Tabela1[[#This Row],[Data de entrada]],$J$2),NETWORKDAYS(Tabela1[[#This Row],[Data de entrada]],Tabela1[[#This Row],[Data de conclusão]]))</f>
        <v>75</v>
      </c>
      <c r="K691" s="1"/>
    </row>
    <row r="692" spans="2:11" x14ac:dyDescent="0.25">
      <c r="B692" s="3">
        <v>799</v>
      </c>
      <c r="C692" s="3" t="s">
        <v>8</v>
      </c>
      <c r="D692" s="3" t="s">
        <v>10</v>
      </c>
      <c r="E692" s="4">
        <v>42728</v>
      </c>
      <c r="F692" s="4"/>
      <c r="G692" s="3" t="s">
        <v>27</v>
      </c>
      <c r="H692" s="5">
        <v>51827</v>
      </c>
      <c r="I692" s="3" t="str">
        <f>VLOOKUP(Tabela1[[#This Row],[Advogado]],Tabela2[],2,FALSE)</f>
        <v>Caio Brito</v>
      </c>
      <c r="J692" s="17">
        <f>IF(Tabela1[[#This Row],[Data de conclusão]]="",NETWORKDAYS(Tabela1[[#This Row],[Data de entrada]],$J$2),NETWORKDAYS(Tabela1[[#This Row],[Data de entrada]],Tabela1[[#This Row],[Data de conclusão]]))</f>
        <v>362</v>
      </c>
      <c r="K692" s="1"/>
    </row>
    <row r="693" spans="2:11" x14ac:dyDescent="0.25">
      <c r="B693" s="3">
        <v>800</v>
      </c>
      <c r="C693" s="3" t="s">
        <v>9</v>
      </c>
      <c r="D693" s="3" t="s">
        <v>11</v>
      </c>
      <c r="E693" s="4">
        <v>43092</v>
      </c>
      <c r="F693" s="4"/>
      <c r="G693" s="3" t="s">
        <v>29</v>
      </c>
      <c r="H693" s="5">
        <v>56302</v>
      </c>
      <c r="I693" s="3" t="str">
        <f>VLOOKUP(Tabela1[[#This Row],[Advogado]],Tabela2[],2,FALSE)</f>
        <v>Caio Brito</v>
      </c>
      <c r="J693" s="17">
        <f>IF(Tabela1[[#This Row],[Data de conclusão]]="",NETWORKDAYS(Tabela1[[#This Row],[Data de entrada]],$J$2),NETWORKDAYS(Tabela1[[#This Row],[Data de entrada]],Tabela1[[#This Row],[Data de conclusão]]))</f>
        <v>102</v>
      </c>
      <c r="K693" s="1"/>
    </row>
    <row r="694" spans="2:11" x14ac:dyDescent="0.25">
      <c r="B694" s="3">
        <v>801</v>
      </c>
      <c r="C694" s="3" t="s">
        <v>7</v>
      </c>
      <c r="D694" s="3" t="s">
        <v>12</v>
      </c>
      <c r="E694" s="4">
        <v>42708</v>
      </c>
      <c r="F694" s="4"/>
      <c r="G694" s="3" t="s">
        <v>29</v>
      </c>
      <c r="H694" s="5">
        <v>40514</v>
      </c>
      <c r="I694" s="3" t="str">
        <f>VLOOKUP(Tabela1[[#This Row],[Advogado]],Tabela2[],2,FALSE)</f>
        <v>Caio Brito</v>
      </c>
      <c r="J694" s="17">
        <f>IF(Tabela1[[#This Row],[Data de conclusão]]="",NETWORKDAYS(Tabela1[[#This Row],[Data de entrada]],$J$2),NETWORKDAYS(Tabela1[[#This Row],[Data de entrada]],Tabela1[[#This Row],[Data de conclusão]]))</f>
        <v>377</v>
      </c>
      <c r="K694" s="1"/>
    </row>
    <row r="695" spans="2:11" x14ac:dyDescent="0.25">
      <c r="B695" s="3">
        <v>802</v>
      </c>
      <c r="C695" s="3" t="s">
        <v>8</v>
      </c>
      <c r="D695" s="3" t="s">
        <v>13</v>
      </c>
      <c r="E695" s="4">
        <v>42946</v>
      </c>
      <c r="F695" s="4"/>
      <c r="G695" s="3" t="s">
        <v>29</v>
      </c>
      <c r="H695" s="5">
        <v>3735</v>
      </c>
      <c r="I695" s="3" t="str">
        <f>VLOOKUP(Tabela1[[#This Row],[Advogado]],Tabela2[],2,FALSE)</f>
        <v>Caio Brito</v>
      </c>
      <c r="J695" s="17">
        <f>IF(Tabela1[[#This Row],[Data de conclusão]]="",NETWORKDAYS(Tabela1[[#This Row],[Data de entrada]],$J$2),NETWORKDAYS(Tabela1[[#This Row],[Data de entrada]],Tabela1[[#This Row],[Data de conclusão]]))</f>
        <v>207</v>
      </c>
      <c r="K695" s="1"/>
    </row>
    <row r="696" spans="2:11" x14ac:dyDescent="0.25">
      <c r="B696" s="3">
        <v>803</v>
      </c>
      <c r="C696" s="3" t="s">
        <v>9</v>
      </c>
      <c r="D696" s="3" t="s">
        <v>14</v>
      </c>
      <c r="E696" s="4">
        <v>42481</v>
      </c>
      <c r="F696" s="4"/>
      <c r="G696" s="3" t="s">
        <v>29</v>
      </c>
      <c r="H696" s="5">
        <v>8880</v>
      </c>
      <c r="I696" s="3" t="str">
        <f>VLOOKUP(Tabela1[[#This Row],[Advogado]],Tabela2[],2,FALSE)</f>
        <v>Renê Amaranto</v>
      </c>
      <c r="J696" s="17">
        <f>IF(Tabela1[[#This Row],[Data de conclusão]]="",NETWORKDAYS(Tabela1[[#This Row],[Data de entrada]],$J$2),NETWORKDAYS(Tabela1[[#This Row],[Data de entrada]],Tabela1[[#This Row],[Data de conclusão]]))</f>
        <v>539</v>
      </c>
      <c r="K696" s="1"/>
    </row>
    <row r="697" spans="2:11" x14ac:dyDescent="0.25">
      <c r="B697" s="3">
        <v>804</v>
      </c>
      <c r="C697" s="3" t="s">
        <v>7</v>
      </c>
      <c r="D697" s="3" t="s">
        <v>15</v>
      </c>
      <c r="E697" s="4">
        <v>42539</v>
      </c>
      <c r="F697" s="4"/>
      <c r="G697" s="3" t="s">
        <v>29</v>
      </c>
      <c r="H697" s="5">
        <v>4497</v>
      </c>
      <c r="I697" s="3" t="str">
        <f>VLOOKUP(Tabela1[[#This Row],[Advogado]],Tabela2[],2,FALSE)</f>
        <v>Renê Amaranto</v>
      </c>
      <c r="J697" s="17">
        <f>IF(Tabela1[[#This Row],[Data de conclusão]]="",NETWORKDAYS(Tabela1[[#This Row],[Data de entrada]],$J$2),NETWORKDAYS(Tabela1[[#This Row],[Data de entrada]],Tabela1[[#This Row],[Data de conclusão]]))</f>
        <v>497</v>
      </c>
      <c r="K697" s="1"/>
    </row>
    <row r="698" spans="2:11" x14ac:dyDescent="0.25">
      <c r="B698" s="3">
        <v>805</v>
      </c>
      <c r="C698" s="3" t="s">
        <v>8</v>
      </c>
      <c r="D698" s="3" t="s">
        <v>16</v>
      </c>
      <c r="E698" s="4">
        <v>42449</v>
      </c>
      <c r="F698" s="4"/>
      <c r="G698" s="3" t="s">
        <v>29</v>
      </c>
      <c r="H698" s="5">
        <v>55014</v>
      </c>
      <c r="I698" s="3" t="str">
        <f>VLOOKUP(Tabela1[[#This Row],[Advogado]],Tabela2[],2,FALSE)</f>
        <v>Renê Amaranto</v>
      </c>
      <c r="J698" s="17">
        <f>IF(Tabela1[[#This Row],[Data de conclusão]]="",NETWORKDAYS(Tabela1[[#This Row],[Data de entrada]],$J$2),NETWORKDAYS(Tabela1[[#This Row],[Data de entrada]],Tabela1[[#This Row],[Data de conclusão]]))</f>
        <v>562</v>
      </c>
      <c r="K698" s="1"/>
    </row>
    <row r="699" spans="2:11" x14ac:dyDescent="0.25">
      <c r="B699" s="3">
        <v>806</v>
      </c>
      <c r="C699" s="3" t="s">
        <v>9</v>
      </c>
      <c r="D699" s="3" t="s">
        <v>17</v>
      </c>
      <c r="E699" s="4">
        <v>43054</v>
      </c>
      <c r="F699" s="4"/>
      <c r="G699" s="3" t="s">
        <v>29</v>
      </c>
      <c r="H699" s="5">
        <v>54293</v>
      </c>
      <c r="I699" s="3" t="str">
        <f>VLOOKUP(Tabela1[[#This Row],[Advogado]],Tabela2[],2,FALSE)</f>
        <v>Renê Amaranto</v>
      </c>
      <c r="J699" s="17">
        <f>IF(Tabela1[[#This Row],[Data de conclusão]]="",NETWORKDAYS(Tabela1[[#This Row],[Data de entrada]],$J$2),NETWORKDAYS(Tabela1[[#This Row],[Data de entrada]],Tabela1[[#This Row],[Data de conclusão]]))</f>
        <v>130</v>
      </c>
      <c r="K699" s="1"/>
    </row>
    <row r="700" spans="2:11" x14ac:dyDescent="0.25">
      <c r="B700" s="3">
        <v>807</v>
      </c>
      <c r="C700" s="3" t="s">
        <v>7</v>
      </c>
      <c r="D700" s="3" t="s">
        <v>10</v>
      </c>
      <c r="E700" s="4">
        <v>42519</v>
      </c>
      <c r="F700" s="4"/>
      <c r="G700" s="3" t="s">
        <v>29</v>
      </c>
      <c r="H700" s="5">
        <v>52304</v>
      </c>
      <c r="I700" s="3" t="str">
        <f>VLOOKUP(Tabela1[[#This Row],[Advogado]],Tabela2[],2,FALSE)</f>
        <v>Caio Brito</v>
      </c>
      <c r="J700" s="17">
        <f>IF(Tabela1[[#This Row],[Data de conclusão]]="",NETWORKDAYS(Tabela1[[#This Row],[Data de entrada]],$J$2),NETWORKDAYS(Tabela1[[#This Row],[Data de entrada]],Tabela1[[#This Row],[Data de conclusão]]))</f>
        <v>512</v>
      </c>
      <c r="K700" s="1"/>
    </row>
    <row r="701" spans="2:11" x14ac:dyDescent="0.25">
      <c r="B701" s="3">
        <v>808</v>
      </c>
      <c r="C701" s="3" t="s">
        <v>8</v>
      </c>
      <c r="D701" s="3" t="s">
        <v>11</v>
      </c>
      <c r="E701" s="4">
        <v>42532</v>
      </c>
      <c r="F701" s="4"/>
      <c r="G701" s="3" t="s">
        <v>29</v>
      </c>
      <c r="H701" s="5">
        <v>47324</v>
      </c>
      <c r="I701" s="3" t="str">
        <f>VLOOKUP(Tabela1[[#This Row],[Advogado]],Tabela2[],2,FALSE)</f>
        <v>Caio Brito</v>
      </c>
      <c r="J701" s="17">
        <f>IF(Tabela1[[#This Row],[Data de conclusão]]="",NETWORKDAYS(Tabela1[[#This Row],[Data de entrada]],$J$2),NETWORKDAYS(Tabela1[[#This Row],[Data de entrada]],Tabela1[[#This Row],[Data de conclusão]]))</f>
        <v>502</v>
      </c>
      <c r="K701" s="1"/>
    </row>
    <row r="702" spans="2:11" x14ac:dyDescent="0.25">
      <c r="B702" s="3">
        <v>809</v>
      </c>
      <c r="C702" s="3" t="s">
        <v>9</v>
      </c>
      <c r="D702" s="3" t="s">
        <v>12</v>
      </c>
      <c r="E702" s="4">
        <v>42835</v>
      </c>
      <c r="F702" s="4"/>
      <c r="G702" s="3" t="s">
        <v>29</v>
      </c>
      <c r="H702" s="5">
        <v>33756</v>
      </c>
      <c r="I702" s="3" t="str">
        <f>VLOOKUP(Tabela1[[#This Row],[Advogado]],Tabela2[],2,FALSE)</f>
        <v>Caio Brito</v>
      </c>
      <c r="J702" s="17">
        <f>IF(Tabela1[[#This Row],[Data de conclusão]]="",NETWORKDAYS(Tabela1[[#This Row],[Data de entrada]],$J$2),NETWORKDAYS(Tabela1[[#This Row],[Data de entrada]],Tabela1[[#This Row],[Data de conclusão]]))</f>
        <v>287</v>
      </c>
      <c r="K702" s="1"/>
    </row>
    <row r="703" spans="2:11" x14ac:dyDescent="0.25">
      <c r="B703" s="3">
        <v>810</v>
      </c>
      <c r="C703" s="3" t="s">
        <v>7</v>
      </c>
      <c r="D703" s="3" t="s">
        <v>13</v>
      </c>
      <c r="E703" s="4">
        <v>42436</v>
      </c>
      <c r="F703" s="4"/>
      <c r="G703" s="3" t="s">
        <v>29</v>
      </c>
      <c r="H703" s="5">
        <v>9886</v>
      </c>
      <c r="I703" s="3" t="str">
        <f>VLOOKUP(Tabela1[[#This Row],[Advogado]],Tabela2[],2,FALSE)</f>
        <v>Caio Brito</v>
      </c>
      <c r="J703" s="17">
        <f>IF(Tabela1[[#This Row],[Data de conclusão]]="",NETWORKDAYS(Tabela1[[#This Row],[Data de entrada]],$J$2),NETWORKDAYS(Tabela1[[#This Row],[Data de entrada]],Tabela1[[#This Row],[Data de conclusão]]))</f>
        <v>572</v>
      </c>
      <c r="K703" s="1"/>
    </row>
    <row r="704" spans="2:11" x14ac:dyDescent="0.25">
      <c r="B704" s="3">
        <v>811</v>
      </c>
      <c r="C704" s="3" t="s">
        <v>8</v>
      </c>
      <c r="D704" s="3" t="s">
        <v>14</v>
      </c>
      <c r="E704" s="4">
        <v>42431</v>
      </c>
      <c r="F704" s="4">
        <v>42474</v>
      </c>
      <c r="G704" s="3" t="s">
        <v>28</v>
      </c>
      <c r="H704" s="5">
        <v>28262</v>
      </c>
      <c r="I704" s="3" t="str">
        <f>VLOOKUP(Tabela1[[#This Row],[Advogado]],Tabela2[],2,FALSE)</f>
        <v>Renê Amaranto</v>
      </c>
      <c r="J704" s="17">
        <f>IF(Tabela1[[#This Row],[Data de conclusão]]="",NETWORKDAYS(Tabela1[[#This Row],[Data de entrada]],$J$2),NETWORKDAYS(Tabela1[[#This Row],[Data de entrada]],Tabela1[[#This Row],[Data de conclusão]]))</f>
        <v>32</v>
      </c>
      <c r="K704" s="1"/>
    </row>
    <row r="705" spans="2:11" x14ac:dyDescent="0.25">
      <c r="B705" s="3">
        <v>812</v>
      </c>
      <c r="C705" s="3" t="s">
        <v>9</v>
      </c>
      <c r="D705" s="3" t="s">
        <v>15</v>
      </c>
      <c r="E705" s="4">
        <v>42629</v>
      </c>
      <c r="F705" s="4"/>
      <c r="G705" s="3" t="s">
        <v>27</v>
      </c>
      <c r="H705" s="5">
        <v>5575</v>
      </c>
      <c r="I705" s="3" t="str">
        <f>VLOOKUP(Tabela1[[#This Row],[Advogado]],Tabela2[],2,FALSE)</f>
        <v>Renê Amaranto</v>
      </c>
      <c r="J705" s="17">
        <f>IF(Tabela1[[#This Row],[Data de conclusão]]="",NETWORKDAYS(Tabela1[[#This Row],[Data de entrada]],$J$2),NETWORKDAYS(Tabela1[[#This Row],[Data de entrada]],Tabela1[[#This Row],[Data de conclusão]]))</f>
        <v>433</v>
      </c>
      <c r="K705" s="1"/>
    </row>
    <row r="706" spans="2:11" x14ac:dyDescent="0.25">
      <c r="B706" s="3">
        <v>813</v>
      </c>
      <c r="C706" s="3" t="s">
        <v>7</v>
      </c>
      <c r="D706" s="3" t="s">
        <v>16</v>
      </c>
      <c r="E706" s="4">
        <v>42375</v>
      </c>
      <c r="F706" s="4"/>
      <c r="G706" s="3" t="s">
        <v>29</v>
      </c>
      <c r="H706" s="5">
        <v>19379</v>
      </c>
      <c r="I706" s="3" t="str">
        <f>VLOOKUP(Tabela1[[#This Row],[Advogado]],Tabela2[],2,FALSE)</f>
        <v>Renê Amaranto</v>
      </c>
      <c r="J706" s="17">
        <f>IF(Tabela1[[#This Row],[Data de conclusão]]="",NETWORKDAYS(Tabela1[[#This Row],[Data de entrada]],$J$2),NETWORKDAYS(Tabela1[[#This Row],[Data de entrada]],Tabela1[[#This Row],[Data de conclusão]]))</f>
        <v>615</v>
      </c>
      <c r="K706" s="1"/>
    </row>
    <row r="707" spans="2:11" x14ac:dyDescent="0.25">
      <c r="B707" s="3">
        <v>814</v>
      </c>
      <c r="C707" s="3" t="s">
        <v>8</v>
      </c>
      <c r="D707" s="3" t="s">
        <v>17</v>
      </c>
      <c r="E707" s="4">
        <v>42382</v>
      </c>
      <c r="F707" s="4"/>
      <c r="G707" s="3" t="s">
        <v>29</v>
      </c>
      <c r="H707" s="5">
        <v>13811</v>
      </c>
      <c r="I707" s="3" t="str">
        <f>VLOOKUP(Tabela1[[#This Row],[Advogado]],Tabela2[],2,FALSE)</f>
        <v>Renê Amaranto</v>
      </c>
      <c r="J707" s="17">
        <f>IF(Tabela1[[#This Row],[Data de conclusão]]="",NETWORKDAYS(Tabela1[[#This Row],[Data de entrada]],$J$2),NETWORKDAYS(Tabela1[[#This Row],[Data de entrada]],Tabela1[[#This Row],[Data de conclusão]]))</f>
        <v>610</v>
      </c>
      <c r="K707" s="1"/>
    </row>
    <row r="708" spans="2:11" x14ac:dyDescent="0.25">
      <c r="B708" s="3">
        <v>815</v>
      </c>
      <c r="C708" s="3" t="s">
        <v>9</v>
      </c>
      <c r="D708" s="3" t="s">
        <v>10</v>
      </c>
      <c r="E708" s="4">
        <v>42737</v>
      </c>
      <c r="F708" s="4"/>
      <c r="G708" s="3" t="s">
        <v>29</v>
      </c>
      <c r="H708" s="5">
        <v>45497</v>
      </c>
      <c r="I708" s="3" t="str">
        <f>VLOOKUP(Tabela1[[#This Row],[Advogado]],Tabela2[],2,FALSE)</f>
        <v>Caio Brito</v>
      </c>
      <c r="J708" s="17">
        <f>IF(Tabela1[[#This Row],[Data de conclusão]]="",NETWORKDAYS(Tabela1[[#This Row],[Data de entrada]],$J$2),NETWORKDAYS(Tabela1[[#This Row],[Data de entrada]],Tabela1[[#This Row],[Data de conclusão]]))</f>
        <v>357</v>
      </c>
      <c r="K708" s="1"/>
    </row>
    <row r="709" spans="2:11" x14ac:dyDescent="0.25">
      <c r="B709" s="3">
        <v>816</v>
      </c>
      <c r="C709" s="3" t="s">
        <v>7</v>
      </c>
      <c r="D709" s="3" t="s">
        <v>11</v>
      </c>
      <c r="E709" s="4">
        <v>42444</v>
      </c>
      <c r="F709" s="4"/>
      <c r="G709" s="3" t="s">
        <v>29</v>
      </c>
      <c r="H709" s="5">
        <v>35480</v>
      </c>
      <c r="I709" s="3" t="str">
        <f>VLOOKUP(Tabela1[[#This Row],[Advogado]],Tabela2[],2,FALSE)</f>
        <v>Caio Brito</v>
      </c>
      <c r="J709" s="17">
        <f>IF(Tabela1[[#This Row],[Data de conclusão]]="",NETWORKDAYS(Tabela1[[#This Row],[Data de entrada]],$J$2),NETWORKDAYS(Tabela1[[#This Row],[Data de entrada]],Tabela1[[#This Row],[Data de conclusão]]))</f>
        <v>566</v>
      </c>
      <c r="K709" s="1"/>
    </row>
    <row r="710" spans="2:11" x14ac:dyDescent="0.25">
      <c r="B710" s="3">
        <v>817</v>
      </c>
      <c r="C710" s="3" t="s">
        <v>8</v>
      </c>
      <c r="D710" s="3" t="s">
        <v>12</v>
      </c>
      <c r="E710" s="4">
        <v>42687</v>
      </c>
      <c r="F710" s="4"/>
      <c r="G710" s="3" t="s">
        <v>29</v>
      </c>
      <c r="H710" s="5">
        <v>27982</v>
      </c>
      <c r="I710" s="3" t="str">
        <f>VLOOKUP(Tabela1[[#This Row],[Advogado]],Tabela2[],2,FALSE)</f>
        <v>Caio Brito</v>
      </c>
      <c r="J710" s="17">
        <f>IF(Tabela1[[#This Row],[Data de conclusão]]="",NETWORKDAYS(Tabela1[[#This Row],[Data de entrada]],$J$2),NETWORKDAYS(Tabela1[[#This Row],[Data de entrada]],Tabela1[[#This Row],[Data de conclusão]]))</f>
        <v>392</v>
      </c>
      <c r="K710" s="1"/>
    </row>
    <row r="711" spans="2:11" x14ac:dyDescent="0.25">
      <c r="B711" s="3">
        <v>818</v>
      </c>
      <c r="C711" s="3" t="s">
        <v>9</v>
      </c>
      <c r="D711" s="3" t="s">
        <v>13</v>
      </c>
      <c r="E711" s="4">
        <v>42708</v>
      </c>
      <c r="F711" s="4"/>
      <c r="G711" s="3" t="s">
        <v>29</v>
      </c>
      <c r="H711" s="5">
        <v>32294</v>
      </c>
      <c r="I711" s="3" t="str">
        <f>VLOOKUP(Tabela1[[#This Row],[Advogado]],Tabela2[],2,FALSE)</f>
        <v>Caio Brito</v>
      </c>
      <c r="J711" s="17">
        <f>IF(Tabela1[[#This Row],[Data de conclusão]]="",NETWORKDAYS(Tabela1[[#This Row],[Data de entrada]],$J$2),NETWORKDAYS(Tabela1[[#This Row],[Data de entrada]],Tabela1[[#This Row],[Data de conclusão]]))</f>
        <v>377</v>
      </c>
      <c r="K711" s="1"/>
    </row>
    <row r="712" spans="2:11" x14ac:dyDescent="0.25">
      <c r="B712" s="3">
        <v>819</v>
      </c>
      <c r="C712" s="3" t="s">
        <v>7</v>
      </c>
      <c r="D712" s="3" t="s">
        <v>14</v>
      </c>
      <c r="E712" s="4">
        <v>42517</v>
      </c>
      <c r="F712" s="4"/>
      <c r="G712" s="3" t="s">
        <v>29</v>
      </c>
      <c r="H712" s="5">
        <v>8367</v>
      </c>
      <c r="I712" s="3" t="str">
        <f>VLOOKUP(Tabela1[[#This Row],[Advogado]],Tabela2[],2,FALSE)</f>
        <v>Renê Amaranto</v>
      </c>
      <c r="J712" s="17">
        <f>IF(Tabela1[[#This Row],[Data de conclusão]]="",NETWORKDAYS(Tabela1[[#This Row],[Data de entrada]],$J$2),NETWORKDAYS(Tabela1[[#This Row],[Data de entrada]],Tabela1[[#This Row],[Data de conclusão]]))</f>
        <v>513</v>
      </c>
      <c r="K712" s="1"/>
    </row>
    <row r="713" spans="2:11" x14ac:dyDescent="0.25">
      <c r="B713" s="3">
        <v>820</v>
      </c>
      <c r="C713" s="3" t="s">
        <v>8</v>
      </c>
      <c r="D713" s="3" t="s">
        <v>15</v>
      </c>
      <c r="E713" s="4">
        <v>43071</v>
      </c>
      <c r="F713" s="4"/>
      <c r="G713" s="3" t="s">
        <v>29</v>
      </c>
      <c r="H713" s="5">
        <v>45922</v>
      </c>
      <c r="I713" s="3" t="str">
        <f>VLOOKUP(Tabela1[[#This Row],[Advogado]],Tabela2[],2,FALSE)</f>
        <v>Renê Amaranto</v>
      </c>
      <c r="J713" s="17">
        <f>IF(Tabela1[[#This Row],[Data de conclusão]]="",NETWORKDAYS(Tabela1[[#This Row],[Data de entrada]],$J$2),NETWORKDAYS(Tabela1[[#This Row],[Data de entrada]],Tabela1[[#This Row],[Data de conclusão]]))</f>
        <v>117</v>
      </c>
      <c r="K713" s="1"/>
    </row>
    <row r="714" spans="2:11" x14ac:dyDescent="0.25">
      <c r="B714" s="3">
        <v>821</v>
      </c>
      <c r="C714" s="3" t="s">
        <v>9</v>
      </c>
      <c r="D714" s="3" t="s">
        <v>16</v>
      </c>
      <c r="E714" s="4">
        <v>42574</v>
      </c>
      <c r="F714" s="4"/>
      <c r="G714" s="3" t="s">
        <v>29</v>
      </c>
      <c r="H714" s="5">
        <v>44014</v>
      </c>
      <c r="I714" s="3" t="str">
        <f>VLOOKUP(Tabela1[[#This Row],[Advogado]],Tabela2[],2,FALSE)</f>
        <v>Renê Amaranto</v>
      </c>
      <c r="J714" s="17">
        <f>IF(Tabela1[[#This Row],[Data de conclusão]]="",NETWORKDAYS(Tabela1[[#This Row],[Data de entrada]],$J$2),NETWORKDAYS(Tabela1[[#This Row],[Data de entrada]],Tabela1[[#This Row],[Data de conclusão]]))</f>
        <v>472</v>
      </c>
      <c r="K714" s="1"/>
    </row>
    <row r="715" spans="2:11" x14ac:dyDescent="0.25">
      <c r="B715" s="3">
        <v>822</v>
      </c>
      <c r="C715" s="3" t="s">
        <v>7</v>
      </c>
      <c r="D715" s="3" t="s">
        <v>17</v>
      </c>
      <c r="E715" s="4">
        <v>42607</v>
      </c>
      <c r="F715" s="4"/>
      <c r="G715" s="3" t="s">
        <v>29</v>
      </c>
      <c r="H715" s="5">
        <v>40273</v>
      </c>
      <c r="I715" s="3" t="str">
        <f>VLOOKUP(Tabela1[[#This Row],[Advogado]],Tabela2[],2,FALSE)</f>
        <v>Renê Amaranto</v>
      </c>
      <c r="J715" s="17">
        <f>IF(Tabela1[[#This Row],[Data de conclusão]]="",NETWORKDAYS(Tabela1[[#This Row],[Data de entrada]],$J$2),NETWORKDAYS(Tabela1[[#This Row],[Data de entrada]],Tabela1[[#This Row],[Data de conclusão]]))</f>
        <v>449</v>
      </c>
      <c r="K715" s="1"/>
    </row>
    <row r="716" spans="2:11" x14ac:dyDescent="0.25">
      <c r="B716" s="3">
        <v>823</v>
      </c>
      <c r="C716" s="3" t="s">
        <v>8</v>
      </c>
      <c r="D716" s="3" t="s">
        <v>10</v>
      </c>
      <c r="E716" s="4">
        <v>42438</v>
      </c>
      <c r="F716" s="4"/>
      <c r="G716" s="3" t="s">
        <v>29</v>
      </c>
      <c r="H716" s="5">
        <v>24144</v>
      </c>
      <c r="I716" s="3" t="str">
        <f>VLOOKUP(Tabela1[[#This Row],[Advogado]],Tabela2[],2,FALSE)</f>
        <v>Caio Brito</v>
      </c>
      <c r="J716" s="17">
        <f>IF(Tabela1[[#This Row],[Data de conclusão]]="",NETWORKDAYS(Tabela1[[#This Row],[Data de entrada]],$J$2),NETWORKDAYS(Tabela1[[#This Row],[Data de entrada]],Tabela1[[#This Row],[Data de conclusão]]))</f>
        <v>570</v>
      </c>
      <c r="K716" s="1"/>
    </row>
    <row r="717" spans="2:11" x14ac:dyDescent="0.25">
      <c r="B717" s="3">
        <v>824</v>
      </c>
      <c r="C717" s="3" t="s">
        <v>9</v>
      </c>
      <c r="D717" s="3" t="s">
        <v>11</v>
      </c>
      <c r="E717" s="4">
        <v>42689</v>
      </c>
      <c r="F717" s="4">
        <v>42817</v>
      </c>
      <c r="G717" s="3" t="s">
        <v>28</v>
      </c>
      <c r="H717" s="5">
        <v>37558</v>
      </c>
      <c r="I717" s="3" t="str">
        <f>VLOOKUP(Tabela1[[#This Row],[Advogado]],Tabela2[],2,FALSE)</f>
        <v>Caio Brito</v>
      </c>
      <c r="J717" s="17">
        <f>IF(Tabela1[[#This Row],[Data de conclusão]]="",NETWORKDAYS(Tabela1[[#This Row],[Data de entrada]],$J$2),NETWORKDAYS(Tabela1[[#This Row],[Data de entrada]],Tabela1[[#This Row],[Data de conclusão]]))</f>
        <v>93</v>
      </c>
      <c r="K717" s="1"/>
    </row>
    <row r="718" spans="2:11" x14ac:dyDescent="0.25">
      <c r="B718" s="3">
        <v>825</v>
      </c>
      <c r="C718" s="3" t="s">
        <v>7</v>
      </c>
      <c r="D718" s="3" t="s">
        <v>12</v>
      </c>
      <c r="E718" s="4">
        <v>42967</v>
      </c>
      <c r="F718" s="4"/>
      <c r="G718" s="3" t="s">
        <v>27</v>
      </c>
      <c r="H718" s="5">
        <v>48825</v>
      </c>
      <c r="I718" s="3" t="str">
        <f>VLOOKUP(Tabela1[[#This Row],[Advogado]],Tabela2[],2,FALSE)</f>
        <v>Caio Brito</v>
      </c>
      <c r="J718" s="17">
        <f>IF(Tabela1[[#This Row],[Data de conclusão]]="",NETWORKDAYS(Tabela1[[#This Row],[Data de entrada]],$J$2),NETWORKDAYS(Tabela1[[#This Row],[Data de entrada]],Tabela1[[#This Row],[Data de conclusão]]))</f>
        <v>192</v>
      </c>
      <c r="K718" s="1"/>
    </row>
    <row r="719" spans="2:11" x14ac:dyDescent="0.25">
      <c r="B719" s="3">
        <v>826</v>
      </c>
      <c r="C719" s="3" t="s">
        <v>8</v>
      </c>
      <c r="D719" s="3" t="s">
        <v>13</v>
      </c>
      <c r="E719" s="4">
        <v>42935</v>
      </c>
      <c r="F719" s="4"/>
      <c r="G719" s="3" t="s">
        <v>29</v>
      </c>
      <c r="H719" s="5">
        <v>49584</v>
      </c>
      <c r="I719" s="3" t="str">
        <f>VLOOKUP(Tabela1[[#This Row],[Advogado]],Tabela2[],2,FALSE)</f>
        <v>Caio Brito</v>
      </c>
      <c r="J719" s="17">
        <f>IF(Tabela1[[#This Row],[Data de conclusão]]="",NETWORKDAYS(Tabela1[[#This Row],[Data de entrada]],$J$2),NETWORKDAYS(Tabela1[[#This Row],[Data de entrada]],Tabela1[[#This Row],[Data de conclusão]]))</f>
        <v>215</v>
      </c>
      <c r="K719" s="1"/>
    </row>
    <row r="720" spans="2:11" x14ac:dyDescent="0.25">
      <c r="B720" s="3">
        <v>827</v>
      </c>
      <c r="C720" s="3" t="s">
        <v>9</v>
      </c>
      <c r="D720" s="3" t="s">
        <v>14</v>
      </c>
      <c r="E720" s="4">
        <v>42423</v>
      </c>
      <c r="F720" s="4"/>
      <c r="G720" s="3" t="s">
        <v>29</v>
      </c>
      <c r="H720" s="5">
        <v>37739</v>
      </c>
      <c r="I720" s="3" t="str">
        <f>VLOOKUP(Tabela1[[#This Row],[Advogado]],Tabela2[],2,FALSE)</f>
        <v>Renê Amaranto</v>
      </c>
      <c r="J720" s="17">
        <f>IF(Tabela1[[#This Row],[Data de conclusão]]="",NETWORKDAYS(Tabela1[[#This Row],[Data de entrada]],$J$2),NETWORKDAYS(Tabela1[[#This Row],[Data de entrada]],Tabela1[[#This Row],[Data de conclusão]]))</f>
        <v>581</v>
      </c>
      <c r="K720" s="1"/>
    </row>
    <row r="721" spans="2:11" x14ac:dyDescent="0.25">
      <c r="B721" s="3">
        <v>828</v>
      </c>
      <c r="C721" s="3" t="s">
        <v>7</v>
      </c>
      <c r="D721" s="3" t="s">
        <v>15</v>
      </c>
      <c r="E721" s="4">
        <v>42981</v>
      </c>
      <c r="F721" s="4"/>
      <c r="G721" s="3" t="s">
        <v>29</v>
      </c>
      <c r="H721" s="5">
        <v>53083</v>
      </c>
      <c r="I721" s="3" t="str">
        <f>VLOOKUP(Tabela1[[#This Row],[Advogado]],Tabela2[],2,FALSE)</f>
        <v>Renê Amaranto</v>
      </c>
      <c r="J721" s="17">
        <f>IF(Tabela1[[#This Row],[Data de conclusão]]="",NETWORKDAYS(Tabela1[[#This Row],[Data de entrada]],$J$2),NETWORKDAYS(Tabela1[[#This Row],[Data de entrada]],Tabela1[[#This Row],[Data de conclusão]]))</f>
        <v>182</v>
      </c>
      <c r="K721" s="1"/>
    </row>
    <row r="722" spans="2:11" x14ac:dyDescent="0.25">
      <c r="B722" s="3">
        <v>829</v>
      </c>
      <c r="C722" s="3" t="s">
        <v>8</v>
      </c>
      <c r="D722" s="3" t="s">
        <v>16</v>
      </c>
      <c r="E722" s="4">
        <v>42794</v>
      </c>
      <c r="F722" s="4"/>
      <c r="G722" s="3" t="s">
        <v>29</v>
      </c>
      <c r="H722" s="5">
        <v>4466</v>
      </c>
      <c r="I722" s="3" t="str">
        <f>VLOOKUP(Tabela1[[#This Row],[Advogado]],Tabela2[],2,FALSE)</f>
        <v>Renê Amaranto</v>
      </c>
      <c r="J722" s="17">
        <f>IF(Tabela1[[#This Row],[Data de conclusão]]="",NETWORKDAYS(Tabela1[[#This Row],[Data de entrada]],$J$2),NETWORKDAYS(Tabela1[[#This Row],[Data de entrada]],Tabela1[[#This Row],[Data de conclusão]]))</f>
        <v>316</v>
      </c>
      <c r="K722" s="1"/>
    </row>
    <row r="723" spans="2:11" x14ac:dyDescent="0.25">
      <c r="B723" s="3">
        <v>830</v>
      </c>
      <c r="C723" s="3" t="s">
        <v>9</v>
      </c>
      <c r="D723" s="3" t="s">
        <v>17</v>
      </c>
      <c r="E723" s="4">
        <v>42470</v>
      </c>
      <c r="F723" s="4"/>
      <c r="G723" s="3" t="s">
        <v>29</v>
      </c>
      <c r="H723" s="5">
        <v>4231</v>
      </c>
      <c r="I723" s="3" t="str">
        <f>VLOOKUP(Tabela1[[#This Row],[Advogado]],Tabela2[],2,FALSE)</f>
        <v>Renê Amaranto</v>
      </c>
      <c r="J723" s="17">
        <f>IF(Tabela1[[#This Row],[Data de conclusão]]="",NETWORKDAYS(Tabela1[[#This Row],[Data de entrada]],$J$2),NETWORKDAYS(Tabela1[[#This Row],[Data de entrada]],Tabela1[[#This Row],[Data de conclusão]]))</f>
        <v>547</v>
      </c>
      <c r="K723" s="1"/>
    </row>
    <row r="724" spans="2:11" x14ac:dyDescent="0.25">
      <c r="B724" s="3">
        <v>831</v>
      </c>
      <c r="C724" s="3" t="s">
        <v>7</v>
      </c>
      <c r="D724" s="3" t="s">
        <v>10</v>
      </c>
      <c r="E724" s="4">
        <v>42696</v>
      </c>
      <c r="F724" s="4"/>
      <c r="G724" s="3" t="s">
        <v>29</v>
      </c>
      <c r="H724" s="5">
        <v>53552</v>
      </c>
      <c r="I724" s="3" t="str">
        <f>VLOOKUP(Tabela1[[#This Row],[Advogado]],Tabela2[],2,FALSE)</f>
        <v>Caio Brito</v>
      </c>
      <c r="J724" s="17">
        <f>IF(Tabela1[[#This Row],[Data de conclusão]]="",NETWORKDAYS(Tabela1[[#This Row],[Data de entrada]],$J$2),NETWORKDAYS(Tabela1[[#This Row],[Data de entrada]],Tabela1[[#This Row],[Data de conclusão]]))</f>
        <v>386</v>
      </c>
      <c r="K724" s="1"/>
    </row>
    <row r="725" spans="2:11" x14ac:dyDescent="0.25">
      <c r="B725" s="3">
        <v>832</v>
      </c>
      <c r="C725" s="3" t="s">
        <v>8</v>
      </c>
      <c r="D725" s="3" t="s">
        <v>11</v>
      </c>
      <c r="E725" s="4">
        <v>42527</v>
      </c>
      <c r="F725" s="4"/>
      <c r="G725" s="3" t="s">
        <v>29</v>
      </c>
      <c r="H725" s="5">
        <v>10859</v>
      </c>
      <c r="I725" s="3" t="str">
        <f>VLOOKUP(Tabela1[[#This Row],[Advogado]],Tabela2[],2,FALSE)</f>
        <v>Caio Brito</v>
      </c>
      <c r="J725" s="17">
        <f>IF(Tabela1[[#This Row],[Data de conclusão]]="",NETWORKDAYS(Tabela1[[#This Row],[Data de entrada]],$J$2),NETWORKDAYS(Tabela1[[#This Row],[Data de entrada]],Tabela1[[#This Row],[Data de conclusão]]))</f>
        <v>507</v>
      </c>
      <c r="K725" s="1"/>
    </row>
    <row r="726" spans="2:11" x14ac:dyDescent="0.25">
      <c r="B726" s="3">
        <v>833</v>
      </c>
      <c r="C726" s="3" t="s">
        <v>9</v>
      </c>
      <c r="D726" s="3" t="s">
        <v>12</v>
      </c>
      <c r="E726" s="4">
        <v>42391</v>
      </c>
      <c r="F726" s="4"/>
      <c r="G726" s="3" t="s">
        <v>29</v>
      </c>
      <c r="H726" s="5">
        <v>14306</v>
      </c>
      <c r="I726" s="3" t="str">
        <f>VLOOKUP(Tabela1[[#This Row],[Advogado]],Tabela2[],2,FALSE)</f>
        <v>Caio Brito</v>
      </c>
      <c r="J726" s="17">
        <f>IF(Tabela1[[#This Row],[Data de conclusão]]="",NETWORKDAYS(Tabela1[[#This Row],[Data de entrada]],$J$2),NETWORKDAYS(Tabela1[[#This Row],[Data de entrada]],Tabela1[[#This Row],[Data de conclusão]]))</f>
        <v>603</v>
      </c>
      <c r="K726" s="1"/>
    </row>
    <row r="727" spans="2:11" x14ac:dyDescent="0.25">
      <c r="B727" s="3">
        <v>834</v>
      </c>
      <c r="C727" s="3" t="s">
        <v>7</v>
      </c>
      <c r="D727" s="3" t="s">
        <v>13</v>
      </c>
      <c r="E727" s="4">
        <v>43036</v>
      </c>
      <c r="F727" s="4"/>
      <c r="G727" s="3" t="s">
        <v>29</v>
      </c>
      <c r="H727" s="5">
        <v>36388</v>
      </c>
      <c r="I727" s="3" t="str">
        <f>VLOOKUP(Tabela1[[#This Row],[Advogado]],Tabela2[],2,FALSE)</f>
        <v>Caio Brito</v>
      </c>
      <c r="J727" s="17">
        <f>IF(Tabela1[[#This Row],[Data de conclusão]]="",NETWORKDAYS(Tabela1[[#This Row],[Data de entrada]],$J$2),NETWORKDAYS(Tabela1[[#This Row],[Data de entrada]],Tabela1[[#This Row],[Data de conclusão]]))</f>
        <v>142</v>
      </c>
      <c r="K727" s="1"/>
    </row>
    <row r="728" spans="2:11" x14ac:dyDescent="0.25">
      <c r="B728" s="3">
        <v>835</v>
      </c>
      <c r="C728" s="3" t="s">
        <v>8</v>
      </c>
      <c r="D728" s="3" t="s">
        <v>14</v>
      </c>
      <c r="E728" s="4">
        <v>42588</v>
      </c>
      <c r="F728" s="4"/>
      <c r="G728" s="3" t="s">
        <v>29</v>
      </c>
      <c r="H728" s="5">
        <v>9974</v>
      </c>
      <c r="I728" s="3" t="str">
        <f>VLOOKUP(Tabela1[[#This Row],[Advogado]],Tabela2[],2,FALSE)</f>
        <v>Renê Amaranto</v>
      </c>
      <c r="J728" s="17">
        <f>IF(Tabela1[[#This Row],[Data de conclusão]]="",NETWORKDAYS(Tabela1[[#This Row],[Data de entrada]],$J$2),NETWORKDAYS(Tabela1[[#This Row],[Data de entrada]],Tabela1[[#This Row],[Data de conclusão]]))</f>
        <v>462</v>
      </c>
      <c r="K728" s="1"/>
    </row>
    <row r="729" spans="2:11" x14ac:dyDescent="0.25">
      <c r="B729" s="3">
        <v>836</v>
      </c>
      <c r="C729" s="3" t="s">
        <v>9</v>
      </c>
      <c r="D729" s="3" t="s">
        <v>15</v>
      </c>
      <c r="E729" s="4">
        <v>42871</v>
      </c>
      <c r="F729" s="4"/>
      <c r="G729" s="3" t="s">
        <v>29</v>
      </c>
      <c r="H729" s="5">
        <v>13295</v>
      </c>
      <c r="I729" s="3" t="str">
        <f>VLOOKUP(Tabela1[[#This Row],[Advogado]],Tabela2[],2,FALSE)</f>
        <v>Renê Amaranto</v>
      </c>
      <c r="J729" s="17">
        <f>IF(Tabela1[[#This Row],[Data de conclusão]]="",NETWORKDAYS(Tabela1[[#This Row],[Data de entrada]],$J$2),NETWORKDAYS(Tabela1[[#This Row],[Data de entrada]],Tabela1[[#This Row],[Data de conclusão]]))</f>
        <v>261</v>
      </c>
      <c r="K729" s="1"/>
    </row>
    <row r="730" spans="2:11" x14ac:dyDescent="0.25">
      <c r="B730" s="3">
        <v>837</v>
      </c>
      <c r="C730" s="3" t="s">
        <v>7</v>
      </c>
      <c r="D730" s="3" t="s">
        <v>16</v>
      </c>
      <c r="E730" s="4">
        <v>42666</v>
      </c>
      <c r="F730" s="4">
        <v>42709</v>
      </c>
      <c r="G730" s="3" t="s">
        <v>28</v>
      </c>
      <c r="H730" s="5">
        <v>12574</v>
      </c>
      <c r="I730" s="3" t="str">
        <f>VLOOKUP(Tabela1[[#This Row],[Advogado]],Tabela2[],2,FALSE)</f>
        <v>Renê Amaranto</v>
      </c>
      <c r="J730" s="17">
        <f>IF(Tabela1[[#This Row],[Data de conclusão]]="",NETWORKDAYS(Tabela1[[#This Row],[Data de entrada]],$J$2),NETWORKDAYS(Tabela1[[#This Row],[Data de entrada]],Tabela1[[#This Row],[Data de conclusão]]))</f>
        <v>31</v>
      </c>
      <c r="K730" s="1"/>
    </row>
    <row r="731" spans="2:11" x14ac:dyDescent="0.25">
      <c r="B731" s="3">
        <v>838</v>
      </c>
      <c r="C731" s="3" t="s">
        <v>8</v>
      </c>
      <c r="D731" s="3" t="s">
        <v>17</v>
      </c>
      <c r="E731" s="4">
        <v>42553</v>
      </c>
      <c r="F731" s="4"/>
      <c r="G731" s="3" t="s">
        <v>27</v>
      </c>
      <c r="H731" s="5">
        <v>18814</v>
      </c>
      <c r="I731" s="3" t="str">
        <f>VLOOKUP(Tabela1[[#This Row],[Advogado]],Tabela2[],2,FALSE)</f>
        <v>Renê Amaranto</v>
      </c>
      <c r="J731" s="17">
        <f>IF(Tabela1[[#This Row],[Data de conclusão]]="",NETWORKDAYS(Tabela1[[#This Row],[Data de entrada]],$J$2),NETWORKDAYS(Tabela1[[#This Row],[Data de entrada]],Tabela1[[#This Row],[Data de conclusão]]))</f>
        <v>487</v>
      </c>
      <c r="K731" s="1"/>
    </row>
    <row r="732" spans="2:11" x14ac:dyDescent="0.25">
      <c r="B732" s="3">
        <v>839</v>
      </c>
      <c r="C732" s="3" t="s">
        <v>9</v>
      </c>
      <c r="D732" s="3" t="s">
        <v>10</v>
      </c>
      <c r="E732" s="4">
        <v>42784</v>
      </c>
      <c r="F732" s="4"/>
      <c r="G732" s="3" t="s">
        <v>29</v>
      </c>
      <c r="H732" s="5">
        <v>1294</v>
      </c>
      <c r="I732" s="3" t="str">
        <f>VLOOKUP(Tabela1[[#This Row],[Advogado]],Tabela2[],2,FALSE)</f>
        <v>Caio Brito</v>
      </c>
      <c r="J732" s="17">
        <f>IF(Tabela1[[#This Row],[Data de conclusão]]="",NETWORKDAYS(Tabela1[[#This Row],[Data de entrada]],$J$2),NETWORKDAYS(Tabela1[[#This Row],[Data de entrada]],Tabela1[[#This Row],[Data de conclusão]]))</f>
        <v>322</v>
      </c>
      <c r="K732" s="1"/>
    </row>
    <row r="733" spans="2:11" x14ac:dyDescent="0.25">
      <c r="B733" s="3">
        <v>840</v>
      </c>
      <c r="C733" s="3" t="s">
        <v>7</v>
      </c>
      <c r="D733" s="3" t="s">
        <v>11</v>
      </c>
      <c r="E733" s="4">
        <v>42766</v>
      </c>
      <c r="F733" s="4"/>
      <c r="G733" s="3" t="s">
        <v>29</v>
      </c>
      <c r="H733" s="5">
        <v>26335</v>
      </c>
      <c r="I733" s="3" t="str">
        <f>VLOOKUP(Tabela1[[#This Row],[Advogado]],Tabela2[],2,FALSE)</f>
        <v>Caio Brito</v>
      </c>
      <c r="J733" s="17">
        <f>IF(Tabela1[[#This Row],[Data de conclusão]]="",NETWORKDAYS(Tabela1[[#This Row],[Data de entrada]],$J$2),NETWORKDAYS(Tabela1[[#This Row],[Data de entrada]],Tabela1[[#This Row],[Data de conclusão]]))</f>
        <v>336</v>
      </c>
      <c r="K733" s="1"/>
    </row>
    <row r="734" spans="2:11" x14ac:dyDescent="0.25">
      <c r="B734" s="3">
        <v>841</v>
      </c>
      <c r="C734" s="3" t="s">
        <v>8</v>
      </c>
      <c r="D734" s="3" t="s">
        <v>12</v>
      </c>
      <c r="E734" s="4">
        <v>42380</v>
      </c>
      <c r="F734" s="4"/>
      <c r="G734" s="3" t="s">
        <v>29</v>
      </c>
      <c r="H734" s="5">
        <v>45025</v>
      </c>
      <c r="I734" s="3" t="str">
        <f>VLOOKUP(Tabela1[[#This Row],[Advogado]],Tabela2[],2,FALSE)</f>
        <v>Caio Brito</v>
      </c>
      <c r="J734" s="17">
        <f>IF(Tabela1[[#This Row],[Data de conclusão]]="",NETWORKDAYS(Tabela1[[#This Row],[Data de entrada]],$J$2),NETWORKDAYS(Tabela1[[#This Row],[Data de entrada]],Tabela1[[#This Row],[Data de conclusão]]))</f>
        <v>612</v>
      </c>
      <c r="K734" s="1"/>
    </row>
    <row r="735" spans="2:11" x14ac:dyDescent="0.25">
      <c r="B735" s="3">
        <v>842</v>
      </c>
      <c r="C735" s="3" t="s">
        <v>9</v>
      </c>
      <c r="D735" s="3" t="s">
        <v>13</v>
      </c>
      <c r="E735" s="4">
        <v>42539</v>
      </c>
      <c r="F735" s="4"/>
      <c r="G735" s="3" t="s">
        <v>29</v>
      </c>
      <c r="H735" s="5">
        <v>18944</v>
      </c>
      <c r="I735" s="3" t="str">
        <f>VLOOKUP(Tabela1[[#This Row],[Advogado]],Tabela2[],2,FALSE)</f>
        <v>Caio Brito</v>
      </c>
      <c r="J735" s="17">
        <f>IF(Tabela1[[#This Row],[Data de conclusão]]="",NETWORKDAYS(Tabela1[[#This Row],[Data de entrada]],$J$2),NETWORKDAYS(Tabela1[[#This Row],[Data de entrada]],Tabela1[[#This Row],[Data de conclusão]]))</f>
        <v>497</v>
      </c>
      <c r="K735" s="1"/>
    </row>
    <row r="736" spans="2:11" x14ac:dyDescent="0.25">
      <c r="B736" s="3">
        <v>843</v>
      </c>
      <c r="C736" s="3" t="s">
        <v>7</v>
      </c>
      <c r="D736" s="3" t="s">
        <v>14</v>
      </c>
      <c r="E736" s="4">
        <v>42983</v>
      </c>
      <c r="F736" s="4"/>
      <c r="G736" s="3" t="s">
        <v>29</v>
      </c>
      <c r="H736" s="5">
        <v>38105</v>
      </c>
      <c r="I736" s="3" t="str">
        <f>VLOOKUP(Tabela1[[#This Row],[Advogado]],Tabela2[],2,FALSE)</f>
        <v>Renê Amaranto</v>
      </c>
      <c r="J736" s="17">
        <f>IF(Tabela1[[#This Row],[Data de conclusão]]="",NETWORKDAYS(Tabela1[[#This Row],[Data de entrada]],$J$2),NETWORKDAYS(Tabela1[[#This Row],[Data de entrada]],Tabela1[[#This Row],[Data de conclusão]]))</f>
        <v>181</v>
      </c>
      <c r="K736" s="1"/>
    </row>
    <row r="737" spans="2:11" x14ac:dyDescent="0.25">
      <c r="B737" s="3">
        <v>844</v>
      </c>
      <c r="C737" s="3" t="s">
        <v>8</v>
      </c>
      <c r="D737" s="3" t="s">
        <v>15</v>
      </c>
      <c r="E737" s="4">
        <v>42484</v>
      </c>
      <c r="F737" s="4"/>
      <c r="G737" s="3" t="s">
        <v>29</v>
      </c>
      <c r="H737" s="5">
        <v>38393</v>
      </c>
      <c r="I737" s="3" t="str">
        <f>VLOOKUP(Tabela1[[#This Row],[Advogado]],Tabela2[],2,FALSE)</f>
        <v>Renê Amaranto</v>
      </c>
      <c r="J737" s="17">
        <f>IF(Tabela1[[#This Row],[Data de conclusão]]="",NETWORKDAYS(Tabela1[[#This Row],[Data de entrada]],$J$2),NETWORKDAYS(Tabela1[[#This Row],[Data de entrada]],Tabela1[[#This Row],[Data de conclusão]]))</f>
        <v>537</v>
      </c>
      <c r="K737" s="1"/>
    </row>
    <row r="738" spans="2:11" x14ac:dyDescent="0.25">
      <c r="B738" s="3">
        <v>845</v>
      </c>
      <c r="C738" s="3" t="s">
        <v>9</v>
      </c>
      <c r="D738" s="3" t="s">
        <v>16</v>
      </c>
      <c r="E738" s="4">
        <v>42777</v>
      </c>
      <c r="F738" s="4"/>
      <c r="G738" s="3" t="s">
        <v>29</v>
      </c>
      <c r="H738" s="5">
        <v>45658</v>
      </c>
      <c r="I738" s="3" t="str">
        <f>VLOOKUP(Tabela1[[#This Row],[Advogado]],Tabela2[],2,FALSE)</f>
        <v>Renê Amaranto</v>
      </c>
      <c r="J738" s="17">
        <f>IF(Tabela1[[#This Row],[Data de conclusão]]="",NETWORKDAYS(Tabela1[[#This Row],[Data de entrada]],$J$2),NETWORKDAYS(Tabela1[[#This Row],[Data de entrada]],Tabela1[[#This Row],[Data de conclusão]]))</f>
        <v>327</v>
      </c>
      <c r="K738" s="1"/>
    </row>
    <row r="739" spans="2:11" x14ac:dyDescent="0.25">
      <c r="B739" s="3">
        <v>846</v>
      </c>
      <c r="C739" s="3" t="s">
        <v>7</v>
      </c>
      <c r="D739" s="3" t="s">
        <v>17</v>
      </c>
      <c r="E739" s="4">
        <v>42513</v>
      </c>
      <c r="F739" s="4"/>
      <c r="G739" s="3" t="s">
        <v>29</v>
      </c>
      <c r="H739" s="5">
        <v>19547</v>
      </c>
      <c r="I739" s="3" t="str">
        <f>VLOOKUP(Tabela1[[#This Row],[Advogado]],Tabela2[],2,FALSE)</f>
        <v>Renê Amaranto</v>
      </c>
      <c r="J739" s="17">
        <f>IF(Tabela1[[#This Row],[Data de conclusão]]="",NETWORKDAYS(Tabela1[[#This Row],[Data de entrada]],$J$2),NETWORKDAYS(Tabela1[[#This Row],[Data de entrada]],Tabela1[[#This Row],[Data de conclusão]]))</f>
        <v>517</v>
      </c>
      <c r="K739" s="1"/>
    </row>
    <row r="740" spans="2:11" x14ac:dyDescent="0.25">
      <c r="B740" s="3">
        <v>847</v>
      </c>
      <c r="C740" s="3" t="s">
        <v>8</v>
      </c>
      <c r="D740" s="3" t="s">
        <v>10</v>
      </c>
      <c r="E740" s="4">
        <v>43050</v>
      </c>
      <c r="F740" s="4"/>
      <c r="G740" s="3" t="s">
        <v>29</v>
      </c>
      <c r="H740" s="5">
        <v>34776</v>
      </c>
      <c r="I740" s="3" t="str">
        <f>VLOOKUP(Tabela1[[#This Row],[Advogado]],Tabela2[],2,FALSE)</f>
        <v>Caio Brito</v>
      </c>
      <c r="J740" s="17">
        <f>IF(Tabela1[[#This Row],[Data de conclusão]]="",NETWORKDAYS(Tabela1[[#This Row],[Data de entrada]],$J$2),NETWORKDAYS(Tabela1[[#This Row],[Data de entrada]],Tabela1[[#This Row],[Data de conclusão]]))</f>
        <v>132</v>
      </c>
      <c r="K740" s="1"/>
    </row>
    <row r="741" spans="2:11" x14ac:dyDescent="0.25">
      <c r="B741" s="3">
        <v>848</v>
      </c>
      <c r="C741" s="3" t="s">
        <v>9</v>
      </c>
      <c r="D741" s="3" t="s">
        <v>11</v>
      </c>
      <c r="E741" s="4">
        <v>42489</v>
      </c>
      <c r="F741" s="4"/>
      <c r="G741" s="3" t="s">
        <v>29</v>
      </c>
      <c r="H741" s="5">
        <v>50553</v>
      </c>
      <c r="I741" s="3" t="str">
        <f>VLOOKUP(Tabela1[[#This Row],[Advogado]],Tabela2[],2,FALSE)</f>
        <v>Caio Brito</v>
      </c>
      <c r="J741" s="17">
        <f>IF(Tabela1[[#This Row],[Data de conclusão]]="",NETWORKDAYS(Tabela1[[#This Row],[Data de entrada]],$J$2),NETWORKDAYS(Tabela1[[#This Row],[Data de entrada]],Tabela1[[#This Row],[Data de conclusão]]))</f>
        <v>533</v>
      </c>
      <c r="K741" s="1"/>
    </row>
    <row r="742" spans="2:11" x14ac:dyDescent="0.25">
      <c r="B742" s="3">
        <v>849</v>
      </c>
      <c r="C742" s="3" t="s">
        <v>7</v>
      </c>
      <c r="D742" s="3" t="s">
        <v>12</v>
      </c>
      <c r="E742" s="4">
        <v>42862</v>
      </c>
      <c r="F742" s="4"/>
      <c r="G742" s="3" t="s">
        <v>29</v>
      </c>
      <c r="H742" s="5">
        <v>1332</v>
      </c>
      <c r="I742" s="3" t="str">
        <f>VLOOKUP(Tabela1[[#This Row],[Advogado]],Tabela2[],2,FALSE)</f>
        <v>Caio Brito</v>
      </c>
      <c r="J742" s="17">
        <f>IF(Tabela1[[#This Row],[Data de conclusão]]="",NETWORKDAYS(Tabela1[[#This Row],[Data de entrada]],$J$2),NETWORKDAYS(Tabela1[[#This Row],[Data de entrada]],Tabela1[[#This Row],[Data de conclusão]]))</f>
        <v>267</v>
      </c>
      <c r="K742" s="1"/>
    </row>
    <row r="743" spans="2:11" x14ac:dyDescent="0.25">
      <c r="B743" s="3">
        <v>850</v>
      </c>
      <c r="C743" s="3" t="s">
        <v>8</v>
      </c>
      <c r="D743" s="3" t="s">
        <v>13</v>
      </c>
      <c r="E743" s="4">
        <v>42704</v>
      </c>
      <c r="F743" s="4">
        <v>42791</v>
      </c>
      <c r="G743" s="3" t="s">
        <v>28</v>
      </c>
      <c r="H743" s="5">
        <v>24401</v>
      </c>
      <c r="I743" s="3" t="str">
        <f>VLOOKUP(Tabela1[[#This Row],[Advogado]],Tabela2[],2,FALSE)</f>
        <v>Caio Brito</v>
      </c>
      <c r="J743" s="17">
        <f>IF(Tabela1[[#This Row],[Data de conclusão]]="",NETWORKDAYS(Tabela1[[#This Row],[Data de entrada]],$J$2),NETWORKDAYS(Tabela1[[#This Row],[Data de entrada]],Tabela1[[#This Row],[Data de conclusão]]))</f>
        <v>63</v>
      </c>
      <c r="K743" s="1"/>
    </row>
    <row r="744" spans="2:11" x14ac:dyDescent="0.25">
      <c r="B744" s="3">
        <v>851</v>
      </c>
      <c r="C744" s="3" t="s">
        <v>9</v>
      </c>
      <c r="D744" s="3" t="s">
        <v>14</v>
      </c>
      <c r="E744" s="4">
        <v>42632</v>
      </c>
      <c r="F744" s="4"/>
      <c r="G744" s="3" t="s">
        <v>27</v>
      </c>
      <c r="H744" s="5">
        <v>28836</v>
      </c>
      <c r="I744" s="3" t="str">
        <f>VLOOKUP(Tabela1[[#This Row],[Advogado]],Tabela2[],2,FALSE)</f>
        <v>Renê Amaranto</v>
      </c>
      <c r="J744" s="17">
        <f>IF(Tabela1[[#This Row],[Data de conclusão]]="",NETWORKDAYS(Tabela1[[#This Row],[Data de entrada]],$J$2),NETWORKDAYS(Tabela1[[#This Row],[Data de entrada]],Tabela1[[#This Row],[Data de conclusão]]))</f>
        <v>432</v>
      </c>
      <c r="K744" s="1"/>
    </row>
    <row r="745" spans="2:11" x14ac:dyDescent="0.25">
      <c r="B745" s="3">
        <v>852</v>
      </c>
      <c r="C745" s="3" t="s">
        <v>7</v>
      </c>
      <c r="D745" s="3" t="s">
        <v>15</v>
      </c>
      <c r="E745" s="4">
        <v>42645</v>
      </c>
      <c r="F745" s="4"/>
      <c r="G745" s="3" t="s">
        <v>29</v>
      </c>
      <c r="H745" s="5">
        <v>57600</v>
      </c>
      <c r="I745" s="3" t="str">
        <f>VLOOKUP(Tabela1[[#This Row],[Advogado]],Tabela2[],2,FALSE)</f>
        <v>Renê Amaranto</v>
      </c>
      <c r="J745" s="17">
        <f>IF(Tabela1[[#This Row],[Data de conclusão]]="",NETWORKDAYS(Tabela1[[#This Row],[Data de entrada]],$J$2),NETWORKDAYS(Tabela1[[#This Row],[Data de entrada]],Tabela1[[#This Row],[Data de conclusão]]))</f>
        <v>422</v>
      </c>
      <c r="K745" s="1"/>
    </row>
    <row r="746" spans="2:11" x14ac:dyDescent="0.25">
      <c r="B746" s="3">
        <v>853</v>
      </c>
      <c r="C746" s="3" t="s">
        <v>8</v>
      </c>
      <c r="D746" s="3" t="s">
        <v>16</v>
      </c>
      <c r="E746" s="4">
        <v>42835</v>
      </c>
      <c r="F746" s="4"/>
      <c r="G746" s="3" t="s">
        <v>29</v>
      </c>
      <c r="H746" s="5">
        <v>32550</v>
      </c>
      <c r="I746" s="3" t="str">
        <f>VLOOKUP(Tabela1[[#This Row],[Advogado]],Tabela2[],2,FALSE)</f>
        <v>Renê Amaranto</v>
      </c>
      <c r="J746" s="17">
        <f>IF(Tabela1[[#This Row],[Data de conclusão]]="",NETWORKDAYS(Tabela1[[#This Row],[Data de entrada]],$J$2),NETWORKDAYS(Tabela1[[#This Row],[Data de entrada]],Tabela1[[#This Row],[Data de conclusão]]))</f>
        <v>287</v>
      </c>
      <c r="K746" s="1"/>
    </row>
    <row r="747" spans="2:11" x14ac:dyDescent="0.25">
      <c r="B747" s="3">
        <v>854</v>
      </c>
      <c r="C747" s="3" t="s">
        <v>9</v>
      </c>
      <c r="D747" s="3" t="s">
        <v>17</v>
      </c>
      <c r="E747" s="4">
        <v>43077</v>
      </c>
      <c r="F747" s="4"/>
      <c r="G747" s="3" t="s">
        <v>29</v>
      </c>
      <c r="H747" s="5">
        <v>57725</v>
      </c>
      <c r="I747" s="3" t="str">
        <f>VLOOKUP(Tabela1[[#This Row],[Advogado]],Tabela2[],2,FALSE)</f>
        <v>Renê Amaranto</v>
      </c>
      <c r="J747" s="17">
        <f>IF(Tabela1[[#This Row],[Data de conclusão]]="",NETWORKDAYS(Tabela1[[#This Row],[Data de entrada]],$J$2),NETWORKDAYS(Tabela1[[#This Row],[Data de entrada]],Tabela1[[#This Row],[Data de conclusão]]))</f>
        <v>113</v>
      </c>
      <c r="K747" s="1"/>
    </row>
    <row r="748" spans="2:11" x14ac:dyDescent="0.25">
      <c r="B748" s="3">
        <v>855</v>
      </c>
      <c r="C748" s="3" t="s">
        <v>7</v>
      </c>
      <c r="D748" s="3" t="s">
        <v>10</v>
      </c>
      <c r="E748" s="4">
        <v>42706</v>
      </c>
      <c r="F748" s="4"/>
      <c r="G748" s="3" t="s">
        <v>29</v>
      </c>
      <c r="H748" s="5">
        <v>14425</v>
      </c>
      <c r="I748" s="3" t="str">
        <f>VLOOKUP(Tabela1[[#This Row],[Advogado]],Tabela2[],2,FALSE)</f>
        <v>Caio Brito</v>
      </c>
      <c r="J748" s="17">
        <f>IF(Tabela1[[#This Row],[Data de conclusão]]="",NETWORKDAYS(Tabela1[[#This Row],[Data de entrada]],$J$2),NETWORKDAYS(Tabela1[[#This Row],[Data de entrada]],Tabela1[[#This Row],[Data de conclusão]]))</f>
        <v>378</v>
      </c>
      <c r="K748" s="1"/>
    </row>
    <row r="749" spans="2:11" x14ac:dyDescent="0.25">
      <c r="B749" s="3">
        <v>856</v>
      </c>
      <c r="C749" s="3" t="s">
        <v>8</v>
      </c>
      <c r="D749" s="3" t="s">
        <v>11</v>
      </c>
      <c r="E749" s="4">
        <v>42821</v>
      </c>
      <c r="F749" s="4"/>
      <c r="G749" s="3" t="s">
        <v>29</v>
      </c>
      <c r="H749" s="5">
        <v>4734</v>
      </c>
      <c r="I749" s="3" t="str">
        <f>VLOOKUP(Tabela1[[#This Row],[Advogado]],Tabela2[],2,FALSE)</f>
        <v>Caio Brito</v>
      </c>
      <c r="J749" s="17">
        <f>IF(Tabela1[[#This Row],[Data de conclusão]]="",NETWORKDAYS(Tabela1[[#This Row],[Data de entrada]],$J$2),NETWORKDAYS(Tabela1[[#This Row],[Data de entrada]],Tabela1[[#This Row],[Data de conclusão]]))</f>
        <v>297</v>
      </c>
      <c r="K749" s="1"/>
    </row>
    <row r="750" spans="2:11" x14ac:dyDescent="0.25">
      <c r="B750" s="3">
        <v>857</v>
      </c>
      <c r="C750" s="3" t="s">
        <v>9</v>
      </c>
      <c r="D750" s="3" t="s">
        <v>12</v>
      </c>
      <c r="E750" s="4">
        <v>43078</v>
      </c>
      <c r="F750" s="4"/>
      <c r="G750" s="3" t="s">
        <v>29</v>
      </c>
      <c r="H750" s="5">
        <v>14226</v>
      </c>
      <c r="I750" s="3" t="str">
        <f>VLOOKUP(Tabela1[[#This Row],[Advogado]],Tabela2[],2,FALSE)</f>
        <v>Caio Brito</v>
      </c>
      <c r="J750" s="17">
        <f>IF(Tabela1[[#This Row],[Data de conclusão]]="",NETWORKDAYS(Tabela1[[#This Row],[Data de entrada]],$J$2),NETWORKDAYS(Tabela1[[#This Row],[Data de entrada]],Tabela1[[#This Row],[Data de conclusão]]))</f>
        <v>112</v>
      </c>
      <c r="K750" s="1"/>
    </row>
    <row r="751" spans="2:11" x14ac:dyDescent="0.25">
      <c r="B751" s="3">
        <v>858</v>
      </c>
      <c r="C751" s="3" t="s">
        <v>7</v>
      </c>
      <c r="D751" s="3" t="s">
        <v>13</v>
      </c>
      <c r="E751" s="4">
        <v>42696</v>
      </c>
      <c r="F751" s="4"/>
      <c r="G751" s="3" t="s">
        <v>29</v>
      </c>
      <c r="H751" s="5">
        <v>46448</v>
      </c>
      <c r="I751" s="3" t="str">
        <f>VLOOKUP(Tabela1[[#This Row],[Advogado]],Tabela2[],2,FALSE)</f>
        <v>Caio Brito</v>
      </c>
      <c r="J751" s="17">
        <f>IF(Tabela1[[#This Row],[Data de conclusão]]="",NETWORKDAYS(Tabela1[[#This Row],[Data de entrada]],$J$2),NETWORKDAYS(Tabela1[[#This Row],[Data de entrada]],Tabela1[[#This Row],[Data de conclusão]]))</f>
        <v>386</v>
      </c>
      <c r="K751" s="1"/>
    </row>
    <row r="752" spans="2:11" x14ac:dyDescent="0.25">
      <c r="B752" s="3">
        <v>859</v>
      </c>
      <c r="C752" s="3" t="s">
        <v>8</v>
      </c>
      <c r="D752" s="3" t="s">
        <v>14</v>
      </c>
      <c r="E752" s="4">
        <v>42907</v>
      </c>
      <c r="F752" s="4"/>
      <c r="G752" s="3" t="s">
        <v>29</v>
      </c>
      <c r="H752" s="5">
        <v>1160</v>
      </c>
      <c r="I752" s="3" t="str">
        <f>VLOOKUP(Tabela1[[#This Row],[Advogado]],Tabela2[],2,FALSE)</f>
        <v>Renê Amaranto</v>
      </c>
      <c r="J752" s="17">
        <f>IF(Tabela1[[#This Row],[Data de conclusão]]="",NETWORKDAYS(Tabela1[[#This Row],[Data de entrada]],$J$2),NETWORKDAYS(Tabela1[[#This Row],[Data de entrada]],Tabela1[[#This Row],[Data de conclusão]]))</f>
        <v>235</v>
      </c>
      <c r="K752" s="1"/>
    </row>
    <row r="753" spans="2:11" x14ac:dyDescent="0.25">
      <c r="B753" s="3">
        <v>860</v>
      </c>
      <c r="C753" s="3" t="s">
        <v>9</v>
      </c>
      <c r="D753" s="3" t="s">
        <v>15</v>
      </c>
      <c r="E753" s="4">
        <v>42772</v>
      </c>
      <c r="F753" s="4"/>
      <c r="G753" s="3" t="s">
        <v>29</v>
      </c>
      <c r="H753" s="5">
        <v>2668</v>
      </c>
      <c r="I753" s="3" t="str">
        <f>VLOOKUP(Tabela1[[#This Row],[Advogado]],Tabela2[],2,FALSE)</f>
        <v>Renê Amaranto</v>
      </c>
      <c r="J753" s="17">
        <f>IF(Tabela1[[#This Row],[Data de conclusão]]="",NETWORKDAYS(Tabela1[[#This Row],[Data de entrada]],$J$2),NETWORKDAYS(Tabela1[[#This Row],[Data de entrada]],Tabela1[[#This Row],[Data de conclusão]]))</f>
        <v>332</v>
      </c>
      <c r="K753" s="1"/>
    </row>
    <row r="754" spans="2:11" x14ac:dyDescent="0.25">
      <c r="B754" s="3">
        <v>861</v>
      </c>
      <c r="C754" s="3" t="s">
        <v>7</v>
      </c>
      <c r="D754" s="3" t="s">
        <v>16</v>
      </c>
      <c r="E754" s="4">
        <v>42946</v>
      </c>
      <c r="F754" s="4"/>
      <c r="G754" s="3" t="s">
        <v>29</v>
      </c>
      <c r="H754" s="5">
        <v>25527</v>
      </c>
      <c r="I754" s="3" t="str">
        <f>VLOOKUP(Tabela1[[#This Row],[Advogado]],Tabela2[],2,FALSE)</f>
        <v>Renê Amaranto</v>
      </c>
      <c r="J754" s="17">
        <f>IF(Tabela1[[#This Row],[Data de conclusão]]="",NETWORKDAYS(Tabela1[[#This Row],[Data de entrada]],$J$2),NETWORKDAYS(Tabela1[[#This Row],[Data de entrada]],Tabela1[[#This Row],[Data de conclusão]]))</f>
        <v>207</v>
      </c>
      <c r="K754" s="1"/>
    </row>
    <row r="755" spans="2:11" x14ac:dyDescent="0.25">
      <c r="B755" s="3">
        <v>862</v>
      </c>
      <c r="C755" s="3" t="s">
        <v>8</v>
      </c>
      <c r="D755" s="3" t="s">
        <v>17</v>
      </c>
      <c r="E755" s="4">
        <v>42736</v>
      </c>
      <c r="F755" s="4"/>
      <c r="G755" s="3" t="s">
        <v>29</v>
      </c>
      <c r="H755" s="5">
        <v>33323</v>
      </c>
      <c r="I755" s="3" t="str">
        <f>VLOOKUP(Tabela1[[#This Row],[Advogado]],Tabela2[],2,FALSE)</f>
        <v>Renê Amaranto</v>
      </c>
      <c r="J755" s="17">
        <f>IF(Tabela1[[#This Row],[Data de conclusão]]="",NETWORKDAYS(Tabela1[[#This Row],[Data de entrada]],$J$2),NETWORKDAYS(Tabela1[[#This Row],[Data de entrada]],Tabela1[[#This Row],[Data de conclusão]]))</f>
        <v>357</v>
      </c>
      <c r="K755" s="1"/>
    </row>
    <row r="756" spans="2:11" x14ac:dyDescent="0.25">
      <c r="B756" s="3">
        <v>863</v>
      </c>
      <c r="C756" s="3" t="s">
        <v>9</v>
      </c>
      <c r="D756" s="3" t="s">
        <v>10</v>
      </c>
      <c r="E756" s="4">
        <v>42541</v>
      </c>
      <c r="F756" s="4">
        <v>42604</v>
      </c>
      <c r="G756" s="3" t="s">
        <v>28</v>
      </c>
      <c r="H756" s="5">
        <v>6406</v>
      </c>
      <c r="I756" s="3" t="str">
        <f>VLOOKUP(Tabela1[[#This Row],[Advogado]],Tabela2[],2,FALSE)</f>
        <v>Caio Brito</v>
      </c>
      <c r="J756" s="17">
        <f>IF(Tabela1[[#This Row],[Data de conclusão]]="",NETWORKDAYS(Tabela1[[#This Row],[Data de entrada]],$J$2),NETWORKDAYS(Tabela1[[#This Row],[Data de entrada]],Tabela1[[#This Row],[Data de conclusão]]))</f>
        <v>46</v>
      </c>
      <c r="K756" s="1"/>
    </row>
    <row r="757" spans="2:11" x14ac:dyDescent="0.25">
      <c r="B757" s="3">
        <v>864</v>
      </c>
      <c r="C757" s="3" t="s">
        <v>7</v>
      </c>
      <c r="D757" s="3" t="s">
        <v>11</v>
      </c>
      <c r="E757" s="4">
        <v>42710</v>
      </c>
      <c r="F757" s="4"/>
      <c r="G757" s="3" t="s">
        <v>27</v>
      </c>
      <c r="H757" s="5">
        <v>46846</v>
      </c>
      <c r="I757" s="3" t="str">
        <f>VLOOKUP(Tabela1[[#This Row],[Advogado]],Tabela2[],2,FALSE)</f>
        <v>Caio Brito</v>
      </c>
      <c r="J757" s="17">
        <f>IF(Tabela1[[#This Row],[Data de conclusão]]="",NETWORKDAYS(Tabela1[[#This Row],[Data de entrada]],$J$2),NETWORKDAYS(Tabela1[[#This Row],[Data de entrada]],Tabela1[[#This Row],[Data de conclusão]]))</f>
        <v>376</v>
      </c>
      <c r="K757" s="1"/>
    </row>
    <row r="758" spans="2:11" x14ac:dyDescent="0.25">
      <c r="B758" s="3">
        <v>865</v>
      </c>
      <c r="C758" s="3" t="s">
        <v>8</v>
      </c>
      <c r="D758" s="3" t="s">
        <v>12</v>
      </c>
      <c r="E758" s="4">
        <v>42947</v>
      </c>
      <c r="F758" s="4"/>
      <c r="G758" s="3" t="s">
        <v>29</v>
      </c>
      <c r="H758" s="5">
        <v>21197</v>
      </c>
      <c r="I758" s="3" t="str">
        <f>VLOOKUP(Tabela1[[#This Row],[Advogado]],Tabela2[],2,FALSE)</f>
        <v>Caio Brito</v>
      </c>
      <c r="J758" s="17">
        <f>IF(Tabela1[[#This Row],[Data de conclusão]]="",NETWORKDAYS(Tabela1[[#This Row],[Data de entrada]],$J$2),NETWORKDAYS(Tabela1[[#This Row],[Data de entrada]],Tabela1[[#This Row],[Data de conclusão]]))</f>
        <v>207</v>
      </c>
      <c r="K758" s="1"/>
    </row>
    <row r="759" spans="2:11" x14ac:dyDescent="0.25">
      <c r="B759" s="3">
        <v>866</v>
      </c>
      <c r="C759" s="3" t="s">
        <v>9</v>
      </c>
      <c r="D759" s="3" t="s">
        <v>13</v>
      </c>
      <c r="E759" s="4">
        <v>43002</v>
      </c>
      <c r="F759" s="4"/>
      <c r="G759" s="3" t="s">
        <v>29</v>
      </c>
      <c r="H759" s="5">
        <v>42027</v>
      </c>
      <c r="I759" s="3" t="str">
        <f>VLOOKUP(Tabela1[[#This Row],[Advogado]],Tabela2[],2,FALSE)</f>
        <v>Caio Brito</v>
      </c>
      <c r="J759" s="17">
        <f>IF(Tabela1[[#This Row],[Data de conclusão]]="",NETWORKDAYS(Tabela1[[#This Row],[Data de entrada]],$J$2),NETWORKDAYS(Tabela1[[#This Row],[Data de entrada]],Tabela1[[#This Row],[Data de conclusão]]))</f>
        <v>167</v>
      </c>
      <c r="K759" s="1"/>
    </row>
    <row r="760" spans="2:11" x14ac:dyDescent="0.25">
      <c r="B760" s="3">
        <v>867</v>
      </c>
      <c r="C760" s="3" t="s">
        <v>7</v>
      </c>
      <c r="D760" s="3" t="s">
        <v>14</v>
      </c>
      <c r="E760" s="4">
        <v>42750</v>
      </c>
      <c r="F760" s="4"/>
      <c r="G760" s="3" t="s">
        <v>29</v>
      </c>
      <c r="H760" s="5">
        <v>28073</v>
      </c>
      <c r="I760" s="3" t="str">
        <f>VLOOKUP(Tabela1[[#This Row],[Advogado]],Tabela2[],2,FALSE)</f>
        <v>Renê Amaranto</v>
      </c>
      <c r="J760" s="17">
        <f>IF(Tabela1[[#This Row],[Data de conclusão]]="",NETWORKDAYS(Tabela1[[#This Row],[Data de entrada]],$J$2),NETWORKDAYS(Tabela1[[#This Row],[Data de entrada]],Tabela1[[#This Row],[Data de conclusão]]))</f>
        <v>347</v>
      </c>
      <c r="K760" s="1"/>
    </row>
    <row r="761" spans="2:11" x14ac:dyDescent="0.25">
      <c r="B761" s="3">
        <v>868</v>
      </c>
      <c r="C761" s="3" t="s">
        <v>8</v>
      </c>
      <c r="D761" s="3" t="s">
        <v>15</v>
      </c>
      <c r="E761" s="4">
        <v>42672</v>
      </c>
      <c r="F761" s="4"/>
      <c r="G761" s="3" t="s">
        <v>29</v>
      </c>
      <c r="H761" s="5">
        <v>21988</v>
      </c>
      <c r="I761" s="3" t="str">
        <f>VLOOKUP(Tabela1[[#This Row],[Advogado]],Tabela2[],2,FALSE)</f>
        <v>Renê Amaranto</v>
      </c>
      <c r="J761" s="17">
        <f>IF(Tabela1[[#This Row],[Data de conclusão]]="",NETWORKDAYS(Tabela1[[#This Row],[Data de entrada]],$J$2),NETWORKDAYS(Tabela1[[#This Row],[Data de entrada]],Tabela1[[#This Row],[Data de conclusão]]))</f>
        <v>402</v>
      </c>
      <c r="K761" s="1"/>
    </row>
    <row r="762" spans="2:11" x14ac:dyDescent="0.25">
      <c r="B762" s="3">
        <v>869</v>
      </c>
      <c r="C762" s="3" t="s">
        <v>9</v>
      </c>
      <c r="D762" s="3" t="s">
        <v>16</v>
      </c>
      <c r="E762" s="4">
        <v>43052</v>
      </c>
      <c r="F762" s="4"/>
      <c r="G762" s="3" t="s">
        <v>29</v>
      </c>
      <c r="H762" s="5">
        <v>23030</v>
      </c>
      <c r="I762" s="3" t="str">
        <f>VLOOKUP(Tabela1[[#This Row],[Advogado]],Tabela2[],2,FALSE)</f>
        <v>Renê Amaranto</v>
      </c>
      <c r="J762" s="17">
        <f>IF(Tabela1[[#This Row],[Data de conclusão]]="",NETWORKDAYS(Tabela1[[#This Row],[Data de entrada]],$J$2),NETWORKDAYS(Tabela1[[#This Row],[Data de entrada]],Tabela1[[#This Row],[Data de conclusão]]))</f>
        <v>132</v>
      </c>
      <c r="K762" s="1"/>
    </row>
    <row r="763" spans="2:11" x14ac:dyDescent="0.25">
      <c r="B763" s="3">
        <v>870</v>
      </c>
      <c r="C763" s="3" t="s">
        <v>7</v>
      </c>
      <c r="D763" s="3" t="s">
        <v>17</v>
      </c>
      <c r="E763" s="4">
        <v>42898</v>
      </c>
      <c r="F763" s="4"/>
      <c r="G763" s="3" t="s">
        <v>29</v>
      </c>
      <c r="H763" s="5">
        <v>49555</v>
      </c>
      <c r="I763" s="3" t="str">
        <f>VLOOKUP(Tabela1[[#This Row],[Advogado]],Tabela2[],2,FALSE)</f>
        <v>Renê Amaranto</v>
      </c>
      <c r="J763" s="17">
        <f>IF(Tabela1[[#This Row],[Data de conclusão]]="",NETWORKDAYS(Tabela1[[#This Row],[Data de entrada]],$J$2),NETWORKDAYS(Tabela1[[#This Row],[Data de entrada]],Tabela1[[#This Row],[Data de conclusão]]))</f>
        <v>242</v>
      </c>
      <c r="K763" s="1"/>
    </row>
    <row r="764" spans="2:11" x14ac:dyDescent="0.25">
      <c r="B764" s="3">
        <v>871</v>
      </c>
      <c r="C764" s="3" t="s">
        <v>8</v>
      </c>
      <c r="D764" s="3" t="s">
        <v>10</v>
      </c>
      <c r="E764" s="4">
        <v>43031</v>
      </c>
      <c r="F764" s="4"/>
      <c r="G764" s="3" t="s">
        <v>29</v>
      </c>
      <c r="H764" s="5">
        <v>46486</v>
      </c>
      <c r="I764" s="3" t="str">
        <f>VLOOKUP(Tabela1[[#This Row],[Advogado]],Tabela2[],2,FALSE)</f>
        <v>Caio Brito</v>
      </c>
      <c r="J764" s="17">
        <f>IF(Tabela1[[#This Row],[Data de conclusão]]="",NETWORKDAYS(Tabela1[[#This Row],[Data de entrada]],$J$2),NETWORKDAYS(Tabela1[[#This Row],[Data de entrada]],Tabela1[[#This Row],[Data de conclusão]]))</f>
        <v>147</v>
      </c>
      <c r="K764" s="1"/>
    </row>
    <row r="765" spans="2:11" x14ac:dyDescent="0.25">
      <c r="B765" s="3">
        <v>872</v>
      </c>
      <c r="C765" s="3" t="s">
        <v>9</v>
      </c>
      <c r="D765" s="3" t="s">
        <v>11</v>
      </c>
      <c r="E765" s="4">
        <v>42504</v>
      </c>
      <c r="F765" s="4"/>
      <c r="G765" s="3" t="s">
        <v>29</v>
      </c>
      <c r="H765" s="5">
        <v>24995</v>
      </c>
      <c r="I765" s="3" t="str">
        <f>VLOOKUP(Tabela1[[#This Row],[Advogado]],Tabela2[],2,FALSE)</f>
        <v>Caio Brito</v>
      </c>
      <c r="J765" s="17">
        <f>IF(Tabela1[[#This Row],[Data de conclusão]]="",NETWORKDAYS(Tabela1[[#This Row],[Data de entrada]],$J$2),NETWORKDAYS(Tabela1[[#This Row],[Data de entrada]],Tabela1[[#This Row],[Data de conclusão]]))</f>
        <v>522</v>
      </c>
      <c r="K765" s="1"/>
    </row>
    <row r="766" spans="2:11" x14ac:dyDescent="0.25">
      <c r="B766" s="3">
        <v>873</v>
      </c>
      <c r="C766" s="3" t="s">
        <v>7</v>
      </c>
      <c r="D766" s="3" t="s">
        <v>12</v>
      </c>
      <c r="E766" s="4">
        <v>42560</v>
      </c>
      <c r="F766" s="4"/>
      <c r="G766" s="3" t="s">
        <v>29</v>
      </c>
      <c r="H766" s="5">
        <v>45754</v>
      </c>
      <c r="I766" s="3" t="str">
        <f>VLOOKUP(Tabela1[[#This Row],[Advogado]],Tabela2[],2,FALSE)</f>
        <v>Caio Brito</v>
      </c>
      <c r="J766" s="17">
        <f>IF(Tabela1[[#This Row],[Data de conclusão]]="",NETWORKDAYS(Tabela1[[#This Row],[Data de entrada]],$J$2),NETWORKDAYS(Tabela1[[#This Row],[Data de entrada]],Tabela1[[#This Row],[Data de conclusão]]))</f>
        <v>482</v>
      </c>
      <c r="K766" s="1"/>
    </row>
    <row r="767" spans="2:11" x14ac:dyDescent="0.25">
      <c r="B767" s="3">
        <v>874</v>
      </c>
      <c r="C767" s="3" t="s">
        <v>8</v>
      </c>
      <c r="D767" s="3" t="s">
        <v>13</v>
      </c>
      <c r="E767" s="4">
        <v>42673</v>
      </c>
      <c r="F767" s="4"/>
      <c r="G767" s="3" t="s">
        <v>29</v>
      </c>
      <c r="H767" s="5">
        <v>7641</v>
      </c>
      <c r="I767" s="3" t="str">
        <f>VLOOKUP(Tabela1[[#This Row],[Advogado]],Tabela2[],2,FALSE)</f>
        <v>Caio Brito</v>
      </c>
      <c r="J767" s="17">
        <f>IF(Tabela1[[#This Row],[Data de conclusão]]="",NETWORKDAYS(Tabela1[[#This Row],[Data de entrada]],$J$2),NETWORKDAYS(Tabela1[[#This Row],[Data de entrada]],Tabela1[[#This Row],[Data de conclusão]]))</f>
        <v>402</v>
      </c>
      <c r="K767" s="1"/>
    </row>
    <row r="768" spans="2:11" x14ac:dyDescent="0.25">
      <c r="B768" s="3">
        <v>875</v>
      </c>
      <c r="C768" s="3" t="s">
        <v>9</v>
      </c>
      <c r="D768" s="3" t="s">
        <v>14</v>
      </c>
      <c r="E768" s="4">
        <v>42530</v>
      </c>
      <c r="F768" s="4"/>
      <c r="G768" s="3" t="s">
        <v>29</v>
      </c>
      <c r="H768" s="5">
        <v>45559</v>
      </c>
      <c r="I768" s="3" t="str">
        <f>VLOOKUP(Tabela1[[#This Row],[Advogado]],Tabela2[],2,FALSE)</f>
        <v>Renê Amaranto</v>
      </c>
      <c r="J768" s="17">
        <f>IF(Tabela1[[#This Row],[Data de conclusão]]="",NETWORKDAYS(Tabela1[[#This Row],[Data de entrada]],$J$2),NETWORKDAYS(Tabela1[[#This Row],[Data de entrada]],Tabela1[[#This Row],[Data de conclusão]]))</f>
        <v>504</v>
      </c>
      <c r="K768" s="1"/>
    </row>
    <row r="769" spans="2:11" x14ac:dyDescent="0.25">
      <c r="B769" s="3">
        <v>876</v>
      </c>
      <c r="C769" s="3" t="s">
        <v>7</v>
      </c>
      <c r="D769" s="3" t="s">
        <v>15</v>
      </c>
      <c r="E769" s="4">
        <v>43071</v>
      </c>
      <c r="F769" s="4">
        <v>43184</v>
      </c>
      <c r="G769" s="3" t="s">
        <v>28</v>
      </c>
      <c r="H769" s="5">
        <v>26289</v>
      </c>
      <c r="I769" s="3" t="str">
        <f>VLOOKUP(Tabela1[[#This Row],[Advogado]],Tabela2[],2,FALSE)</f>
        <v>Renê Amaranto</v>
      </c>
      <c r="J769" s="17">
        <f>IF(Tabela1[[#This Row],[Data de conclusão]]="",NETWORKDAYS(Tabela1[[#This Row],[Data de entrada]],$J$2),NETWORKDAYS(Tabela1[[#This Row],[Data de entrada]],Tabela1[[#This Row],[Data de conclusão]]))</f>
        <v>80</v>
      </c>
      <c r="K769" s="1"/>
    </row>
    <row r="770" spans="2:11" x14ac:dyDescent="0.25">
      <c r="B770" s="3">
        <v>877</v>
      </c>
      <c r="C770" s="3" t="s">
        <v>8</v>
      </c>
      <c r="D770" s="3" t="s">
        <v>16</v>
      </c>
      <c r="E770" s="4">
        <v>43050</v>
      </c>
      <c r="F770" s="4"/>
      <c r="G770" s="3" t="s">
        <v>27</v>
      </c>
      <c r="H770" s="5">
        <v>33148</v>
      </c>
      <c r="I770" s="3" t="str">
        <f>VLOOKUP(Tabela1[[#This Row],[Advogado]],Tabela2[],2,FALSE)</f>
        <v>Renê Amaranto</v>
      </c>
      <c r="J770" s="17">
        <f>IF(Tabela1[[#This Row],[Data de conclusão]]="",NETWORKDAYS(Tabela1[[#This Row],[Data de entrada]],$J$2),NETWORKDAYS(Tabela1[[#This Row],[Data de entrada]],Tabela1[[#This Row],[Data de conclusão]]))</f>
        <v>132</v>
      </c>
      <c r="K770" s="1"/>
    </row>
    <row r="771" spans="2:11" x14ac:dyDescent="0.25">
      <c r="B771" s="3">
        <v>878</v>
      </c>
      <c r="C771" s="3" t="s">
        <v>9</v>
      </c>
      <c r="D771" s="3" t="s">
        <v>17</v>
      </c>
      <c r="E771" s="4">
        <v>42370</v>
      </c>
      <c r="F771" s="4"/>
      <c r="G771" s="3" t="s">
        <v>29</v>
      </c>
      <c r="H771" s="5">
        <v>20594</v>
      </c>
      <c r="I771" s="3" t="str">
        <f>VLOOKUP(Tabela1[[#This Row],[Advogado]],Tabela2[],2,FALSE)</f>
        <v>Renê Amaranto</v>
      </c>
      <c r="J771" s="17">
        <f>IF(Tabela1[[#This Row],[Data de conclusão]]="",NETWORKDAYS(Tabela1[[#This Row],[Data de entrada]],$J$2),NETWORKDAYS(Tabela1[[#This Row],[Data de entrada]],Tabela1[[#This Row],[Data de conclusão]]))</f>
        <v>618</v>
      </c>
      <c r="K771" s="1"/>
    </row>
    <row r="772" spans="2:11" x14ac:dyDescent="0.25">
      <c r="B772" s="3">
        <v>879</v>
      </c>
      <c r="C772" s="3" t="s">
        <v>7</v>
      </c>
      <c r="D772" s="3" t="s">
        <v>10</v>
      </c>
      <c r="E772" s="4">
        <v>43095</v>
      </c>
      <c r="F772" s="4"/>
      <c r="G772" s="3" t="s">
        <v>29</v>
      </c>
      <c r="H772" s="5">
        <v>8807</v>
      </c>
      <c r="I772" s="3" t="str">
        <f>VLOOKUP(Tabela1[[#This Row],[Advogado]],Tabela2[],2,FALSE)</f>
        <v>Caio Brito</v>
      </c>
      <c r="J772" s="17">
        <f>IF(Tabela1[[#This Row],[Data de conclusão]]="",NETWORKDAYS(Tabela1[[#This Row],[Data de entrada]],$J$2),NETWORKDAYS(Tabela1[[#This Row],[Data de entrada]],Tabela1[[#This Row],[Data de conclusão]]))</f>
        <v>101</v>
      </c>
      <c r="K772" s="1"/>
    </row>
    <row r="773" spans="2:11" x14ac:dyDescent="0.25">
      <c r="B773" s="3">
        <v>880</v>
      </c>
      <c r="C773" s="3" t="s">
        <v>8</v>
      </c>
      <c r="D773" s="3" t="s">
        <v>11</v>
      </c>
      <c r="E773" s="4">
        <v>42701</v>
      </c>
      <c r="F773" s="4"/>
      <c r="G773" s="3" t="s">
        <v>29</v>
      </c>
      <c r="H773" s="5">
        <v>47481</v>
      </c>
      <c r="I773" s="3" t="str">
        <f>VLOOKUP(Tabela1[[#This Row],[Advogado]],Tabela2[],2,FALSE)</f>
        <v>Caio Brito</v>
      </c>
      <c r="J773" s="17">
        <f>IF(Tabela1[[#This Row],[Data de conclusão]]="",NETWORKDAYS(Tabela1[[#This Row],[Data de entrada]],$J$2),NETWORKDAYS(Tabela1[[#This Row],[Data de entrada]],Tabela1[[#This Row],[Data de conclusão]]))</f>
        <v>382</v>
      </c>
      <c r="K773" s="1"/>
    </row>
    <row r="774" spans="2:11" x14ac:dyDescent="0.25">
      <c r="B774" s="3">
        <v>881</v>
      </c>
      <c r="C774" s="3" t="s">
        <v>9</v>
      </c>
      <c r="D774" s="3" t="s">
        <v>12</v>
      </c>
      <c r="E774" s="4">
        <v>42822</v>
      </c>
      <c r="F774" s="4"/>
      <c r="G774" s="3" t="s">
        <v>29</v>
      </c>
      <c r="H774" s="5">
        <v>24143</v>
      </c>
      <c r="I774" s="3" t="str">
        <f>VLOOKUP(Tabela1[[#This Row],[Advogado]],Tabela2[],2,FALSE)</f>
        <v>Caio Brito</v>
      </c>
      <c r="J774" s="17">
        <f>IF(Tabela1[[#This Row],[Data de conclusão]]="",NETWORKDAYS(Tabela1[[#This Row],[Data de entrada]],$J$2),NETWORKDAYS(Tabela1[[#This Row],[Data de entrada]],Tabela1[[#This Row],[Data de conclusão]]))</f>
        <v>296</v>
      </c>
      <c r="K774" s="1"/>
    </row>
    <row r="775" spans="2:11" x14ac:dyDescent="0.25">
      <c r="B775" s="3">
        <v>882</v>
      </c>
      <c r="C775" s="3" t="s">
        <v>7</v>
      </c>
      <c r="D775" s="3" t="s">
        <v>13</v>
      </c>
      <c r="E775" s="4">
        <v>43005</v>
      </c>
      <c r="F775" s="4"/>
      <c r="G775" s="3" t="s">
        <v>29</v>
      </c>
      <c r="H775" s="5">
        <v>36537</v>
      </c>
      <c r="I775" s="3" t="str">
        <f>VLOOKUP(Tabela1[[#This Row],[Advogado]],Tabela2[],2,FALSE)</f>
        <v>Caio Brito</v>
      </c>
      <c r="J775" s="17">
        <f>IF(Tabela1[[#This Row],[Data de conclusão]]="",NETWORKDAYS(Tabela1[[#This Row],[Data de entrada]],$J$2),NETWORKDAYS(Tabela1[[#This Row],[Data de entrada]],Tabela1[[#This Row],[Data de conclusão]]))</f>
        <v>165</v>
      </c>
      <c r="K775" s="1"/>
    </row>
    <row r="776" spans="2:11" x14ac:dyDescent="0.25">
      <c r="B776" s="3">
        <v>883</v>
      </c>
      <c r="C776" s="3" t="s">
        <v>8</v>
      </c>
      <c r="D776" s="3" t="s">
        <v>14</v>
      </c>
      <c r="E776" s="4">
        <v>43002</v>
      </c>
      <c r="F776" s="4"/>
      <c r="G776" s="3" t="s">
        <v>29</v>
      </c>
      <c r="H776" s="5">
        <v>10103</v>
      </c>
      <c r="I776" s="3" t="str">
        <f>VLOOKUP(Tabela1[[#This Row],[Advogado]],Tabela2[],2,FALSE)</f>
        <v>Renê Amaranto</v>
      </c>
      <c r="J776" s="17">
        <f>IF(Tabela1[[#This Row],[Data de conclusão]]="",NETWORKDAYS(Tabela1[[#This Row],[Data de entrada]],$J$2),NETWORKDAYS(Tabela1[[#This Row],[Data de entrada]],Tabela1[[#This Row],[Data de conclusão]]))</f>
        <v>167</v>
      </c>
      <c r="K776" s="1"/>
    </row>
    <row r="777" spans="2:11" x14ac:dyDescent="0.25">
      <c r="B777" s="3">
        <v>884</v>
      </c>
      <c r="C777" s="3" t="s">
        <v>9</v>
      </c>
      <c r="D777" s="3" t="s">
        <v>15</v>
      </c>
      <c r="E777" s="4">
        <v>42575</v>
      </c>
      <c r="F777" s="4"/>
      <c r="G777" s="3" t="s">
        <v>29</v>
      </c>
      <c r="H777" s="5">
        <v>3392</v>
      </c>
      <c r="I777" s="3" t="str">
        <f>VLOOKUP(Tabela1[[#This Row],[Advogado]],Tabela2[],2,FALSE)</f>
        <v>Renê Amaranto</v>
      </c>
      <c r="J777" s="17">
        <f>IF(Tabela1[[#This Row],[Data de conclusão]]="",NETWORKDAYS(Tabela1[[#This Row],[Data de entrada]],$J$2),NETWORKDAYS(Tabela1[[#This Row],[Data de entrada]],Tabela1[[#This Row],[Data de conclusão]]))</f>
        <v>472</v>
      </c>
      <c r="K777" s="1"/>
    </row>
    <row r="778" spans="2:11" x14ac:dyDescent="0.25">
      <c r="B778" s="3">
        <v>885</v>
      </c>
      <c r="C778" s="3" t="s">
        <v>7</v>
      </c>
      <c r="D778" s="3" t="s">
        <v>16</v>
      </c>
      <c r="E778" s="4">
        <v>42751</v>
      </c>
      <c r="F778" s="4"/>
      <c r="G778" s="3" t="s">
        <v>29</v>
      </c>
      <c r="H778" s="5">
        <v>55817</v>
      </c>
      <c r="I778" s="3" t="str">
        <f>VLOOKUP(Tabela1[[#This Row],[Advogado]],Tabela2[],2,FALSE)</f>
        <v>Renê Amaranto</v>
      </c>
      <c r="J778" s="17">
        <f>IF(Tabela1[[#This Row],[Data de conclusão]]="",NETWORKDAYS(Tabela1[[#This Row],[Data de entrada]],$J$2),NETWORKDAYS(Tabela1[[#This Row],[Data de entrada]],Tabela1[[#This Row],[Data de conclusão]]))</f>
        <v>347</v>
      </c>
      <c r="K778" s="1"/>
    </row>
    <row r="779" spans="2:11" x14ac:dyDescent="0.25">
      <c r="B779" s="3">
        <v>886</v>
      </c>
      <c r="C779" s="3" t="s">
        <v>8</v>
      </c>
      <c r="D779" s="3" t="s">
        <v>17</v>
      </c>
      <c r="E779" s="4">
        <v>42925</v>
      </c>
      <c r="F779" s="4"/>
      <c r="G779" s="3" t="s">
        <v>29</v>
      </c>
      <c r="H779" s="5">
        <v>59501</v>
      </c>
      <c r="I779" s="3" t="str">
        <f>VLOOKUP(Tabela1[[#This Row],[Advogado]],Tabela2[],2,FALSE)</f>
        <v>Renê Amaranto</v>
      </c>
      <c r="J779" s="17">
        <f>IF(Tabela1[[#This Row],[Data de conclusão]]="",NETWORKDAYS(Tabela1[[#This Row],[Data de entrada]],$J$2),NETWORKDAYS(Tabela1[[#This Row],[Data de entrada]],Tabela1[[#This Row],[Data de conclusão]]))</f>
        <v>222</v>
      </c>
      <c r="K779" s="1"/>
    </row>
    <row r="780" spans="2:11" x14ac:dyDescent="0.25">
      <c r="B780" s="3">
        <v>887</v>
      </c>
      <c r="C780" s="3" t="s">
        <v>9</v>
      </c>
      <c r="D780" s="3" t="s">
        <v>10</v>
      </c>
      <c r="E780" s="4">
        <v>42828</v>
      </c>
      <c r="F780" s="4"/>
      <c r="G780" s="3" t="s">
        <v>29</v>
      </c>
      <c r="H780" s="5">
        <v>4642</v>
      </c>
      <c r="I780" s="3" t="str">
        <f>VLOOKUP(Tabela1[[#This Row],[Advogado]],Tabela2[],2,FALSE)</f>
        <v>Caio Brito</v>
      </c>
      <c r="J780" s="17">
        <f>IF(Tabela1[[#This Row],[Data de conclusão]]="",NETWORKDAYS(Tabela1[[#This Row],[Data de entrada]],$J$2),NETWORKDAYS(Tabela1[[#This Row],[Data de entrada]],Tabela1[[#This Row],[Data de conclusão]]))</f>
        <v>292</v>
      </c>
      <c r="K780" s="1"/>
    </row>
    <row r="781" spans="2:11" x14ac:dyDescent="0.25">
      <c r="B781" s="3">
        <v>888</v>
      </c>
      <c r="C781" s="3" t="s">
        <v>7</v>
      </c>
      <c r="D781" s="3" t="s">
        <v>11</v>
      </c>
      <c r="E781" s="4">
        <v>42538</v>
      </c>
      <c r="F781" s="4"/>
      <c r="G781" s="3" t="s">
        <v>29</v>
      </c>
      <c r="H781" s="5">
        <v>24788</v>
      </c>
      <c r="I781" s="3" t="str">
        <f>VLOOKUP(Tabela1[[#This Row],[Advogado]],Tabela2[],2,FALSE)</f>
        <v>Caio Brito</v>
      </c>
      <c r="J781" s="17">
        <f>IF(Tabela1[[#This Row],[Data de conclusão]]="",NETWORKDAYS(Tabela1[[#This Row],[Data de entrada]],$J$2),NETWORKDAYS(Tabela1[[#This Row],[Data de entrada]],Tabela1[[#This Row],[Data de conclusão]]))</f>
        <v>498</v>
      </c>
      <c r="K781" s="1"/>
    </row>
    <row r="782" spans="2:11" x14ac:dyDescent="0.25">
      <c r="B782" s="3">
        <v>889</v>
      </c>
      <c r="C782" s="3" t="s">
        <v>8</v>
      </c>
      <c r="D782" s="3" t="s">
        <v>12</v>
      </c>
      <c r="E782" s="4">
        <v>42945</v>
      </c>
      <c r="F782" s="4">
        <v>43024</v>
      </c>
      <c r="G782" s="3" t="s">
        <v>28</v>
      </c>
      <c r="H782" s="5">
        <v>40203</v>
      </c>
      <c r="I782" s="3" t="str">
        <f>VLOOKUP(Tabela1[[#This Row],[Advogado]],Tabela2[],2,FALSE)</f>
        <v>Caio Brito</v>
      </c>
      <c r="J782" s="17">
        <f>IF(Tabela1[[#This Row],[Data de conclusão]]="",NETWORKDAYS(Tabela1[[#This Row],[Data de entrada]],$J$2),NETWORKDAYS(Tabela1[[#This Row],[Data de entrada]],Tabela1[[#This Row],[Data de conclusão]]))</f>
        <v>56</v>
      </c>
      <c r="K782" s="1"/>
    </row>
    <row r="783" spans="2:11" x14ac:dyDescent="0.25">
      <c r="B783" s="3">
        <v>890</v>
      </c>
      <c r="C783" s="3" t="s">
        <v>9</v>
      </c>
      <c r="D783" s="3" t="s">
        <v>13</v>
      </c>
      <c r="E783" s="4">
        <v>42400</v>
      </c>
      <c r="F783" s="4"/>
      <c r="G783" s="3" t="s">
        <v>27</v>
      </c>
      <c r="H783" s="5">
        <v>40953</v>
      </c>
      <c r="I783" s="3" t="str">
        <f>VLOOKUP(Tabela1[[#This Row],[Advogado]],Tabela2[],2,FALSE)</f>
        <v>Caio Brito</v>
      </c>
      <c r="J783" s="17">
        <f>IF(Tabela1[[#This Row],[Data de conclusão]]="",NETWORKDAYS(Tabela1[[#This Row],[Data de entrada]],$J$2),NETWORKDAYS(Tabela1[[#This Row],[Data de entrada]],Tabela1[[#This Row],[Data de conclusão]]))</f>
        <v>597</v>
      </c>
      <c r="K783" s="1"/>
    </row>
    <row r="784" spans="2:11" x14ac:dyDescent="0.25">
      <c r="B784" s="3">
        <v>891</v>
      </c>
      <c r="C784" s="3" t="s">
        <v>7</v>
      </c>
      <c r="D784" s="3" t="s">
        <v>14</v>
      </c>
      <c r="E784" s="4">
        <v>42601</v>
      </c>
      <c r="F784" s="4"/>
      <c r="G784" s="3" t="s">
        <v>29</v>
      </c>
      <c r="H784" s="5">
        <v>15826</v>
      </c>
      <c r="I784" s="3" t="str">
        <f>VLOOKUP(Tabela1[[#This Row],[Advogado]],Tabela2[],2,FALSE)</f>
        <v>Renê Amaranto</v>
      </c>
      <c r="J784" s="17">
        <f>IF(Tabela1[[#This Row],[Data de conclusão]]="",NETWORKDAYS(Tabela1[[#This Row],[Data de entrada]],$J$2),NETWORKDAYS(Tabela1[[#This Row],[Data de entrada]],Tabela1[[#This Row],[Data de conclusão]]))</f>
        <v>453</v>
      </c>
      <c r="K784" s="1"/>
    </row>
    <row r="785" spans="2:11" x14ac:dyDescent="0.25">
      <c r="B785" s="3">
        <v>892</v>
      </c>
      <c r="C785" s="3" t="s">
        <v>8</v>
      </c>
      <c r="D785" s="3" t="s">
        <v>15</v>
      </c>
      <c r="E785" s="4">
        <v>43058</v>
      </c>
      <c r="F785" s="4"/>
      <c r="G785" s="3" t="s">
        <v>29</v>
      </c>
      <c r="H785" s="5">
        <v>40558</v>
      </c>
      <c r="I785" s="3" t="str">
        <f>VLOOKUP(Tabela1[[#This Row],[Advogado]],Tabela2[],2,FALSE)</f>
        <v>Renê Amaranto</v>
      </c>
      <c r="J785" s="17">
        <f>IF(Tabela1[[#This Row],[Data de conclusão]]="",NETWORKDAYS(Tabela1[[#This Row],[Data de entrada]],$J$2),NETWORKDAYS(Tabela1[[#This Row],[Data de entrada]],Tabela1[[#This Row],[Data de conclusão]]))</f>
        <v>127</v>
      </c>
      <c r="K785" s="1"/>
    </row>
    <row r="786" spans="2:11" x14ac:dyDescent="0.25">
      <c r="B786" s="3">
        <v>893</v>
      </c>
      <c r="C786" s="3" t="s">
        <v>9</v>
      </c>
      <c r="D786" s="3" t="s">
        <v>16</v>
      </c>
      <c r="E786" s="4">
        <v>42775</v>
      </c>
      <c r="F786" s="4"/>
      <c r="G786" s="3" t="s">
        <v>29</v>
      </c>
      <c r="H786" s="5">
        <v>17907</v>
      </c>
      <c r="I786" s="3" t="str">
        <f>VLOOKUP(Tabela1[[#This Row],[Advogado]],Tabela2[],2,FALSE)</f>
        <v>Renê Amaranto</v>
      </c>
      <c r="J786" s="17">
        <f>IF(Tabela1[[#This Row],[Data de conclusão]]="",NETWORKDAYS(Tabela1[[#This Row],[Data de entrada]],$J$2),NETWORKDAYS(Tabela1[[#This Row],[Data de entrada]],Tabela1[[#This Row],[Data de conclusão]]))</f>
        <v>329</v>
      </c>
      <c r="K786" s="1"/>
    </row>
    <row r="787" spans="2:11" x14ac:dyDescent="0.25">
      <c r="B787" s="3">
        <v>894</v>
      </c>
      <c r="C787" s="3" t="s">
        <v>7</v>
      </c>
      <c r="D787" s="3" t="s">
        <v>17</v>
      </c>
      <c r="E787" s="4">
        <v>42526</v>
      </c>
      <c r="F787" s="4"/>
      <c r="G787" s="3" t="s">
        <v>29</v>
      </c>
      <c r="H787" s="5">
        <v>51566</v>
      </c>
      <c r="I787" s="3" t="str">
        <f>VLOOKUP(Tabela1[[#This Row],[Advogado]],Tabela2[],2,FALSE)</f>
        <v>Renê Amaranto</v>
      </c>
      <c r="J787" s="17">
        <f>IF(Tabela1[[#This Row],[Data de conclusão]]="",NETWORKDAYS(Tabela1[[#This Row],[Data de entrada]],$J$2),NETWORKDAYS(Tabela1[[#This Row],[Data de entrada]],Tabela1[[#This Row],[Data de conclusão]]))</f>
        <v>507</v>
      </c>
      <c r="K787" s="1"/>
    </row>
    <row r="788" spans="2:11" x14ac:dyDescent="0.25">
      <c r="B788" s="3">
        <v>895</v>
      </c>
      <c r="C788" s="3" t="s">
        <v>8</v>
      </c>
      <c r="D788" s="3" t="s">
        <v>10</v>
      </c>
      <c r="E788" s="4">
        <v>42716</v>
      </c>
      <c r="F788" s="4"/>
      <c r="G788" s="3" t="s">
        <v>29</v>
      </c>
      <c r="H788" s="5">
        <v>11741</v>
      </c>
      <c r="I788" s="3" t="str">
        <f>VLOOKUP(Tabela1[[#This Row],[Advogado]],Tabela2[],2,FALSE)</f>
        <v>Caio Brito</v>
      </c>
      <c r="J788" s="17">
        <f>IF(Tabela1[[#This Row],[Data de conclusão]]="",NETWORKDAYS(Tabela1[[#This Row],[Data de entrada]],$J$2),NETWORKDAYS(Tabela1[[#This Row],[Data de entrada]],Tabela1[[#This Row],[Data de conclusão]]))</f>
        <v>372</v>
      </c>
      <c r="K788" s="1"/>
    </row>
    <row r="789" spans="2:11" x14ac:dyDescent="0.25">
      <c r="B789" s="3">
        <v>896</v>
      </c>
      <c r="C789" s="3" t="s">
        <v>9</v>
      </c>
      <c r="D789" s="3" t="s">
        <v>11</v>
      </c>
      <c r="E789" s="4">
        <v>42406</v>
      </c>
      <c r="F789" s="4"/>
      <c r="G789" s="3" t="s">
        <v>29</v>
      </c>
      <c r="H789" s="5">
        <v>43107</v>
      </c>
      <c r="I789" s="3" t="str">
        <f>VLOOKUP(Tabela1[[#This Row],[Advogado]],Tabela2[],2,FALSE)</f>
        <v>Caio Brito</v>
      </c>
      <c r="J789" s="17">
        <f>IF(Tabela1[[#This Row],[Data de conclusão]]="",NETWORKDAYS(Tabela1[[#This Row],[Data de entrada]],$J$2),NETWORKDAYS(Tabela1[[#This Row],[Data de entrada]],Tabela1[[#This Row],[Data de conclusão]]))</f>
        <v>592</v>
      </c>
      <c r="K789" s="1"/>
    </row>
    <row r="790" spans="2:11" x14ac:dyDescent="0.25">
      <c r="B790" s="3">
        <v>897</v>
      </c>
      <c r="C790" s="3" t="s">
        <v>7</v>
      </c>
      <c r="D790" s="3" t="s">
        <v>12</v>
      </c>
      <c r="E790" s="4">
        <v>42702</v>
      </c>
      <c r="F790" s="4"/>
      <c r="G790" s="3" t="s">
        <v>29</v>
      </c>
      <c r="H790" s="5">
        <v>10126</v>
      </c>
      <c r="I790" s="3" t="str">
        <f>VLOOKUP(Tabela1[[#This Row],[Advogado]],Tabela2[],2,FALSE)</f>
        <v>Caio Brito</v>
      </c>
      <c r="J790" s="17">
        <f>IF(Tabela1[[#This Row],[Data de conclusão]]="",NETWORKDAYS(Tabela1[[#This Row],[Data de entrada]],$J$2),NETWORKDAYS(Tabela1[[#This Row],[Data de entrada]],Tabela1[[#This Row],[Data de conclusão]]))</f>
        <v>382</v>
      </c>
      <c r="K790" s="1"/>
    </row>
    <row r="791" spans="2:11" x14ac:dyDescent="0.25">
      <c r="B791" s="3">
        <v>898</v>
      </c>
      <c r="C791" s="3" t="s">
        <v>8</v>
      </c>
      <c r="D791" s="3" t="s">
        <v>13</v>
      </c>
      <c r="E791" s="4">
        <v>42518</v>
      </c>
      <c r="F791" s="4"/>
      <c r="G791" s="3" t="s">
        <v>29</v>
      </c>
      <c r="H791" s="5">
        <v>23222</v>
      </c>
      <c r="I791" s="3" t="str">
        <f>VLOOKUP(Tabela1[[#This Row],[Advogado]],Tabela2[],2,FALSE)</f>
        <v>Caio Brito</v>
      </c>
      <c r="J791" s="17">
        <f>IF(Tabela1[[#This Row],[Data de conclusão]]="",NETWORKDAYS(Tabela1[[#This Row],[Data de entrada]],$J$2),NETWORKDAYS(Tabela1[[#This Row],[Data de entrada]],Tabela1[[#This Row],[Data de conclusão]]))</f>
        <v>512</v>
      </c>
      <c r="K791" s="1"/>
    </row>
    <row r="792" spans="2:11" x14ac:dyDescent="0.25">
      <c r="B792" s="3">
        <v>899</v>
      </c>
      <c r="C792" s="3" t="s">
        <v>9</v>
      </c>
      <c r="D792" s="3" t="s">
        <v>14</v>
      </c>
      <c r="E792" s="4">
        <v>42830</v>
      </c>
      <c r="F792" s="4"/>
      <c r="G792" s="3" t="s">
        <v>29</v>
      </c>
      <c r="H792" s="5">
        <v>22357</v>
      </c>
      <c r="I792" s="3" t="str">
        <f>VLOOKUP(Tabela1[[#This Row],[Advogado]],Tabela2[],2,FALSE)</f>
        <v>Renê Amaranto</v>
      </c>
      <c r="J792" s="17">
        <f>IF(Tabela1[[#This Row],[Data de conclusão]]="",NETWORKDAYS(Tabela1[[#This Row],[Data de entrada]],$J$2),NETWORKDAYS(Tabela1[[#This Row],[Data de entrada]],Tabela1[[#This Row],[Data de conclusão]]))</f>
        <v>290</v>
      </c>
      <c r="K792" s="1"/>
    </row>
    <row r="793" spans="2:11" x14ac:dyDescent="0.25">
      <c r="B793" s="3">
        <v>900</v>
      </c>
      <c r="C793" s="3" t="s">
        <v>7</v>
      </c>
      <c r="D793" s="3" t="s">
        <v>15</v>
      </c>
      <c r="E793" s="4">
        <v>42775</v>
      </c>
      <c r="F793" s="4"/>
      <c r="G793" s="3" t="s">
        <v>29</v>
      </c>
      <c r="H793" s="5">
        <v>56382</v>
      </c>
      <c r="I793" s="3" t="str">
        <f>VLOOKUP(Tabela1[[#This Row],[Advogado]],Tabela2[],2,FALSE)</f>
        <v>Renê Amaranto</v>
      </c>
      <c r="J793" s="17">
        <f>IF(Tabela1[[#This Row],[Data de conclusão]]="",NETWORKDAYS(Tabela1[[#This Row],[Data de entrada]],$J$2),NETWORKDAYS(Tabela1[[#This Row],[Data de entrada]],Tabela1[[#This Row],[Data de conclusão]]))</f>
        <v>329</v>
      </c>
      <c r="K793" s="1"/>
    </row>
    <row r="794" spans="2:11" x14ac:dyDescent="0.25">
      <c r="B794" s="3">
        <v>901</v>
      </c>
      <c r="C794" s="3" t="s">
        <v>8</v>
      </c>
      <c r="D794" s="3" t="s">
        <v>16</v>
      </c>
      <c r="E794" s="4">
        <v>42578</v>
      </c>
      <c r="F794" s="4"/>
      <c r="G794" s="3" t="s">
        <v>29</v>
      </c>
      <c r="H794" s="5">
        <v>38569</v>
      </c>
      <c r="I794" s="3" t="str">
        <f>VLOOKUP(Tabela1[[#This Row],[Advogado]],Tabela2[],2,FALSE)</f>
        <v>Renê Amaranto</v>
      </c>
      <c r="J794" s="17">
        <f>IF(Tabela1[[#This Row],[Data de conclusão]]="",NETWORKDAYS(Tabela1[[#This Row],[Data de entrada]],$J$2),NETWORKDAYS(Tabela1[[#This Row],[Data de entrada]],Tabela1[[#This Row],[Data de conclusão]]))</f>
        <v>470</v>
      </c>
      <c r="K794" s="1"/>
    </row>
    <row r="795" spans="2:11" x14ac:dyDescent="0.25">
      <c r="B795" s="3">
        <v>902</v>
      </c>
      <c r="C795" s="3" t="s">
        <v>9</v>
      </c>
      <c r="D795" s="3" t="s">
        <v>17</v>
      </c>
      <c r="E795" s="4">
        <v>42614</v>
      </c>
      <c r="F795" s="4">
        <v>42696</v>
      </c>
      <c r="G795" s="3" t="s">
        <v>28</v>
      </c>
      <c r="H795" s="5">
        <v>3943</v>
      </c>
      <c r="I795" s="3" t="str">
        <f>VLOOKUP(Tabela1[[#This Row],[Advogado]],Tabela2[],2,FALSE)</f>
        <v>Renê Amaranto</v>
      </c>
      <c r="J795" s="17">
        <f>IF(Tabela1[[#This Row],[Data de conclusão]]="",NETWORKDAYS(Tabela1[[#This Row],[Data de entrada]],$J$2),NETWORKDAYS(Tabela1[[#This Row],[Data de entrada]],Tabela1[[#This Row],[Data de conclusão]]))</f>
        <v>59</v>
      </c>
      <c r="K795" s="1"/>
    </row>
    <row r="796" spans="2:11" x14ac:dyDescent="0.25">
      <c r="B796" s="3">
        <v>903</v>
      </c>
      <c r="C796" s="3" t="s">
        <v>7</v>
      </c>
      <c r="D796" s="3" t="s">
        <v>10</v>
      </c>
      <c r="E796" s="4">
        <v>42521</v>
      </c>
      <c r="F796" s="4"/>
      <c r="G796" s="3" t="s">
        <v>27</v>
      </c>
      <c r="H796" s="5">
        <v>42015</v>
      </c>
      <c r="I796" s="3" t="str">
        <f>VLOOKUP(Tabela1[[#This Row],[Advogado]],Tabela2[],2,FALSE)</f>
        <v>Caio Brito</v>
      </c>
      <c r="J796" s="17">
        <f>IF(Tabela1[[#This Row],[Data de conclusão]]="",NETWORKDAYS(Tabela1[[#This Row],[Data de entrada]],$J$2),NETWORKDAYS(Tabela1[[#This Row],[Data de entrada]],Tabela1[[#This Row],[Data de conclusão]]))</f>
        <v>511</v>
      </c>
      <c r="K796" s="1"/>
    </row>
    <row r="797" spans="2:11" x14ac:dyDescent="0.25">
      <c r="B797" s="3">
        <v>904</v>
      </c>
      <c r="C797" s="3" t="s">
        <v>8</v>
      </c>
      <c r="D797" s="3" t="s">
        <v>11</v>
      </c>
      <c r="E797" s="4">
        <v>42445</v>
      </c>
      <c r="F797" s="4"/>
      <c r="G797" s="3" t="s">
        <v>29</v>
      </c>
      <c r="H797" s="5">
        <v>41832</v>
      </c>
      <c r="I797" s="3" t="str">
        <f>VLOOKUP(Tabela1[[#This Row],[Advogado]],Tabela2[],2,FALSE)</f>
        <v>Caio Brito</v>
      </c>
      <c r="J797" s="17">
        <f>IF(Tabela1[[#This Row],[Data de conclusão]]="",NETWORKDAYS(Tabela1[[#This Row],[Data de entrada]],$J$2),NETWORKDAYS(Tabela1[[#This Row],[Data de entrada]],Tabela1[[#This Row],[Data de conclusão]]))</f>
        <v>565</v>
      </c>
      <c r="K797" s="1"/>
    </row>
    <row r="798" spans="2:11" x14ac:dyDescent="0.25">
      <c r="B798" s="3">
        <v>905</v>
      </c>
      <c r="C798" s="3" t="s">
        <v>9</v>
      </c>
      <c r="D798" s="3" t="s">
        <v>12</v>
      </c>
      <c r="E798" s="4">
        <v>43048</v>
      </c>
      <c r="F798" s="4"/>
      <c r="G798" s="3" t="s">
        <v>29</v>
      </c>
      <c r="H798" s="5">
        <v>6022</v>
      </c>
      <c r="I798" s="3" t="str">
        <f>VLOOKUP(Tabela1[[#This Row],[Advogado]],Tabela2[],2,FALSE)</f>
        <v>Caio Brito</v>
      </c>
      <c r="J798" s="17">
        <f>IF(Tabela1[[#This Row],[Data de conclusão]]="",NETWORKDAYS(Tabela1[[#This Row],[Data de entrada]],$J$2),NETWORKDAYS(Tabela1[[#This Row],[Data de entrada]],Tabela1[[#This Row],[Data de conclusão]]))</f>
        <v>134</v>
      </c>
      <c r="K798" s="1"/>
    </row>
    <row r="799" spans="2:11" x14ac:dyDescent="0.25">
      <c r="B799" s="3">
        <v>906</v>
      </c>
      <c r="C799" s="3" t="s">
        <v>7</v>
      </c>
      <c r="D799" s="3" t="s">
        <v>13</v>
      </c>
      <c r="E799" s="4">
        <v>43053</v>
      </c>
      <c r="F799" s="4"/>
      <c r="G799" s="3" t="s">
        <v>29</v>
      </c>
      <c r="H799" s="5">
        <v>21334</v>
      </c>
      <c r="I799" s="3" t="str">
        <f>VLOOKUP(Tabela1[[#This Row],[Advogado]],Tabela2[],2,FALSE)</f>
        <v>Caio Brito</v>
      </c>
      <c r="J799" s="17">
        <f>IF(Tabela1[[#This Row],[Data de conclusão]]="",NETWORKDAYS(Tabela1[[#This Row],[Data de entrada]],$J$2),NETWORKDAYS(Tabela1[[#This Row],[Data de entrada]],Tabela1[[#This Row],[Data de conclusão]]))</f>
        <v>131</v>
      </c>
      <c r="K799" s="1"/>
    </row>
    <row r="800" spans="2:11" x14ac:dyDescent="0.25">
      <c r="B800" s="3">
        <v>907</v>
      </c>
      <c r="C800" s="3" t="s">
        <v>8</v>
      </c>
      <c r="D800" s="3" t="s">
        <v>14</v>
      </c>
      <c r="E800" s="4">
        <v>43074</v>
      </c>
      <c r="F800" s="4"/>
      <c r="G800" s="3" t="s">
        <v>29</v>
      </c>
      <c r="H800" s="5">
        <v>53122</v>
      </c>
      <c r="I800" s="3" t="str">
        <f>VLOOKUP(Tabela1[[#This Row],[Advogado]],Tabela2[],2,FALSE)</f>
        <v>Renê Amaranto</v>
      </c>
      <c r="J800" s="17">
        <f>IF(Tabela1[[#This Row],[Data de conclusão]]="",NETWORKDAYS(Tabela1[[#This Row],[Data de entrada]],$J$2),NETWORKDAYS(Tabela1[[#This Row],[Data de entrada]],Tabela1[[#This Row],[Data de conclusão]]))</f>
        <v>116</v>
      </c>
      <c r="K800" s="1"/>
    </row>
    <row r="801" spans="2:11" x14ac:dyDescent="0.25">
      <c r="B801" s="3">
        <v>908</v>
      </c>
      <c r="C801" s="3" t="s">
        <v>9</v>
      </c>
      <c r="D801" s="3" t="s">
        <v>15</v>
      </c>
      <c r="E801" s="4">
        <v>42902</v>
      </c>
      <c r="F801" s="4"/>
      <c r="G801" s="3" t="s">
        <v>29</v>
      </c>
      <c r="H801" s="5">
        <v>5099</v>
      </c>
      <c r="I801" s="3" t="str">
        <f>VLOOKUP(Tabela1[[#This Row],[Advogado]],Tabela2[],2,FALSE)</f>
        <v>Renê Amaranto</v>
      </c>
      <c r="J801" s="17">
        <f>IF(Tabela1[[#This Row],[Data de conclusão]]="",NETWORKDAYS(Tabela1[[#This Row],[Data de entrada]],$J$2),NETWORKDAYS(Tabela1[[#This Row],[Data de entrada]],Tabela1[[#This Row],[Data de conclusão]]))</f>
        <v>238</v>
      </c>
      <c r="K801" s="1"/>
    </row>
    <row r="802" spans="2:11" x14ac:dyDescent="0.25">
      <c r="B802" s="3">
        <v>909</v>
      </c>
      <c r="C802" s="3" t="s">
        <v>7</v>
      </c>
      <c r="D802" s="3" t="s">
        <v>16</v>
      </c>
      <c r="E802" s="4">
        <v>42757</v>
      </c>
      <c r="F802" s="4"/>
      <c r="G802" s="3" t="s">
        <v>29</v>
      </c>
      <c r="H802" s="5">
        <v>8891</v>
      </c>
      <c r="I802" s="3" t="str">
        <f>VLOOKUP(Tabela1[[#This Row],[Advogado]],Tabela2[],2,FALSE)</f>
        <v>Renê Amaranto</v>
      </c>
      <c r="J802" s="17">
        <f>IF(Tabela1[[#This Row],[Data de conclusão]]="",NETWORKDAYS(Tabela1[[#This Row],[Data de entrada]],$J$2),NETWORKDAYS(Tabela1[[#This Row],[Data de entrada]],Tabela1[[#This Row],[Data de conclusão]]))</f>
        <v>342</v>
      </c>
      <c r="K802" s="1"/>
    </row>
    <row r="803" spans="2:11" x14ac:dyDescent="0.25">
      <c r="B803" s="3">
        <v>910</v>
      </c>
      <c r="C803" s="3" t="s">
        <v>8</v>
      </c>
      <c r="D803" s="3" t="s">
        <v>17</v>
      </c>
      <c r="E803" s="4">
        <v>42712</v>
      </c>
      <c r="F803" s="4"/>
      <c r="G803" s="3" t="s">
        <v>29</v>
      </c>
      <c r="H803" s="5">
        <v>749</v>
      </c>
      <c r="I803" s="3" t="str">
        <f>VLOOKUP(Tabela1[[#This Row],[Advogado]],Tabela2[],2,FALSE)</f>
        <v>Renê Amaranto</v>
      </c>
      <c r="J803" s="17">
        <f>IF(Tabela1[[#This Row],[Data de conclusão]]="",NETWORKDAYS(Tabela1[[#This Row],[Data de entrada]],$J$2),NETWORKDAYS(Tabela1[[#This Row],[Data de entrada]],Tabela1[[#This Row],[Data de conclusão]]))</f>
        <v>374</v>
      </c>
      <c r="K803" s="1"/>
    </row>
    <row r="804" spans="2:11" x14ac:dyDescent="0.25">
      <c r="B804" s="3">
        <v>911</v>
      </c>
      <c r="C804" s="3" t="s">
        <v>9</v>
      </c>
      <c r="D804" s="3" t="s">
        <v>10</v>
      </c>
      <c r="E804" s="4">
        <v>42874</v>
      </c>
      <c r="F804" s="4"/>
      <c r="G804" s="3" t="s">
        <v>29</v>
      </c>
      <c r="H804" s="5">
        <v>55238</v>
      </c>
      <c r="I804" s="3" t="str">
        <f>VLOOKUP(Tabela1[[#This Row],[Advogado]],Tabela2[],2,FALSE)</f>
        <v>Caio Brito</v>
      </c>
      <c r="J804" s="17">
        <f>IF(Tabela1[[#This Row],[Data de conclusão]]="",NETWORKDAYS(Tabela1[[#This Row],[Data de entrada]],$J$2),NETWORKDAYS(Tabela1[[#This Row],[Data de entrada]],Tabela1[[#This Row],[Data de conclusão]]))</f>
        <v>258</v>
      </c>
      <c r="K804" s="1"/>
    </row>
    <row r="805" spans="2:11" x14ac:dyDescent="0.25">
      <c r="B805" s="3">
        <v>912</v>
      </c>
      <c r="C805" s="3" t="s">
        <v>7</v>
      </c>
      <c r="D805" s="3" t="s">
        <v>11</v>
      </c>
      <c r="E805" s="4">
        <v>42516</v>
      </c>
      <c r="F805" s="4"/>
      <c r="G805" s="3" t="s">
        <v>29</v>
      </c>
      <c r="H805" s="5">
        <v>44643</v>
      </c>
      <c r="I805" s="3" t="str">
        <f>VLOOKUP(Tabela1[[#This Row],[Advogado]],Tabela2[],2,FALSE)</f>
        <v>Caio Brito</v>
      </c>
      <c r="J805" s="17">
        <f>IF(Tabela1[[#This Row],[Data de conclusão]]="",NETWORKDAYS(Tabela1[[#This Row],[Data de entrada]],$J$2),NETWORKDAYS(Tabela1[[#This Row],[Data de entrada]],Tabela1[[#This Row],[Data de conclusão]]))</f>
        <v>514</v>
      </c>
      <c r="K805" s="1"/>
    </row>
    <row r="806" spans="2:11" x14ac:dyDescent="0.25">
      <c r="B806" s="3">
        <v>913</v>
      </c>
      <c r="C806" s="3" t="s">
        <v>8</v>
      </c>
      <c r="D806" s="3" t="s">
        <v>12</v>
      </c>
      <c r="E806" s="4">
        <v>42681</v>
      </c>
      <c r="F806" s="4"/>
      <c r="G806" s="3" t="s">
        <v>29</v>
      </c>
      <c r="H806" s="5">
        <v>53006</v>
      </c>
      <c r="I806" s="3" t="str">
        <f>VLOOKUP(Tabela1[[#This Row],[Advogado]],Tabela2[],2,FALSE)</f>
        <v>Caio Brito</v>
      </c>
      <c r="J806" s="17">
        <f>IF(Tabela1[[#This Row],[Data de conclusão]]="",NETWORKDAYS(Tabela1[[#This Row],[Data de entrada]],$J$2),NETWORKDAYS(Tabela1[[#This Row],[Data de entrada]],Tabela1[[#This Row],[Data de conclusão]]))</f>
        <v>397</v>
      </c>
      <c r="K806" s="1"/>
    </row>
    <row r="807" spans="2:11" x14ac:dyDescent="0.25">
      <c r="B807" s="3">
        <v>914</v>
      </c>
      <c r="C807" s="3" t="s">
        <v>9</v>
      </c>
      <c r="D807" s="3" t="s">
        <v>13</v>
      </c>
      <c r="E807" s="4">
        <v>43060</v>
      </c>
      <c r="F807" s="4"/>
      <c r="G807" s="3" t="s">
        <v>29</v>
      </c>
      <c r="H807" s="5">
        <v>25908</v>
      </c>
      <c r="I807" s="3" t="str">
        <f>VLOOKUP(Tabela1[[#This Row],[Advogado]],Tabela2[],2,FALSE)</f>
        <v>Caio Brito</v>
      </c>
      <c r="J807" s="17">
        <f>IF(Tabela1[[#This Row],[Data de conclusão]]="",NETWORKDAYS(Tabela1[[#This Row],[Data de entrada]],$J$2),NETWORKDAYS(Tabela1[[#This Row],[Data de entrada]],Tabela1[[#This Row],[Data de conclusão]]))</f>
        <v>126</v>
      </c>
      <c r="K807" s="1"/>
    </row>
    <row r="808" spans="2:11" x14ac:dyDescent="0.25">
      <c r="B808" s="3">
        <v>915</v>
      </c>
      <c r="C808" s="3" t="s">
        <v>7</v>
      </c>
      <c r="D808" s="3" t="s">
        <v>14</v>
      </c>
      <c r="E808" s="4">
        <v>42481</v>
      </c>
      <c r="F808" s="4">
        <v>42579</v>
      </c>
      <c r="G808" s="3" t="s">
        <v>28</v>
      </c>
      <c r="H808" s="5">
        <v>45610</v>
      </c>
      <c r="I808" s="3" t="str">
        <f>VLOOKUP(Tabela1[[#This Row],[Advogado]],Tabela2[],2,FALSE)</f>
        <v>Renê Amaranto</v>
      </c>
      <c r="J808" s="17">
        <f>IF(Tabela1[[#This Row],[Data de conclusão]]="",NETWORKDAYS(Tabela1[[#This Row],[Data de entrada]],$J$2),NETWORKDAYS(Tabela1[[#This Row],[Data de entrada]],Tabela1[[#This Row],[Data de conclusão]]))</f>
        <v>71</v>
      </c>
      <c r="K808" s="1"/>
    </row>
    <row r="809" spans="2:11" x14ac:dyDescent="0.25">
      <c r="B809" s="3">
        <v>916</v>
      </c>
      <c r="C809" s="3" t="s">
        <v>8</v>
      </c>
      <c r="D809" s="3" t="s">
        <v>15</v>
      </c>
      <c r="E809" s="4">
        <v>42632</v>
      </c>
      <c r="F809" s="4"/>
      <c r="G809" s="3" t="s">
        <v>27</v>
      </c>
      <c r="H809" s="5">
        <v>10523</v>
      </c>
      <c r="I809" s="3" t="str">
        <f>VLOOKUP(Tabela1[[#This Row],[Advogado]],Tabela2[],2,FALSE)</f>
        <v>Renê Amaranto</v>
      </c>
      <c r="J809" s="17">
        <f>IF(Tabela1[[#This Row],[Data de conclusão]]="",NETWORKDAYS(Tabela1[[#This Row],[Data de entrada]],$J$2),NETWORKDAYS(Tabela1[[#This Row],[Data de entrada]],Tabela1[[#This Row],[Data de conclusão]]))</f>
        <v>432</v>
      </c>
      <c r="K809" s="1"/>
    </row>
    <row r="810" spans="2:11" x14ac:dyDescent="0.25">
      <c r="B810" s="3">
        <v>917</v>
      </c>
      <c r="C810" s="3" t="s">
        <v>9</v>
      </c>
      <c r="D810" s="3" t="s">
        <v>16</v>
      </c>
      <c r="E810" s="4">
        <v>43016</v>
      </c>
      <c r="F810" s="4"/>
      <c r="G810" s="3" t="s">
        <v>29</v>
      </c>
      <c r="H810" s="5">
        <v>3498</v>
      </c>
      <c r="I810" s="3" t="str">
        <f>VLOOKUP(Tabela1[[#This Row],[Advogado]],Tabela2[],2,FALSE)</f>
        <v>Renê Amaranto</v>
      </c>
      <c r="J810" s="17">
        <f>IF(Tabela1[[#This Row],[Data de conclusão]]="",NETWORKDAYS(Tabela1[[#This Row],[Data de entrada]],$J$2),NETWORKDAYS(Tabela1[[#This Row],[Data de entrada]],Tabela1[[#This Row],[Data de conclusão]]))</f>
        <v>157</v>
      </c>
      <c r="K810" s="1"/>
    </row>
    <row r="811" spans="2:11" x14ac:dyDescent="0.25">
      <c r="B811" s="3">
        <v>918</v>
      </c>
      <c r="C811" s="3" t="s">
        <v>7</v>
      </c>
      <c r="D811" s="3" t="s">
        <v>17</v>
      </c>
      <c r="E811" s="4">
        <v>43079</v>
      </c>
      <c r="F811" s="4"/>
      <c r="G811" s="3" t="s">
        <v>29</v>
      </c>
      <c r="H811" s="5">
        <v>46631</v>
      </c>
      <c r="I811" s="3" t="str">
        <f>VLOOKUP(Tabela1[[#This Row],[Advogado]],Tabela2[],2,FALSE)</f>
        <v>Renê Amaranto</v>
      </c>
      <c r="J811" s="17">
        <f>IF(Tabela1[[#This Row],[Data de conclusão]]="",NETWORKDAYS(Tabela1[[#This Row],[Data de entrada]],$J$2),NETWORKDAYS(Tabela1[[#This Row],[Data de entrada]],Tabela1[[#This Row],[Data de conclusão]]))</f>
        <v>112</v>
      </c>
      <c r="K811" s="1"/>
    </row>
    <row r="812" spans="2:11" x14ac:dyDescent="0.25">
      <c r="B812" s="3">
        <v>919</v>
      </c>
      <c r="C812" s="3" t="s">
        <v>8</v>
      </c>
      <c r="D812" s="3" t="s">
        <v>10</v>
      </c>
      <c r="E812" s="4">
        <v>42370</v>
      </c>
      <c r="F812" s="4"/>
      <c r="G812" s="3" t="s">
        <v>29</v>
      </c>
      <c r="H812" s="5">
        <v>28384</v>
      </c>
      <c r="I812" s="3" t="str">
        <f>VLOOKUP(Tabela1[[#This Row],[Advogado]],Tabela2[],2,FALSE)</f>
        <v>Caio Brito</v>
      </c>
      <c r="J812" s="17">
        <f>IF(Tabela1[[#This Row],[Data de conclusão]]="",NETWORKDAYS(Tabela1[[#This Row],[Data de entrada]],$J$2),NETWORKDAYS(Tabela1[[#This Row],[Data de entrada]],Tabela1[[#This Row],[Data de conclusão]]))</f>
        <v>618</v>
      </c>
      <c r="K812" s="1"/>
    </row>
    <row r="813" spans="2:11" x14ac:dyDescent="0.25">
      <c r="B813" s="3">
        <v>920</v>
      </c>
      <c r="C813" s="3" t="s">
        <v>9</v>
      </c>
      <c r="D813" s="3" t="s">
        <v>11</v>
      </c>
      <c r="E813" s="4">
        <v>43096</v>
      </c>
      <c r="F813" s="4"/>
      <c r="G813" s="3" t="s">
        <v>29</v>
      </c>
      <c r="H813" s="5">
        <v>55517</v>
      </c>
      <c r="I813" s="3" t="str">
        <f>VLOOKUP(Tabela1[[#This Row],[Advogado]],Tabela2[],2,FALSE)</f>
        <v>Caio Brito</v>
      </c>
      <c r="J813" s="17">
        <f>IF(Tabela1[[#This Row],[Data de conclusão]]="",NETWORKDAYS(Tabela1[[#This Row],[Data de entrada]],$J$2),NETWORKDAYS(Tabela1[[#This Row],[Data de entrada]],Tabela1[[#This Row],[Data de conclusão]]))</f>
        <v>100</v>
      </c>
      <c r="K813" s="1"/>
    </row>
    <row r="814" spans="2:11" x14ac:dyDescent="0.25">
      <c r="B814" s="3">
        <v>921</v>
      </c>
      <c r="C814" s="3" t="s">
        <v>7</v>
      </c>
      <c r="D814" s="3" t="s">
        <v>12</v>
      </c>
      <c r="E814" s="4">
        <v>43098</v>
      </c>
      <c r="F814" s="4"/>
      <c r="G814" s="3" t="s">
        <v>29</v>
      </c>
      <c r="H814" s="5">
        <v>22015</v>
      </c>
      <c r="I814" s="3" t="str">
        <f>VLOOKUP(Tabela1[[#This Row],[Advogado]],Tabela2[],2,FALSE)</f>
        <v>Caio Brito</v>
      </c>
      <c r="J814" s="17">
        <f>IF(Tabela1[[#This Row],[Data de conclusão]]="",NETWORKDAYS(Tabela1[[#This Row],[Data de entrada]],$J$2),NETWORKDAYS(Tabela1[[#This Row],[Data de entrada]],Tabela1[[#This Row],[Data de conclusão]]))</f>
        <v>98</v>
      </c>
      <c r="K814" s="1"/>
    </row>
    <row r="815" spans="2:11" x14ac:dyDescent="0.25">
      <c r="B815" s="3">
        <v>922</v>
      </c>
      <c r="C815" s="3" t="s">
        <v>8</v>
      </c>
      <c r="D815" s="3" t="s">
        <v>13</v>
      </c>
      <c r="E815" s="4">
        <v>42929</v>
      </c>
      <c r="F815" s="4"/>
      <c r="G815" s="3" t="s">
        <v>29</v>
      </c>
      <c r="H815" s="5">
        <v>20409</v>
      </c>
      <c r="I815" s="3" t="str">
        <f>VLOOKUP(Tabela1[[#This Row],[Advogado]],Tabela2[],2,FALSE)</f>
        <v>Caio Brito</v>
      </c>
      <c r="J815" s="17">
        <f>IF(Tabela1[[#This Row],[Data de conclusão]]="",NETWORKDAYS(Tabela1[[#This Row],[Data de entrada]],$J$2),NETWORKDAYS(Tabela1[[#This Row],[Data de entrada]],Tabela1[[#This Row],[Data de conclusão]]))</f>
        <v>219</v>
      </c>
      <c r="K815" s="1"/>
    </row>
    <row r="816" spans="2:11" x14ac:dyDescent="0.25">
      <c r="B816" s="3">
        <v>923</v>
      </c>
      <c r="C816" s="3" t="s">
        <v>9</v>
      </c>
      <c r="D816" s="3" t="s">
        <v>14</v>
      </c>
      <c r="E816" s="4">
        <v>42870</v>
      </c>
      <c r="F816" s="4"/>
      <c r="G816" s="3" t="s">
        <v>29</v>
      </c>
      <c r="H816" s="5">
        <v>41791</v>
      </c>
      <c r="I816" s="3" t="str">
        <f>VLOOKUP(Tabela1[[#This Row],[Advogado]],Tabela2[],2,FALSE)</f>
        <v>Renê Amaranto</v>
      </c>
      <c r="J816" s="17">
        <f>IF(Tabela1[[#This Row],[Data de conclusão]]="",NETWORKDAYS(Tabela1[[#This Row],[Data de entrada]],$J$2),NETWORKDAYS(Tabela1[[#This Row],[Data de entrada]],Tabela1[[#This Row],[Data de conclusão]]))</f>
        <v>262</v>
      </c>
      <c r="K816" s="1"/>
    </row>
    <row r="817" spans="2:11" x14ac:dyDescent="0.25">
      <c r="B817" s="3">
        <v>924</v>
      </c>
      <c r="C817" s="3" t="s">
        <v>7</v>
      </c>
      <c r="D817" s="3" t="s">
        <v>15</v>
      </c>
      <c r="E817" s="4">
        <v>43020</v>
      </c>
      <c r="F817" s="4"/>
      <c r="G817" s="3" t="s">
        <v>29</v>
      </c>
      <c r="H817" s="5">
        <v>37071</v>
      </c>
      <c r="I817" s="3" t="str">
        <f>VLOOKUP(Tabela1[[#This Row],[Advogado]],Tabela2[],2,FALSE)</f>
        <v>Renê Amaranto</v>
      </c>
      <c r="J817" s="17">
        <f>IF(Tabela1[[#This Row],[Data de conclusão]]="",NETWORKDAYS(Tabela1[[#This Row],[Data de entrada]],$J$2),NETWORKDAYS(Tabela1[[#This Row],[Data de entrada]],Tabela1[[#This Row],[Data de conclusão]]))</f>
        <v>154</v>
      </c>
      <c r="K817" s="1"/>
    </row>
    <row r="818" spans="2:11" x14ac:dyDescent="0.25">
      <c r="B818" s="3">
        <v>925</v>
      </c>
      <c r="C818" s="3" t="s">
        <v>8</v>
      </c>
      <c r="D818" s="3" t="s">
        <v>16</v>
      </c>
      <c r="E818" s="4">
        <v>42566</v>
      </c>
      <c r="F818" s="4"/>
      <c r="G818" s="3" t="s">
        <v>29</v>
      </c>
      <c r="H818" s="5">
        <v>59175</v>
      </c>
      <c r="I818" s="3" t="str">
        <f>VLOOKUP(Tabela1[[#This Row],[Advogado]],Tabela2[],2,FALSE)</f>
        <v>Renê Amaranto</v>
      </c>
      <c r="J818" s="17">
        <f>IF(Tabela1[[#This Row],[Data de conclusão]]="",NETWORKDAYS(Tabela1[[#This Row],[Data de entrada]],$J$2),NETWORKDAYS(Tabela1[[#This Row],[Data de entrada]],Tabela1[[#This Row],[Data de conclusão]]))</f>
        <v>478</v>
      </c>
      <c r="K818" s="1"/>
    </row>
    <row r="819" spans="2:11" x14ac:dyDescent="0.25">
      <c r="B819" s="3">
        <v>926</v>
      </c>
      <c r="C819" s="3" t="s">
        <v>9</v>
      </c>
      <c r="D819" s="3" t="s">
        <v>17</v>
      </c>
      <c r="E819" s="4">
        <v>42623</v>
      </c>
      <c r="F819" s="4"/>
      <c r="G819" s="3" t="s">
        <v>29</v>
      </c>
      <c r="H819" s="5">
        <v>19414</v>
      </c>
      <c r="I819" s="3" t="str">
        <f>VLOOKUP(Tabela1[[#This Row],[Advogado]],Tabela2[],2,FALSE)</f>
        <v>Renê Amaranto</v>
      </c>
      <c r="J819" s="17">
        <f>IF(Tabela1[[#This Row],[Data de conclusão]]="",NETWORKDAYS(Tabela1[[#This Row],[Data de entrada]],$J$2),NETWORKDAYS(Tabela1[[#This Row],[Data de entrada]],Tabela1[[#This Row],[Data de conclusão]]))</f>
        <v>437</v>
      </c>
      <c r="K819" s="1"/>
    </row>
    <row r="820" spans="2:11" x14ac:dyDescent="0.25">
      <c r="B820" s="3">
        <v>927</v>
      </c>
      <c r="C820" s="3" t="s">
        <v>7</v>
      </c>
      <c r="D820" s="3" t="s">
        <v>10</v>
      </c>
      <c r="E820" s="4">
        <v>42879</v>
      </c>
      <c r="F820" s="4"/>
      <c r="G820" s="3" t="s">
        <v>29</v>
      </c>
      <c r="H820" s="5">
        <v>7301</v>
      </c>
      <c r="I820" s="3" t="str">
        <f>VLOOKUP(Tabela1[[#This Row],[Advogado]],Tabela2[],2,FALSE)</f>
        <v>Caio Brito</v>
      </c>
      <c r="J820" s="17">
        <f>IF(Tabela1[[#This Row],[Data de conclusão]]="",NETWORKDAYS(Tabela1[[#This Row],[Data de entrada]],$J$2),NETWORKDAYS(Tabela1[[#This Row],[Data de entrada]],Tabela1[[#This Row],[Data de conclusão]]))</f>
        <v>255</v>
      </c>
      <c r="K820" s="1"/>
    </row>
    <row r="821" spans="2:11" x14ac:dyDescent="0.25">
      <c r="B821" s="3">
        <v>928</v>
      </c>
      <c r="C821" s="3" t="s">
        <v>8</v>
      </c>
      <c r="D821" s="3" t="s">
        <v>11</v>
      </c>
      <c r="E821" s="4">
        <v>42523</v>
      </c>
      <c r="F821" s="4">
        <v>42572</v>
      </c>
      <c r="G821" s="3" t="s">
        <v>28</v>
      </c>
      <c r="H821" s="5">
        <v>6978</v>
      </c>
      <c r="I821" s="3" t="str">
        <f>VLOOKUP(Tabela1[[#This Row],[Advogado]],Tabela2[],2,FALSE)</f>
        <v>Caio Brito</v>
      </c>
      <c r="J821" s="17">
        <f>IF(Tabela1[[#This Row],[Data de conclusão]]="",NETWORKDAYS(Tabela1[[#This Row],[Data de entrada]],$J$2),NETWORKDAYS(Tabela1[[#This Row],[Data de entrada]],Tabela1[[#This Row],[Data de conclusão]]))</f>
        <v>36</v>
      </c>
      <c r="K821" s="1"/>
    </row>
    <row r="822" spans="2:11" x14ac:dyDescent="0.25">
      <c r="B822" s="3">
        <v>929</v>
      </c>
      <c r="C822" s="3" t="s">
        <v>9</v>
      </c>
      <c r="D822" s="3" t="s">
        <v>12</v>
      </c>
      <c r="E822" s="4">
        <v>42386</v>
      </c>
      <c r="F822" s="4"/>
      <c r="G822" s="3" t="s">
        <v>27</v>
      </c>
      <c r="H822" s="5">
        <v>33124</v>
      </c>
      <c r="I822" s="3" t="str">
        <f>VLOOKUP(Tabela1[[#This Row],[Advogado]],Tabela2[],2,FALSE)</f>
        <v>Caio Brito</v>
      </c>
      <c r="J822" s="17">
        <f>IF(Tabela1[[#This Row],[Data de conclusão]]="",NETWORKDAYS(Tabela1[[#This Row],[Data de entrada]],$J$2),NETWORKDAYS(Tabela1[[#This Row],[Data de entrada]],Tabela1[[#This Row],[Data de conclusão]]))</f>
        <v>607</v>
      </c>
      <c r="K822" s="1"/>
    </row>
    <row r="823" spans="2:11" x14ac:dyDescent="0.25">
      <c r="B823" s="3">
        <v>930</v>
      </c>
      <c r="C823" s="3" t="s">
        <v>7</v>
      </c>
      <c r="D823" s="3" t="s">
        <v>13</v>
      </c>
      <c r="E823" s="4">
        <v>43073</v>
      </c>
      <c r="F823" s="4"/>
      <c r="G823" s="3" t="s">
        <v>29</v>
      </c>
      <c r="H823" s="5">
        <v>30737</v>
      </c>
      <c r="I823" s="3" t="str">
        <f>VLOOKUP(Tabela1[[#This Row],[Advogado]],Tabela2[],2,FALSE)</f>
        <v>Caio Brito</v>
      </c>
      <c r="J823" s="17">
        <f>IF(Tabela1[[#This Row],[Data de conclusão]]="",NETWORKDAYS(Tabela1[[#This Row],[Data de entrada]],$J$2),NETWORKDAYS(Tabela1[[#This Row],[Data de entrada]],Tabela1[[#This Row],[Data de conclusão]]))</f>
        <v>117</v>
      </c>
      <c r="K823" s="1"/>
    </row>
    <row r="824" spans="2:11" x14ac:dyDescent="0.25">
      <c r="B824" s="3">
        <v>931</v>
      </c>
      <c r="C824" s="3" t="s">
        <v>8</v>
      </c>
      <c r="D824" s="3" t="s">
        <v>14</v>
      </c>
      <c r="E824" s="4">
        <v>42874</v>
      </c>
      <c r="F824" s="4"/>
      <c r="G824" s="3" t="s">
        <v>29</v>
      </c>
      <c r="H824" s="5">
        <v>42129</v>
      </c>
      <c r="I824" s="3" t="str">
        <f>VLOOKUP(Tabela1[[#This Row],[Advogado]],Tabela2[],2,FALSE)</f>
        <v>Renê Amaranto</v>
      </c>
      <c r="J824" s="17">
        <f>IF(Tabela1[[#This Row],[Data de conclusão]]="",NETWORKDAYS(Tabela1[[#This Row],[Data de entrada]],$J$2),NETWORKDAYS(Tabela1[[#This Row],[Data de entrada]],Tabela1[[#This Row],[Data de conclusão]]))</f>
        <v>258</v>
      </c>
      <c r="K824" s="1"/>
    </row>
    <row r="825" spans="2:11" x14ac:dyDescent="0.25">
      <c r="B825" s="3">
        <v>932</v>
      </c>
      <c r="C825" s="3" t="s">
        <v>9</v>
      </c>
      <c r="D825" s="3" t="s">
        <v>15</v>
      </c>
      <c r="E825" s="4">
        <v>42819</v>
      </c>
      <c r="F825" s="4"/>
      <c r="G825" s="3" t="s">
        <v>29</v>
      </c>
      <c r="H825" s="5">
        <v>3644</v>
      </c>
      <c r="I825" s="3" t="str">
        <f>VLOOKUP(Tabela1[[#This Row],[Advogado]],Tabela2[],2,FALSE)</f>
        <v>Renê Amaranto</v>
      </c>
      <c r="J825" s="17">
        <f>IF(Tabela1[[#This Row],[Data de conclusão]]="",NETWORKDAYS(Tabela1[[#This Row],[Data de entrada]],$J$2),NETWORKDAYS(Tabela1[[#This Row],[Data de entrada]],Tabela1[[#This Row],[Data de conclusão]]))</f>
        <v>297</v>
      </c>
      <c r="K825" s="1"/>
    </row>
    <row r="826" spans="2:11" x14ac:dyDescent="0.25">
      <c r="B826" s="3">
        <v>933</v>
      </c>
      <c r="C826" s="3" t="s">
        <v>7</v>
      </c>
      <c r="D826" s="3" t="s">
        <v>16</v>
      </c>
      <c r="E826" s="4">
        <v>42768</v>
      </c>
      <c r="F826" s="4"/>
      <c r="G826" s="3" t="s">
        <v>29</v>
      </c>
      <c r="H826" s="5">
        <v>59715</v>
      </c>
      <c r="I826" s="3" t="str">
        <f>VLOOKUP(Tabela1[[#This Row],[Advogado]],Tabela2[],2,FALSE)</f>
        <v>Renê Amaranto</v>
      </c>
      <c r="J826" s="17">
        <f>IF(Tabela1[[#This Row],[Data de conclusão]]="",NETWORKDAYS(Tabela1[[#This Row],[Data de entrada]],$J$2),NETWORKDAYS(Tabela1[[#This Row],[Data de entrada]],Tabela1[[#This Row],[Data de conclusão]]))</f>
        <v>334</v>
      </c>
      <c r="K826" s="1"/>
    </row>
    <row r="827" spans="2:11" x14ac:dyDescent="0.25">
      <c r="B827" s="3">
        <v>934</v>
      </c>
      <c r="C827" s="3" t="s">
        <v>8</v>
      </c>
      <c r="D827" s="3" t="s">
        <v>17</v>
      </c>
      <c r="E827" s="4">
        <v>42973</v>
      </c>
      <c r="F827" s="4"/>
      <c r="G827" s="3" t="s">
        <v>29</v>
      </c>
      <c r="H827" s="5">
        <v>40788</v>
      </c>
      <c r="I827" s="3" t="str">
        <f>VLOOKUP(Tabela1[[#This Row],[Advogado]],Tabela2[],2,FALSE)</f>
        <v>Renê Amaranto</v>
      </c>
      <c r="J827" s="17">
        <f>IF(Tabela1[[#This Row],[Data de conclusão]]="",NETWORKDAYS(Tabela1[[#This Row],[Data de entrada]],$J$2),NETWORKDAYS(Tabela1[[#This Row],[Data de entrada]],Tabela1[[#This Row],[Data de conclusão]]))</f>
        <v>187</v>
      </c>
      <c r="K827" s="1"/>
    </row>
    <row r="828" spans="2:11" x14ac:dyDescent="0.25">
      <c r="B828" s="3">
        <v>935</v>
      </c>
      <c r="C828" s="3" t="s">
        <v>9</v>
      </c>
      <c r="D828" s="3" t="s">
        <v>10</v>
      </c>
      <c r="E828" s="4">
        <v>42625</v>
      </c>
      <c r="F828" s="4"/>
      <c r="G828" s="3" t="s">
        <v>29</v>
      </c>
      <c r="H828" s="5">
        <v>32343</v>
      </c>
      <c r="I828" s="3" t="str">
        <f>VLOOKUP(Tabela1[[#This Row],[Advogado]],Tabela2[],2,FALSE)</f>
        <v>Caio Brito</v>
      </c>
      <c r="J828" s="17">
        <f>IF(Tabela1[[#This Row],[Data de conclusão]]="",NETWORKDAYS(Tabela1[[#This Row],[Data de entrada]],$J$2),NETWORKDAYS(Tabela1[[#This Row],[Data de entrada]],Tabela1[[#This Row],[Data de conclusão]]))</f>
        <v>437</v>
      </c>
      <c r="K828" s="1"/>
    </row>
    <row r="829" spans="2:11" x14ac:dyDescent="0.25">
      <c r="B829" s="3">
        <v>936</v>
      </c>
      <c r="C829" s="3" t="s">
        <v>7</v>
      </c>
      <c r="D829" s="3" t="s">
        <v>11</v>
      </c>
      <c r="E829" s="4">
        <v>42975</v>
      </c>
      <c r="F829" s="4"/>
      <c r="G829" s="3" t="s">
        <v>29</v>
      </c>
      <c r="H829" s="5">
        <v>1220</v>
      </c>
      <c r="I829" s="3" t="str">
        <f>VLOOKUP(Tabela1[[#This Row],[Advogado]],Tabela2[],2,FALSE)</f>
        <v>Caio Brito</v>
      </c>
      <c r="J829" s="17">
        <f>IF(Tabela1[[#This Row],[Data de conclusão]]="",NETWORKDAYS(Tabela1[[#This Row],[Data de entrada]],$J$2),NETWORKDAYS(Tabela1[[#This Row],[Data de entrada]],Tabela1[[#This Row],[Data de conclusão]]))</f>
        <v>187</v>
      </c>
      <c r="K829" s="1"/>
    </row>
    <row r="830" spans="2:11" x14ac:dyDescent="0.25">
      <c r="B830" s="3">
        <v>937</v>
      </c>
      <c r="C830" s="3" t="s">
        <v>8</v>
      </c>
      <c r="D830" s="3" t="s">
        <v>12</v>
      </c>
      <c r="E830" s="4">
        <v>42383</v>
      </c>
      <c r="F830" s="4"/>
      <c r="G830" s="3" t="s">
        <v>29</v>
      </c>
      <c r="H830" s="5">
        <v>2366</v>
      </c>
      <c r="I830" s="3" t="str">
        <f>VLOOKUP(Tabela1[[#This Row],[Advogado]],Tabela2[],2,FALSE)</f>
        <v>Caio Brito</v>
      </c>
      <c r="J830" s="17">
        <f>IF(Tabela1[[#This Row],[Data de conclusão]]="",NETWORKDAYS(Tabela1[[#This Row],[Data de entrada]],$J$2),NETWORKDAYS(Tabela1[[#This Row],[Data de entrada]],Tabela1[[#This Row],[Data de conclusão]]))</f>
        <v>609</v>
      </c>
      <c r="K830" s="1"/>
    </row>
    <row r="831" spans="2:11" x14ac:dyDescent="0.25">
      <c r="B831" s="3">
        <v>938</v>
      </c>
      <c r="C831" s="3" t="s">
        <v>9</v>
      </c>
      <c r="D831" s="3" t="s">
        <v>13</v>
      </c>
      <c r="E831" s="4">
        <v>42655</v>
      </c>
      <c r="F831" s="4"/>
      <c r="G831" s="3" t="s">
        <v>29</v>
      </c>
      <c r="H831" s="5">
        <v>46095</v>
      </c>
      <c r="I831" s="3" t="str">
        <f>VLOOKUP(Tabela1[[#This Row],[Advogado]],Tabela2[],2,FALSE)</f>
        <v>Caio Brito</v>
      </c>
      <c r="J831" s="17">
        <f>IF(Tabela1[[#This Row],[Data de conclusão]]="",NETWORKDAYS(Tabela1[[#This Row],[Data de entrada]],$J$2),NETWORKDAYS(Tabela1[[#This Row],[Data de entrada]],Tabela1[[#This Row],[Data de conclusão]]))</f>
        <v>415</v>
      </c>
      <c r="K831" s="1"/>
    </row>
    <row r="832" spans="2:11" x14ac:dyDescent="0.25">
      <c r="B832" s="3">
        <v>939</v>
      </c>
      <c r="C832" s="3" t="s">
        <v>7</v>
      </c>
      <c r="D832" s="3" t="s">
        <v>14</v>
      </c>
      <c r="E832" s="4">
        <v>42999</v>
      </c>
      <c r="F832" s="4"/>
      <c r="G832" s="3" t="s">
        <v>29</v>
      </c>
      <c r="H832" s="5">
        <v>52603</v>
      </c>
      <c r="I832" s="3" t="str">
        <f>VLOOKUP(Tabela1[[#This Row],[Advogado]],Tabela2[],2,FALSE)</f>
        <v>Renê Amaranto</v>
      </c>
      <c r="J832" s="17">
        <f>IF(Tabela1[[#This Row],[Data de conclusão]]="",NETWORKDAYS(Tabela1[[#This Row],[Data de entrada]],$J$2),NETWORKDAYS(Tabela1[[#This Row],[Data de entrada]],Tabela1[[#This Row],[Data de conclusão]]))</f>
        <v>169</v>
      </c>
      <c r="K832" s="1"/>
    </row>
    <row r="833" spans="2:11" x14ac:dyDescent="0.25">
      <c r="B833" s="3">
        <v>940</v>
      </c>
      <c r="C833" s="3" t="s">
        <v>8</v>
      </c>
      <c r="D833" s="3" t="s">
        <v>15</v>
      </c>
      <c r="E833" s="4">
        <v>42438</v>
      </c>
      <c r="F833" s="4"/>
      <c r="G833" s="3" t="s">
        <v>29</v>
      </c>
      <c r="H833" s="5">
        <v>35545</v>
      </c>
      <c r="I833" s="3" t="str">
        <f>VLOOKUP(Tabela1[[#This Row],[Advogado]],Tabela2[],2,FALSE)</f>
        <v>Renê Amaranto</v>
      </c>
      <c r="J833" s="17">
        <f>IF(Tabela1[[#This Row],[Data de conclusão]]="",NETWORKDAYS(Tabela1[[#This Row],[Data de entrada]],$J$2),NETWORKDAYS(Tabela1[[#This Row],[Data de entrada]],Tabela1[[#This Row],[Data de conclusão]]))</f>
        <v>570</v>
      </c>
      <c r="K833" s="1"/>
    </row>
    <row r="834" spans="2:11" x14ac:dyDescent="0.25">
      <c r="B834" s="3">
        <v>941</v>
      </c>
      <c r="C834" s="3" t="s">
        <v>9</v>
      </c>
      <c r="D834" s="3" t="s">
        <v>16</v>
      </c>
      <c r="E834" s="4">
        <v>42852</v>
      </c>
      <c r="F834" s="4">
        <v>42922</v>
      </c>
      <c r="G834" s="3" t="s">
        <v>28</v>
      </c>
      <c r="H834" s="5">
        <v>37871</v>
      </c>
      <c r="I834" s="3" t="str">
        <f>VLOOKUP(Tabela1[[#This Row],[Advogado]],Tabela2[],2,FALSE)</f>
        <v>Renê Amaranto</v>
      </c>
      <c r="J834" s="17">
        <f>IF(Tabela1[[#This Row],[Data de conclusão]]="",NETWORKDAYS(Tabela1[[#This Row],[Data de entrada]],$J$2),NETWORKDAYS(Tabela1[[#This Row],[Data de entrada]],Tabela1[[#This Row],[Data de conclusão]]))</f>
        <v>51</v>
      </c>
      <c r="K834" s="1"/>
    </row>
    <row r="835" spans="2:11" x14ac:dyDescent="0.25">
      <c r="B835" s="3">
        <v>942</v>
      </c>
      <c r="C835" s="3" t="s">
        <v>7</v>
      </c>
      <c r="D835" s="3" t="s">
        <v>17</v>
      </c>
      <c r="E835" s="4">
        <v>42517</v>
      </c>
      <c r="F835" s="4"/>
      <c r="G835" s="3" t="s">
        <v>27</v>
      </c>
      <c r="H835" s="5">
        <v>22015</v>
      </c>
      <c r="I835" s="3" t="str">
        <f>VLOOKUP(Tabela1[[#This Row],[Advogado]],Tabela2[],2,FALSE)</f>
        <v>Renê Amaranto</v>
      </c>
      <c r="J835" s="17">
        <f>IF(Tabela1[[#This Row],[Data de conclusão]]="",NETWORKDAYS(Tabela1[[#This Row],[Data de entrada]],$J$2),NETWORKDAYS(Tabela1[[#This Row],[Data de entrada]],Tabela1[[#This Row],[Data de conclusão]]))</f>
        <v>513</v>
      </c>
      <c r="K835" s="1"/>
    </row>
    <row r="836" spans="2:11" x14ac:dyDescent="0.25">
      <c r="B836" s="3">
        <v>943</v>
      </c>
      <c r="C836" s="3" t="s">
        <v>8</v>
      </c>
      <c r="D836" s="3" t="s">
        <v>10</v>
      </c>
      <c r="E836" s="4">
        <v>42553</v>
      </c>
      <c r="F836" s="4"/>
      <c r="G836" s="3" t="s">
        <v>29</v>
      </c>
      <c r="H836" s="5">
        <v>54557</v>
      </c>
      <c r="I836" s="3" t="str">
        <f>VLOOKUP(Tabela1[[#This Row],[Advogado]],Tabela2[],2,FALSE)</f>
        <v>Caio Brito</v>
      </c>
      <c r="J836" s="17">
        <f>IF(Tabela1[[#This Row],[Data de conclusão]]="",NETWORKDAYS(Tabela1[[#This Row],[Data de entrada]],$J$2),NETWORKDAYS(Tabela1[[#This Row],[Data de entrada]],Tabela1[[#This Row],[Data de conclusão]]))</f>
        <v>487</v>
      </c>
      <c r="K836" s="1"/>
    </row>
    <row r="837" spans="2:11" x14ac:dyDescent="0.25">
      <c r="B837" s="3">
        <v>944</v>
      </c>
      <c r="C837" s="3" t="s">
        <v>9</v>
      </c>
      <c r="D837" s="3" t="s">
        <v>11</v>
      </c>
      <c r="E837" s="4">
        <v>43039</v>
      </c>
      <c r="F837" s="4"/>
      <c r="G837" s="3" t="s">
        <v>29</v>
      </c>
      <c r="H837" s="5">
        <v>50378</v>
      </c>
      <c r="I837" s="3" t="str">
        <f>VLOOKUP(Tabela1[[#This Row],[Advogado]],Tabela2[],2,FALSE)</f>
        <v>Caio Brito</v>
      </c>
      <c r="J837" s="17">
        <f>IF(Tabela1[[#This Row],[Data de conclusão]]="",NETWORKDAYS(Tabela1[[#This Row],[Data de entrada]],$J$2),NETWORKDAYS(Tabela1[[#This Row],[Data de entrada]],Tabela1[[#This Row],[Data de conclusão]]))</f>
        <v>141</v>
      </c>
      <c r="K837" s="1"/>
    </row>
    <row r="838" spans="2:11" x14ac:dyDescent="0.25">
      <c r="B838" s="3">
        <v>945</v>
      </c>
      <c r="C838" s="3" t="s">
        <v>7</v>
      </c>
      <c r="D838" s="3" t="s">
        <v>12</v>
      </c>
      <c r="E838" s="4">
        <v>42556</v>
      </c>
      <c r="F838" s="4"/>
      <c r="G838" s="3" t="s">
        <v>29</v>
      </c>
      <c r="H838" s="5">
        <v>676</v>
      </c>
      <c r="I838" s="3" t="str">
        <f>VLOOKUP(Tabela1[[#This Row],[Advogado]],Tabela2[],2,FALSE)</f>
        <v>Caio Brito</v>
      </c>
      <c r="J838" s="17">
        <f>IF(Tabela1[[#This Row],[Data de conclusão]]="",NETWORKDAYS(Tabela1[[#This Row],[Data de entrada]],$J$2),NETWORKDAYS(Tabela1[[#This Row],[Data de entrada]],Tabela1[[#This Row],[Data de conclusão]]))</f>
        <v>486</v>
      </c>
      <c r="K838" s="1"/>
    </row>
    <row r="839" spans="2:11" x14ac:dyDescent="0.25">
      <c r="B839" s="3">
        <v>946</v>
      </c>
      <c r="C839" s="3" t="s">
        <v>8</v>
      </c>
      <c r="D839" s="3" t="s">
        <v>13</v>
      </c>
      <c r="E839" s="4">
        <v>42681</v>
      </c>
      <c r="F839" s="4"/>
      <c r="G839" s="3" t="s">
        <v>29</v>
      </c>
      <c r="H839" s="5">
        <v>48861</v>
      </c>
      <c r="I839" s="3" t="str">
        <f>VLOOKUP(Tabela1[[#This Row],[Advogado]],Tabela2[],2,FALSE)</f>
        <v>Caio Brito</v>
      </c>
      <c r="J839" s="17">
        <f>IF(Tabela1[[#This Row],[Data de conclusão]]="",NETWORKDAYS(Tabela1[[#This Row],[Data de entrada]],$J$2),NETWORKDAYS(Tabela1[[#This Row],[Data de entrada]],Tabela1[[#This Row],[Data de conclusão]]))</f>
        <v>397</v>
      </c>
      <c r="K839" s="1"/>
    </row>
    <row r="840" spans="2:11" x14ac:dyDescent="0.25">
      <c r="B840" s="3">
        <v>947</v>
      </c>
      <c r="C840" s="3" t="s">
        <v>9</v>
      </c>
      <c r="D840" s="3" t="s">
        <v>14</v>
      </c>
      <c r="E840" s="4">
        <v>42423</v>
      </c>
      <c r="F840" s="4"/>
      <c r="G840" s="3" t="s">
        <v>29</v>
      </c>
      <c r="H840" s="5">
        <v>20909</v>
      </c>
      <c r="I840" s="3" t="str">
        <f>VLOOKUP(Tabela1[[#This Row],[Advogado]],Tabela2[],2,FALSE)</f>
        <v>Renê Amaranto</v>
      </c>
      <c r="J840" s="17">
        <f>IF(Tabela1[[#This Row],[Data de conclusão]]="",NETWORKDAYS(Tabela1[[#This Row],[Data de entrada]],$J$2),NETWORKDAYS(Tabela1[[#This Row],[Data de entrada]],Tabela1[[#This Row],[Data de conclusão]]))</f>
        <v>581</v>
      </c>
      <c r="K840" s="1"/>
    </row>
    <row r="841" spans="2:11" x14ac:dyDescent="0.25">
      <c r="B841" s="3">
        <v>948</v>
      </c>
      <c r="C841" s="3" t="s">
        <v>7</v>
      </c>
      <c r="D841" s="3" t="s">
        <v>15</v>
      </c>
      <c r="E841" s="4">
        <v>42637</v>
      </c>
      <c r="F841" s="4"/>
      <c r="G841" s="3" t="s">
        <v>29</v>
      </c>
      <c r="H841" s="5">
        <v>42510</v>
      </c>
      <c r="I841" s="3" t="str">
        <f>VLOOKUP(Tabela1[[#This Row],[Advogado]],Tabela2[],2,FALSE)</f>
        <v>Renê Amaranto</v>
      </c>
      <c r="J841" s="17">
        <f>IF(Tabela1[[#This Row],[Data de conclusão]]="",NETWORKDAYS(Tabela1[[#This Row],[Data de entrada]],$J$2),NETWORKDAYS(Tabela1[[#This Row],[Data de entrada]],Tabela1[[#This Row],[Data de conclusão]]))</f>
        <v>427</v>
      </c>
      <c r="K841" s="1"/>
    </row>
    <row r="842" spans="2:11" x14ac:dyDescent="0.25">
      <c r="B842" s="3">
        <v>949</v>
      </c>
      <c r="C842" s="3" t="s">
        <v>8</v>
      </c>
      <c r="D842" s="3" t="s">
        <v>16</v>
      </c>
      <c r="E842" s="4">
        <v>42509</v>
      </c>
      <c r="F842" s="4"/>
      <c r="G842" s="3" t="s">
        <v>29</v>
      </c>
      <c r="H842" s="5">
        <v>30631</v>
      </c>
      <c r="I842" s="3" t="str">
        <f>VLOOKUP(Tabela1[[#This Row],[Advogado]],Tabela2[],2,FALSE)</f>
        <v>Renê Amaranto</v>
      </c>
      <c r="J842" s="17">
        <f>IF(Tabela1[[#This Row],[Data de conclusão]]="",NETWORKDAYS(Tabela1[[#This Row],[Data de entrada]],$J$2),NETWORKDAYS(Tabela1[[#This Row],[Data de entrada]],Tabela1[[#This Row],[Data de conclusão]]))</f>
        <v>519</v>
      </c>
      <c r="K842" s="1"/>
    </row>
    <row r="843" spans="2:11" x14ac:dyDescent="0.25">
      <c r="B843" s="3">
        <v>950</v>
      </c>
      <c r="C843" s="3" t="s">
        <v>9</v>
      </c>
      <c r="D843" s="3" t="s">
        <v>17</v>
      </c>
      <c r="E843" s="4">
        <v>42583</v>
      </c>
      <c r="F843" s="4"/>
      <c r="G843" s="3" t="s">
        <v>29</v>
      </c>
      <c r="H843" s="5">
        <v>18223</v>
      </c>
      <c r="I843" s="3" t="str">
        <f>VLOOKUP(Tabela1[[#This Row],[Advogado]],Tabela2[],2,FALSE)</f>
        <v>Renê Amaranto</v>
      </c>
      <c r="J843" s="17">
        <f>IF(Tabela1[[#This Row],[Data de conclusão]]="",NETWORKDAYS(Tabela1[[#This Row],[Data de entrada]],$J$2),NETWORKDAYS(Tabela1[[#This Row],[Data de entrada]],Tabela1[[#This Row],[Data de conclusão]]))</f>
        <v>467</v>
      </c>
      <c r="K843" s="1"/>
    </row>
    <row r="844" spans="2:11" x14ac:dyDescent="0.25">
      <c r="B844" s="3">
        <v>951</v>
      </c>
      <c r="C844" s="3" t="s">
        <v>7</v>
      </c>
      <c r="D844" s="3" t="s">
        <v>10</v>
      </c>
      <c r="E844" s="4">
        <v>42515</v>
      </c>
      <c r="F844" s="4"/>
      <c r="G844" s="3" t="s">
        <v>29</v>
      </c>
      <c r="H844" s="5">
        <v>4421</v>
      </c>
      <c r="I844" s="3" t="str">
        <f>VLOOKUP(Tabela1[[#This Row],[Advogado]],Tabela2[],2,FALSE)</f>
        <v>Caio Brito</v>
      </c>
      <c r="J844" s="17">
        <f>IF(Tabela1[[#This Row],[Data de conclusão]]="",NETWORKDAYS(Tabela1[[#This Row],[Data de entrada]],$J$2),NETWORKDAYS(Tabela1[[#This Row],[Data de entrada]],Tabela1[[#This Row],[Data de conclusão]]))</f>
        <v>515</v>
      </c>
      <c r="K844" s="1"/>
    </row>
    <row r="845" spans="2:11" x14ac:dyDescent="0.25">
      <c r="B845" s="3">
        <v>952</v>
      </c>
      <c r="C845" s="3" t="s">
        <v>8</v>
      </c>
      <c r="D845" s="3" t="s">
        <v>11</v>
      </c>
      <c r="E845" s="4">
        <v>43015</v>
      </c>
      <c r="F845" s="4"/>
      <c r="G845" s="3" t="s">
        <v>29</v>
      </c>
      <c r="H845" s="5">
        <v>39109</v>
      </c>
      <c r="I845" s="3" t="str">
        <f>VLOOKUP(Tabela1[[#This Row],[Advogado]],Tabela2[],2,FALSE)</f>
        <v>Caio Brito</v>
      </c>
      <c r="J845" s="17">
        <f>IF(Tabela1[[#This Row],[Data de conclusão]]="",NETWORKDAYS(Tabela1[[#This Row],[Data de entrada]],$J$2),NETWORKDAYS(Tabela1[[#This Row],[Data de entrada]],Tabela1[[#This Row],[Data de conclusão]]))</f>
        <v>157</v>
      </c>
      <c r="K845" s="1"/>
    </row>
    <row r="846" spans="2:11" x14ac:dyDescent="0.25">
      <c r="B846" s="3">
        <v>953</v>
      </c>
      <c r="C846" s="3" t="s">
        <v>9</v>
      </c>
      <c r="D846" s="3" t="s">
        <v>12</v>
      </c>
      <c r="E846" s="4">
        <v>42435</v>
      </c>
      <c r="F846" s="4"/>
      <c r="G846" s="3" t="s">
        <v>29</v>
      </c>
      <c r="H846" s="5">
        <v>45925</v>
      </c>
      <c r="I846" s="3" t="str">
        <f>VLOOKUP(Tabela1[[#This Row],[Advogado]],Tabela2[],2,FALSE)</f>
        <v>Caio Brito</v>
      </c>
      <c r="J846" s="17">
        <f>IF(Tabela1[[#This Row],[Data de conclusão]]="",NETWORKDAYS(Tabela1[[#This Row],[Data de entrada]],$J$2),NETWORKDAYS(Tabela1[[#This Row],[Data de entrada]],Tabela1[[#This Row],[Data de conclusão]]))</f>
        <v>572</v>
      </c>
      <c r="K846" s="1"/>
    </row>
    <row r="847" spans="2:11" x14ac:dyDescent="0.25">
      <c r="B847" s="3">
        <v>954</v>
      </c>
      <c r="C847" s="3" t="s">
        <v>7</v>
      </c>
      <c r="D847" s="3" t="s">
        <v>13</v>
      </c>
      <c r="E847" s="4">
        <v>42899</v>
      </c>
      <c r="F847" s="4">
        <v>42969</v>
      </c>
      <c r="G847" s="3" t="s">
        <v>28</v>
      </c>
      <c r="H847" s="5">
        <v>47718</v>
      </c>
      <c r="I847" s="3" t="str">
        <f>VLOOKUP(Tabela1[[#This Row],[Advogado]],Tabela2[],2,FALSE)</f>
        <v>Caio Brito</v>
      </c>
      <c r="J847" s="17">
        <f>IF(Tabela1[[#This Row],[Data de conclusão]]="",NETWORKDAYS(Tabela1[[#This Row],[Data de entrada]],$J$2),NETWORKDAYS(Tabela1[[#This Row],[Data de entrada]],Tabela1[[#This Row],[Data de conclusão]]))</f>
        <v>51</v>
      </c>
      <c r="K847" s="1"/>
    </row>
    <row r="848" spans="2:11" x14ac:dyDescent="0.25">
      <c r="B848" s="3">
        <v>955</v>
      </c>
      <c r="C848" s="3" t="s">
        <v>8</v>
      </c>
      <c r="D848" s="3" t="s">
        <v>14</v>
      </c>
      <c r="E848" s="4">
        <v>42934</v>
      </c>
      <c r="F848" s="4"/>
      <c r="G848" s="3" t="s">
        <v>27</v>
      </c>
      <c r="H848" s="5">
        <v>2507</v>
      </c>
      <c r="I848" s="3" t="str">
        <f>VLOOKUP(Tabela1[[#This Row],[Advogado]],Tabela2[],2,FALSE)</f>
        <v>Renê Amaranto</v>
      </c>
      <c r="J848" s="17">
        <f>IF(Tabela1[[#This Row],[Data de conclusão]]="",NETWORKDAYS(Tabela1[[#This Row],[Data de entrada]],$J$2),NETWORKDAYS(Tabela1[[#This Row],[Data de entrada]],Tabela1[[#This Row],[Data de conclusão]]))</f>
        <v>216</v>
      </c>
      <c r="K848" s="1"/>
    </row>
    <row r="849" spans="2:11" x14ac:dyDescent="0.25">
      <c r="B849" s="3">
        <v>956</v>
      </c>
      <c r="C849" s="3" t="s">
        <v>9</v>
      </c>
      <c r="D849" s="3" t="s">
        <v>15</v>
      </c>
      <c r="E849" s="4">
        <v>42405</v>
      </c>
      <c r="F849" s="4"/>
      <c r="G849" s="3" t="s">
        <v>29</v>
      </c>
      <c r="H849" s="5">
        <v>40712</v>
      </c>
      <c r="I849" s="3" t="str">
        <f>VLOOKUP(Tabela1[[#This Row],[Advogado]],Tabela2[],2,FALSE)</f>
        <v>Renê Amaranto</v>
      </c>
      <c r="J849" s="17">
        <f>IF(Tabela1[[#This Row],[Data de conclusão]]="",NETWORKDAYS(Tabela1[[#This Row],[Data de entrada]],$J$2),NETWORKDAYS(Tabela1[[#This Row],[Data de entrada]],Tabela1[[#This Row],[Data de conclusão]]))</f>
        <v>593</v>
      </c>
      <c r="K849" s="1"/>
    </row>
    <row r="850" spans="2:11" x14ac:dyDescent="0.25">
      <c r="B850" s="3">
        <v>957</v>
      </c>
      <c r="C850" s="3" t="s">
        <v>7</v>
      </c>
      <c r="D850" s="3" t="s">
        <v>16</v>
      </c>
      <c r="E850" s="4">
        <v>42551</v>
      </c>
      <c r="F850" s="4"/>
      <c r="G850" s="3" t="s">
        <v>29</v>
      </c>
      <c r="H850" s="5">
        <v>48079</v>
      </c>
      <c r="I850" s="3" t="str">
        <f>VLOOKUP(Tabela1[[#This Row],[Advogado]],Tabela2[],2,FALSE)</f>
        <v>Renê Amaranto</v>
      </c>
      <c r="J850" s="17">
        <f>IF(Tabela1[[#This Row],[Data de conclusão]]="",NETWORKDAYS(Tabela1[[#This Row],[Data de entrada]],$J$2),NETWORKDAYS(Tabela1[[#This Row],[Data de entrada]],Tabela1[[#This Row],[Data de conclusão]]))</f>
        <v>489</v>
      </c>
      <c r="K850" s="1"/>
    </row>
    <row r="851" spans="2:11" x14ac:dyDescent="0.25">
      <c r="B851" s="3">
        <v>958</v>
      </c>
      <c r="C851" s="3" t="s">
        <v>8</v>
      </c>
      <c r="D851" s="3" t="s">
        <v>17</v>
      </c>
      <c r="E851" s="4">
        <v>42581</v>
      </c>
      <c r="F851" s="4"/>
      <c r="G851" s="3" t="s">
        <v>29</v>
      </c>
      <c r="H851" s="5">
        <v>25427</v>
      </c>
      <c r="I851" s="3" t="str">
        <f>VLOOKUP(Tabela1[[#This Row],[Advogado]],Tabela2[],2,FALSE)</f>
        <v>Renê Amaranto</v>
      </c>
      <c r="J851" s="17">
        <f>IF(Tabela1[[#This Row],[Data de conclusão]]="",NETWORKDAYS(Tabela1[[#This Row],[Data de entrada]],$J$2),NETWORKDAYS(Tabela1[[#This Row],[Data de entrada]],Tabela1[[#This Row],[Data de conclusão]]))</f>
        <v>467</v>
      </c>
      <c r="K851" s="1"/>
    </row>
    <row r="852" spans="2:11" x14ac:dyDescent="0.25">
      <c r="B852" s="3">
        <v>959</v>
      </c>
      <c r="C852" s="3" t="s">
        <v>9</v>
      </c>
      <c r="D852" s="3" t="s">
        <v>10</v>
      </c>
      <c r="E852" s="4">
        <v>42940</v>
      </c>
      <c r="F852" s="4"/>
      <c r="G852" s="3" t="s">
        <v>29</v>
      </c>
      <c r="H852" s="5">
        <v>38609</v>
      </c>
      <c r="I852" s="3" t="str">
        <f>VLOOKUP(Tabela1[[#This Row],[Advogado]],Tabela2[],2,FALSE)</f>
        <v>Caio Brito</v>
      </c>
      <c r="J852" s="17">
        <f>IF(Tabela1[[#This Row],[Data de conclusão]]="",NETWORKDAYS(Tabela1[[#This Row],[Data de entrada]],$J$2),NETWORKDAYS(Tabela1[[#This Row],[Data de entrada]],Tabela1[[#This Row],[Data de conclusão]]))</f>
        <v>212</v>
      </c>
      <c r="K852" s="1"/>
    </row>
    <row r="853" spans="2:11" x14ac:dyDescent="0.25">
      <c r="B853" s="3">
        <v>960</v>
      </c>
      <c r="C853" s="3" t="s">
        <v>7</v>
      </c>
      <c r="D853" s="3" t="s">
        <v>11</v>
      </c>
      <c r="E853" s="4">
        <v>42922</v>
      </c>
      <c r="F853" s="4"/>
      <c r="G853" s="3" t="s">
        <v>29</v>
      </c>
      <c r="H853" s="5">
        <v>30684</v>
      </c>
      <c r="I853" s="3" t="str">
        <f>VLOOKUP(Tabela1[[#This Row],[Advogado]],Tabela2[],2,FALSE)</f>
        <v>Caio Brito</v>
      </c>
      <c r="J853" s="17">
        <f>IF(Tabela1[[#This Row],[Data de conclusão]]="",NETWORKDAYS(Tabela1[[#This Row],[Data de entrada]],$J$2),NETWORKDAYS(Tabela1[[#This Row],[Data de entrada]],Tabela1[[#This Row],[Data de conclusão]]))</f>
        <v>224</v>
      </c>
      <c r="K853" s="1"/>
    </row>
    <row r="854" spans="2:11" x14ac:dyDescent="0.25">
      <c r="B854" s="3">
        <v>961</v>
      </c>
      <c r="C854" s="3" t="s">
        <v>8</v>
      </c>
      <c r="D854" s="3" t="s">
        <v>12</v>
      </c>
      <c r="E854" s="4">
        <v>42409</v>
      </c>
      <c r="F854" s="4"/>
      <c r="G854" s="3" t="s">
        <v>29</v>
      </c>
      <c r="H854" s="5">
        <v>54719</v>
      </c>
      <c r="I854" s="3" t="str">
        <f>VLOOKUP(Tabela1[[#This Row],[Advogado]],Tabela2[],2,FALSE)</f>
        <v>Caio Brito</v>
      </c>
      <c r="J854" s="17">
        <f>IF(Tabela1[[#This Row],[Data de conclusão]]="",NETWORKDAYS(Tabela1[[#This Row],[Data de entrada]],$J$2),NETWORKDAYS(Tabela1[[#This Row],[Data de entrada]],Tabela1[[#This Row],[Data de conclusão]]))</f>
        <v>591</v>
      </c>
      <c r="K854" s="1"/>
    </row>
    <row r="855" spans="2:11" x14ac:dyDescent="0.25">
      <c r="B855" s="3">
        <v>962</v>
      </c>
      <c r="C855" s="3" t="s">
        <v>9</v>
      </c>
      <c r="D855" s="3" t="s">
        <v>13</v>
      </c>
      <c r="E855" s="4">
        <v>42546</v>
      </c>
      <c r="F855" s="4"/>
      <c r="G855" s="3" t="s">
        <v>29</v>
      </c>
      <c r="H855" s="5">
        <v>17974</v>
      </c>
      <c r="I855" s="3" t="str">
        <f>VLOOKUP(Tabela1[[#This Row],[Advogado]],Tabela2[],2,FALSE)</f>
        <v>Caio Brito</v>
      </c>
      <c r="J855" s="17">
        <f>IF(Tabela1[[#This Row],[Data de conclusão]]="",NETWORKDAYS(Tabela1[[#This Row],[Data de entrada]],$J$2),NETWORKDAYS(Tabela1[[#This Row],[Data de entrada]],Tabela1[[#This Row],[Data de conclusão]]))</f>
        <v>492</v>
      </c>
      <c r="K855" s="1"/>
    </row>
    <row r="856" spans="2:11" x14ac:dyDescent="0.25">
      <c r="B856" s="3">
        <v>963</v>
      </c>
      <c r="C856" s="3" t="s">
        <v>7</v>
      </c>
      <c r="D856" s="3" t="s">
        <v>14</v>
      </c>
      <c r="E856" s="4">
        <v>42575</v>
      </c>
      <c r="F856" s="4"/>
      <c r="G856" s="3" t="s">
        <v>29</v>
      </c>
      <c r="H856" s="5">
        <v>42708</v>
      </c>
      <c r="I856" s="3" t="str">
        <f>VLOOKUP(Tabela1[[#This Row],[Advogado]],Tabela2[],2,FALSE)</f>
        <v>Renê Amaranto</v>
      </c>
      <c r="J856" s="17">
        <f>IF(Tabela1[[#This Row],[Data de conclusão]]="",NETWORKDAYS(Tabela1[[#This Row],[Data de entrada]],$J$2),NETWORKDAYS(Tabela1[[#This Row],[Data de entrada]],Tabela1[[#This Row],[Data de conclusão]]))</f>
        <v>472</v>
      </c>
      <c r="K856" s="1"/>
    </row>
    <row r="857" spans="2:11" x14ac:dyDescent="0.25">
      <c r="B857" s="3">
        <v>964</v>
      </c>
      <c r="C857" s="3" t="s">
        <v>8</v>
      </c>
      <c r="D857" s="3" t="s">
        <v>15</v>
      </c>
      <c r="E857" s="4">
        <v>42863</v>
      </c>
      <c r="F857" s="4"/>
      <c r="G857" s="3" t="s">
        <v>29</v>
      </c>
      <c r="H857" s="5">
        <v>42839</v>
      </c>
      <c r="I857" s="3" t="str">
        <f>VLOOKUP(Tabela1[[#This Row],[Advogado]],Tabela2[],2,FALSE)</f>
        <v>Renê Amaranto</v>
      </c>
      <c r="J857" s="17">
        <f>IF(Tabela1[[#This Row],[Data de conclusão]]="",NETWORKDAYS(Tabela1[[#This Row],[Data de entrada]],$J$2),NETWORKDAYS(Tabela1[[#This Row],[Data de entrada]],Tabela1[[#This Row],[Data de conclusão]]))</f>
        <v>267</v>
      </c>
      <c r="K857" s="1"/>
    </row>
    <row r="858" spans="2:11" x14ac:dyDescent="0.25">
      <c r="B858" s="3">
        <v>965</v>
      </c>
      <c r="C858" s="3" t="s">
        <v>9</v>
      </c>
      <c r="D858" s="3" t="s">
        <v>16</v>
      </c>
      <c r="E858" s="4">
        <v>42973</v>
      </c>
      <c r="F858" s="4"/>
      <c r="G858" s="3" t="s">
        <v>29</v>
      </c>
      <c r="H858" s="5">
        <v>10900</v>
      </c>
      <c r="I858" s="3" t="str">
        <f>VLOOKUP(Tabela1[[#This Row],[Advogado]],Tabela2[],2,FALSE)</f>
        <v>Renê Amaranto</v>
      </c>
      <c r="J858" s="17">
        <f>IF(Tabela1[[#This Row],[Data de conclusão]]="",NETWORKDAYS(Tabela1[[#This Row],[Data de entrada]],$J$2),NETWORKDAYS(Tabela1[[#This Row],[Data de entrada]],Tabela1[[#This Row],[Data de conclusão]]))</f>
        <v>187</v>
      </c>
      <c r="K858" s="1"/>
    </row>
    <row r="859" spans="2:11" x14ac:dyDescent="0.25">
      <c r="B859" s="3">
        <v>966</v>
      </c>
      <c r="C859" s="3" t="s">
        <v>7</v>
      </c>
      <c r="D859" s="3" t="s">
        <v>17</v>
      </c>
      <c r="E859" s="4">
        <v>42978</v>
      </c>
      <c r="F859" s="4"/>
      <c r="G859" s="3" t="s">
        <v>29</v>
      </c>
      <c r="H859" s="5">
        <v>17227</v>
      </c>
      <c r="I859" s="3" t="str">
        <f>VLOOKUP(Tabela1[[#This Row],[Advogado]],Tabela2[],2,FALSE)</f>
        <v>Renê Amaranto</v>
      </c>
      <c r="J859" s="17">
        <f>IF(Tabela1[[#This Row],[Data de conclusão]]="",NETWORKDAYS(Tabela1[[#This Row],[Data de entrada]],$J$2),NETWORKDAYS(Tabela1[[#This Row],[Data de entrada]],Tabela1[[#This Row],[Data de conclusão]]))</f>
        <v>184</v>
      </c>
      <c r="K859" s="1"/>
    </row>
    <row r="860" spans="2:11" x14ac:dyDescent="0.25">
      <c r="B860" s="3">
        <v>967</v>
      </c>
      <c r="C860" s="3" t="s">
        <v>8</v>
      </c>
      <c r="D860" s="3" t="s">
        <v>10</v>
      </c>
      <c r="E860" s="4">
        <v>42880</v>
      </c>
      <c r="F860" s="4">
        <v>42940</v>
      </c>
      <c r="G860" s="3" t="s">
        <v>28</v>
      </c>
      <c r="H860" s="5">
        <v>6897</v>
      </c>
      <c r="I860" s="3" t="str">
        <f>VLOOKUP(Tabela1[[#This Row],[Advogado]],Tabela2[],2,FALSE)</f>
        <v>Caio Brito</v>
      </c>
      <c r="J860" s="17">
        <f>IF(Tabela1[[#This Row],[Data de conclusão]]="",NETWORKDAYS(Tabela1[[#This Row],[Data de entrada]],$J$2),NETWORKDAYS(Tabela1[[#This Row],[Data de entrada]],Tabela1[[#This Row],[Data de conclusão]]))</f>
        <v>43</v>
      </c>
      <c r="K860" s="1"/>
    </row>
    <row r="861" spans="2:11" x14ac:dyDescent="0.25">
      <c r="B861" s="3">
        <v>968</v>
      </c>
      <c r="C861" s="3" t="s">
        <v>9</v>
      </c>
      <c r="D861" s="3" t="s">
        <v>11</v>
      </c>
      <c r="E861" s="4">
        <v>42837</v>
      </c>
      <c r="F861" s="4"/>
      <c r="G861" s="3" t="s">
        <v>27</v>
      </c>
      <c r="H861" s="5">
        <v>40865</v>
      </c>
      <c r="I861" s="3" t="str">
        <f>VLOOKUP(Tabela1[[#This Row],[Advogado]],Tabela2[],2,FALSE)</f>
        <v>Caio Brito</v>
      </c>
      <c r="J861" s="17">
        <f>IF(Tabela1[[#This Row],[Data de conclusão]]="",NETWORKDAYS(Tabela1[[#This Row],[Data de entrada]],$J$2),NETWORKDAYS(Tabela1[[#This Row],[Data de entrada]],Tabela1[[#This Row],[Data de conclusão]]))</f>
        <v>285</v>
      </c>
      <c r="K861" s="1"/>
    </row>
    <row r="862" spans="2:11" x14ac:dyDescent="0.25">
      <c r="B862" s="3">
        <v>969</v>
      </c>
      <c r="C862" s="3" t="s">
        <v>7</v>
      </c>
      <c r="D862" s="3" t="s">
        <v>12</v>
      </c>
      <c r="E862" s="4">
        <v>42833</v>
      </c>
      <c r="F862" s="4"/>
      <c r="G862" s="3" t="s">
        <v>29</v>
      </c>
      <c r="H862" s="5">
        <v>57719</v>
      </c>
      <c r="I862" s="3" t="str">
        <f>VLOOKUP(Tabela1[[#This Row],[Advogado]],Tabela2[],2,FALSE)</f>
        <v>Caio Brito</v>
      </c>
      <c r="J862" s="17">
        <f>IF(Tabela1[[#This Row],[Data de conclusão]]="",NETWORKDAYS(Tabela1[[#This Row],[Data de entrada]],$J$2),NETWORKDAYS(Tabela1[[#This Row],[Data de entrada]],Tabela1[[#This Row],[Data de conclusão]]))</f>
        <v>287</v>
      </c>
      <c r="K862" s="1"/>
    </row>
    <row r="863" spans="2:11" x14ac:dyDescent="0.25">
      <c r="B863" s="3">
        <v>970</v>
      </c>
      <c r="C863" s="3" t="s">
        <v>8</v>
      </c>
      <c r="D863" s="3" t="s">
        <v>13</v>
      </c>
      <c r="E863" s="4">
        <v>42826</v>
      </c>
      <c r="F863" s="4"/>
      <c r="G863" s="3" t="s">
        <v>29</v>
      </c>
      <c r="H863" s="5">
        <v>39274</v>
      </c>
      <c r="I863" s="3" t="str">
        <f>VLOOKUP(Tabela1[[#This Row],[Advogado]],Tabela2[],2,FALSE)</f>
        <v>Caio Brito</v>
      </c>
      <c r="J863" s="17">
        <f>IF(Tabela1[[#This Row],[Data de conclusão]]="",NETWORKDAYS(Tabela1[[#This Row],[Data de entrada]],$J$2),NETWORKDAYS(Tabela1[[#This Row],[Data de entrada]],Tabela1[[#This Row],[Data de conclusão]]))</f>
        <v>292</v>
      </c>
      <c r="K863" s="1"/>
    </row>
    <row r="864" spans="2:11" x14ac:dyDescent="0.25">
      <c r="B864" s="3">
        <v>971</v>
      </c>
      <c r="C864" s="3" t="s">
        <v>9</v>
      </c>
      <c r="D864" s="3" t="s">
        <v>14</v>
      </c>
      <c r="E864" s="4">
        <v>42696</v>
      </c>
      <c r="F864" s="4"/>
      <c r="G864" s="3" t="s">
        <v>29</v>
      </c>
      <c r="H864" s="5">
        <v>21070</v>
      </c>
      <c r="I864" s="3" t="str">
        <f>VLOOKUP(Tabela1[[#This Row],[Advogado]],Tabela2[],2,FALSE)</f>
        <v>Renê Amaranto</v>
      </c>
      <c r="J864" s="17">
        <f>IF(Tabela1[[#This Row],[Data de conclusão]]="",NETWORKDAYS(Tabela1[[#This Row],[Data de entrada]],$J$2),NETWORKDAYS(Tabela1[[#This Row],[Data de entrada]],Tabela1[[#This Row],[Data de conclusão]]))</f>
        <v>386</v>
      </c>
      <c r="K864" s="1"/>
    </row>
    <row r="865" spans="2:11" x14ac:dyDescent="0.25">
      <c r="B865" s="3">
        <v>972</v>
      </c>
      <c r="C865" s="3" t="s">
        <v>7</v>
      </c>
      <c r="D865" s="3" t="s">
        <v>15</v>
      </c>
      <c r="E865" s="4">
        <v>43006</v>
      </c>
      <c r="F865" s="4"/>
      <c r="G865" s="3" t="s">
        <v>29</v>
      </c>
      <c r="H865" s="5">
        <v>44392</v>
      </c>
      <c r="I865" s="3" t="str">
        <f>VLOOKUP(Tabela1[[#This Row],[Advogado]],Tabela2[],2,FALSE)</f>
        <v>Renê Amaranto</v>
      </c>
      <c r="J865" s="17">
        <f>IF(Tabela1[[#This Row],[Data de conclusão]]="",NETWORKDAYS(Tabela1[[#This Row],[Data de entrada]],$J$2),NETWORKDAYS(Tabela1[[#This Row],[Data de entrada]],Tabela1[[#This Row],[Data de conclusão]]))</f>
        <v>164</v>
      </c>
      <c r="K865" s="1"/>
    </row>
    <row r="866" spans="2:11" x14ac:dyDescent="0.25">
      <c r="B866" s="3">
        <v>973</v>
      </c>
      <c r="C866" s="3" t="s">
        <v>8</v>
      </c>
      <c r="D866" s="3" t="s">
        <v>16</v>
      </c>
      <c r="E866" s="4">
        <v>42833</v>
      </c>
      <c r="F866" s="4"/>
      <c r="G866" s="3" t="s">
        <v>29</v>
      </c>
      <c r="H866" s="5">
        <v>16606</v>
      </c>
      <c r="I866" s="3" t="str">
        <f>VLOOKUP(Tabela1[[#This Row],[Advogado]],Tabela2[],2,FALSE)</f>
        <v>Renê Amaranto</v>
      </c>
      <c r="J866" s="17">
        <f>IF(Tabela1[[#This Row],[Data de conclusão]]="",NETWORKDAYS(Tabela1[[#This Row],[Data de entrada]],$J$2),NETWORKDAYS(Tabela1[[#This Row],[Data de entrada]],Tabela1[[#This Row],[Data de conclusão]]))</f>
        <v>287</v>
      </c>
      <c r="K866" s="1"/>
    </row>
    <row r="867" spans="2:11" x14ac:dyDescent="0.25">
      <c r="B867" s="3">
        <v>974</v>
      </c>
      <c r="C867" s="3" t="s">
        <v>9</v>
      </c>
      <c r="D867" s="3" t="s">
        <v>17</v>
      </c>
      <c r="E867" s="4">
        <v>42966</v>
      </c>
      <c r="F867" s="4"/>
      <c r="G867" s="3" t="s">
        <v>29</v>
      </c>
      <c r="H867" s="5">
        <v>16468</v>
      </c>
      <c r="I867" s="3" t="str">
        <f>VLOOKUP(Tabela1[[#This Row],[Advogado]],Tabela2[],2,FALSE)</f>
        <v>Renê Amaranto</v>
      </c>
      <c r="J867" s="17">
        <f>IF(Tabela1[[#This Row],[Data de conclusão]]="",NETWORKDAYS(Tabela1[[#This Row],[Data de entrada]],$J$2),NETWORKDAYS(Tabela1[[#This Row],[Data de entrada]],Tabela1[[#This Row],[Data de conclusão]]))</f>
        <v>192</v>
      </c>
      <c r="K867" s="1"/>
    </row>
    <row r="868" spans="2:11" x14ac:dyDescent="0.25">
      <c r="B868" s="3">
        <v>975</v>
      </c>
      <c r="C868" s="3" t="s">
        <v>7</v>
      </c>
      <c r="D868" s="3" t="s">
        <v>10</v>
      </c>
      <c r="E868" s="4">
        <v>43062</v>
      </c>
      <c r="F868" s="4"/>
      <c r="G868" s="3" t="s">
        <v>29</v>
      </c>
      <c r="H868" s="5">
        <v>48262</v>
      </c>
      <c r="I868" s="3" t="str">
        <f>VLOOKUP(Tabela1[[#This Row],[Advogado]],Tabela2[],2,FALSE)</f>
        <v>Caio Brito</v>
      </c>
      <c r="J868" s="17">
        <f>IF(Tabela1[[#This Row],[Data de conclusão]]="",NETWORKDAYS(Tabela1[[#This Row],[Data de entrada]],$J$2),NETWORKDAYS(Tabela1[[#This Row],[Data de entrada]],Tabela1[[#This Row],[Data de conclusão]]))</f>
        <v>124</v>
      </c>
      <c r="K868" s="1"/>
    </row>
    <row r="869" spans="2:11" x14ac:dyDescent="0.25">
      <c r="B869" s="3">
        <v>976</v>
      </c>
      <c r="C869" s="3" t="s">
        <v>8</v>
      </c>
      <c r="D869" s="3" t="s">
        <v>11</v>
      </c>
      <c r="E869" s="4">
        <v>42568</v>
      </c>
      <c r="F869" s="4"/>
      <c r="G869" s="3" t="s">
        <v>29</v>
      </c>
      <c r="H869" s="5">
        <v>34234</v>
      </c>
      <c r="I869" s="3" t="str">
        <f>VLOOKUP(Tabela1[[#This Row],[Advogado]],Tabela2[],2,FALSE)</f>
        <v>Caio Brito</v>
      </c>
      <c r="J869" s="17">
        <f>IF(Tabela1[[#This Row],[Data de conclusão]]="",NETWORKDAYS(Tabela1[[#This Row],[Data de entrada]],$J$2),NETWORKDAYS(Tabela1[[#This Row],[Data de entrada]],Tabela1[[#This Row],[Data de conclusão]]))</f>
        <v>477</v>
      </c>
      <c r="K869" s="1"/>
    </row>
    <row r="870" spans="2:11" x14ac:dyDescent="0.25">
      <c r="B870" s="3">
        <v>977</v>
      </c>
      <c r="C870" s="3" t="s">
        <v>9</v>
      </c>
      <c r="D870" s="3" t="s">
        <v>12</v>
      </c>
      <c r="E870" s="4">
        <v>42961</v>
      </c>
      <c r="F870" s="4"/>
      <c r="G870" s="3" t="s">
        <v>29</v>
      </c>
      <c r="H870" s="5">
        <v>5769</v>
      </c>
      <c r="I870" s="3" t="str">
        <f>VLOOKUP(Tabela1[[#This Row],[Advogado]],Tabela2[],2,FALSE)</f>
        <v>Caio Brito</v>
      </c>
      <c r="J870" s="17">
        <f>IF(Tabela1[[#This Row],[Data de conclusão]]="",NETWORKDAYS(Tabela1[[#This Row],[Data de entrada]],$J$2),NETWORKDAYS(Tabela1[[#This Row],[Data de entrada]],Tabela1[[#This Row],[Data de conclusão]]))</f>
        <v>197</v>
      </c>
      <c r="K870" s="1"/>
    </row>
    <row r="871" spans="2:11" x14ac:dyDescent="0.25">
      <c r="B871" s="3">
        <v>978</v>
      </c>
      <c r="C871" s="3" t="s">
        <v>7</v>
      </c>
      <c r="D871" s="3" t="s">
        <v>13</v>
      </c>
      <c r="E871" s="4">
        <v>42617</v>
      </c>
      <c r="F871" s="4"/>
      <c r="G871" s="3" t="s">
        <v>29</v>
      </c>
      <c r="H871" s="5">
        <v>21589</v>
      </c>
      <c r="I871" s="3" t="str">
        <f>VLOOKUP(Tabela1[[#This Row],[Advogado]],Tabela2[],2,FALSE)</f>
        <v>Caio Brito</v>
      </c>
      <c r="J871" s="17">
        <f>IF(Tabela1[[#This Row],[Data de conclusão]]="",NETWORKDAYS(Tabela1[[#This Row],[Data de entrada]],$J$2),NETWORKDAYS(Tabela1[[#This Row],[Data de entrada]],Tabela1[[#This Row],[Data de conclusão]]))</f>
        <v>442</v>
      </c>
      <c r="K871" s="1"/>
    </row>
    <row r="872" spans="2:11" x14ac:dyDescent="0.25">
      <c r="B872" s="3">
        <v>979</v>
      </c>
      <c r="C872" s="3" t="s">
        <v>8</v>
      </c>
      <c r="D872" s="3" t="s">
        <v>14</v>
      </c>
      <c r="E872" s="4">
        <v>42901</v>
      </c>
      <c r="F872" s="4"/>
      <c r="G872" s="3" t="s">
        <v>29</v>
      </c>
      <c r="H872" s="5">
        <v>7798</v>
      </c>
      <c r="I872" s="3" t="str">
        <f>VLOOKUP(Tabela1[[#This Row],[Advogado]],Tabela2[],2,FALSE)</f>
        <v>Renê Amaranto</v>
      </c>
      <c r="J872" s="17">
        <f>IF(Tabela1[[#This Row],[Data de conclusão]]="",NETWORKDAYS(Tabela1[[#This Row],[Data de entrada]],$J$2),NETWORKDAYS(Tabela1[[#This Row],[Data de entrada]],Tabela1[[#This Row],[Data de conclusão]]))</f>
        <v>239</v>
      </c>
      <c r="K872" s="1"/>
    </row>
    <row r="873" spans="2:11" x14ac:dyDescent="0.25">
      <c r="B873" s="3">
        <v>980</v>
      </c>
      <c r="C873" s="3" t="s">
        <v>9</v>
      </c>
      <c r="D873" s="3" t="s">
        <v>15</v>
      </c>
      <c r="E873" s="4">
        <v>42823</v>
      </c>
      <c r="F873" s="4">
        <v>42865</v>
      </c>
      <c r="G873" s="3" t="s">
        <v>28</v>
      </c>
      <c r="H873" s="5">
        <v>47221</v>
      </c>
      <c r="I873" s="3" t="str">
        <f>VLOOKUP(Tabela1[[#This Row],[Advogado]],Tabela2[],2,FALSE)</f>
        <v>Renê Amaranto</v>
      </c>
      <c r="J873" s="17">
        <f>IF(Tabela1[[#This Row],[Data de conclusão]]="",NETWORKDAYS(Tabela1[[#This Row],[Data de entrada]],$J$2),NETWORKDAYS(Tabela1[[#This Row],[Data de entrada]],Tabela1[[#This Row],[Data de conclusão]]))</f>
        <v>31</v>
      </c>
      <c r="K873" s="1"/>
    </row>
    <row r="874" spans="2:11" x14ac:dyDescent="0.25">
      <c r="B874" s="3">
        <v>981</v>
      </c>
      <c r="C874" s="3" t="s">
        <v>7</v>
      </c>
      <c r="D874" s="3" t="s">
        <v>16</v>
      </c>
      <c r="E874" s="4">
        <v>42569</v>
      </c>
      <c r="F874" s="4"/>
      <c r="G874" s="3" t="s">
        <v>27</v>
      </c>
      <c r="H874" s="5">
        <v>13824</v>
      </c>
      <c r="I874" s="3" t="str">
        <f>VLOOKUP(Tabela1[[#This Row],[Advogado]],Tabela2[],2,FALSE)</f>
        <v>Renê Amaranto</v>
      </c>
      <c r="J874" s="17">
        <f>IF(Tabela1[[#This Row],[Data de conclusão]]="",NETWORKDAYS(Tabela1[[#This Row],[Data de entrada]],$J$2),NETWORKDAYS(Tabela1[[#This Row],[Data de entrada]],Tabela1[[#This Row],[Data de conclusão]]))</f>
        <v>477</v>
      </c>
      <c r="K874" s="1"/>
    </row>
    <row r="875" spans="2:11" x14ac:dyDescent="0.25">
      <c r="B875" s="3">
        <v>982</v>
      </c>
      <c r="C875" s="3" t="s">
        <v>8</v>
      </c>
      <c r="D875" s="3" t="s">
        <v>17</v>
      </c>
      <c r="E875" s="4">
        <v>42392</v>
      </c>
      <c r="F875" s="4"/>
      <c r="G875" s="3" t="s">
        <v>29</v>
      </c>
      <c r="H875" s="5">
        <v>56827</v>
      </c>
      <c r="I875" s="3" t="str">
        <f>VLOOKUP(Tabela1[[#This Row],[Advogado]],Tabela2[],2,FALSE)</f>
        <v>Renê Amaranto</v>
      </c>
      <c r="J875" s="17">
        <f>IF(Tabela1[[#This Row],[Data de conclusão]]="",NETWORKDAYS(Tabela1[[#This Row],[Data de entrada]],$J$2),NETWORKDAYS(Tabela1[[#This Row],[Data de entrada]],Tabela1[[#This Row],[Data de conclusão]]))</f>
        <v>602</v>
      </c>
      <c r="K875" s="1"/>
    </row>
    <row r="876" spans="2:11" x14ac:dyDescent="0.25">
      <c r="B876" s="3">
        <v>983</v>
      </c>
      <c r="C876" s="3" t="s">
        <v>9</v>
      </c>
      <c r="D876" s="3" t="s">
        <v>10</v>
      </c>
      <c r="E876" s="4">
        <v>43087</v>
      </c>
      <c r="F876" s="4"/>
      <c r="G876" s="3" t="s">
        <v>29</v>
      </c>
      <c r="H876" s="5">
        <v>37335</v>
      </c>
      <c r="I876" s="3" t="str">
        <f>VLOOKUP(Tabela1[[#This Row],[Advogado]],Tabela2[],2,FALSE)</f>
        <v>Caio Brito</v>
      </c>
      <c r="J876" s="17">
        <f>IF(Tabela1[[#This Row],[Data de conclusão]]="",NETWORKDAYS(Tabela1[[#This Row],[Data de entrada]],$J$2),NETWORKDAYS(Tabela1[[#This Row],[Data de entrada]],Tabela1[[#This Row],[Data de conclusão]]))</f>
        <v>107</v>
      </c>
      <c r="K876" s="1"/>
    </row>
    <row r="877" spans="2:11" x14ac:dyDescent="0.25">
      <c r="B877" s="3">
        <v>984</v>
      </c>
      <c r="C877" s="3" t="s">
        <v>7</v>
      </c>
      <c r="D877" s="3" t="s">
        <v>11</v>
      </c>
      <c r="E877" s="4">
        <v>42494</v>
      </c>
      <c r="F877" s="4"/>
      <c r="G877" s="3" t="s">
        <v>29</v>
      </c>
      <c r="H877" s="5">
        <v>44969</v>
      </c>
      <c r="I877" s="3" t="str">
        <f>VLOOKUP(Tabela1[[#This Row],[Advogado]],Tabela2[],2,FALSE)</f>
        <v>Caio Brito</v>
      </c>
      <c r="J877" s="17">
        <f>IF(Tabela1[[#This Row],[Data de conclusão]]="",NETWORKDAYS(Tabela1[[#This Row],[Data de entrada]],$J$2),NETWORKDAYS(Tabela1[[#This Row],[Data de entrada]],Tabela1[[#This Row],[Data de conclusão]]))</f>
        <v>530</v>
      </c>
      <c r="K877" s="1"/>
    </row>
    <row r="878" spans="2:11" x14ac:dyDescent="0.25">
      <c r="B878" s="3">
        <v>985</v>
      </c>
      <c r="C878" s="3" t="s">
        <v>8</v>
      </c>
      <c r="D878" s="3" t="s">
        <v>12</v>
      </c>
      <c r="E878" s="4">
        <v>42379</v>
      </c>
      <c r="F878" s="4"/>
      <c r="G878" s="3" t="s">
        <v>29</v>
      </c>
      <c r="H878" s="5">
        <v>51485</v>
      </c>
      <c r="I878" s="3" t="str">
        <f>VLOOKUP(Tabela1[[#This Row],[Advogado]],Tabela2[],2,FALSE)</f>
        <v>Caio Brito</v>
      </c>
      <c r="J878" s="17">
        <f>IF(Tabela1[[#This Row],[Data de conclusão]]="",NETWORKDAYS(Tabela1[[#This Row],[Data de entrada]],$J$2),NETWORKDAYS(Tabela1[[#This Row],[Data de entrada]],Tabela1[[#This Row],[Data de conclusão]]))</f>
        <v>612</v>
      </c>
      <c r="K878" s="1"/>
    </row>
    <row r="879" spans="2:11" x14ac:dyDescent="0.25">
      <c r="B879" s="3">
        <v>986</v>
      </c>
      <c r="C879" s="3" t="s">
        <v>9</v>
      </c>
      <c r="D879" s="3" t="s">
        <v>13</v>
      </c>
      <c r="E879" s="4">
        <v>42493</v>
      </c>
      <c r="F879" s="4"/>
      <c r="G879" s="3" t="s">
        <v>29</v>
      </c>
      <c r="H879" s="5">
        <v>27523</v>
      </c>
      <c r="I879" s="3" t="str">
        <f>VLOOKUP(Tabela1[[#This Row],[Advogado]],Tabela2[],2,FALSE)</f>
        <v>Caio Brito</v>
      </c>
      <c r="J879" s="17">
        <f>IF(Tabela1[[#This Row],[Data de conclusão]]="",NETWORKDAYS(Tabela1[[#This Row],[Data de entrada]],$J$2),NETWORKDAYS(Tabela1[[#This Row],[Data de entrada]],Tabela1[[#This Row],[Data de conclusão]]))</f>
        <v>531</v>
      </c>
      <c r="K879" s="1"/>
    </row>
    <row r="880" spans="2:11" x14ac:dyDescent="0.25">
      <c r="B880" s="3">
        <v>987</v>
      </c>
      <c r="C880" s="3" t="s">
        <v>7</v>
      </c>
      <c r="D880" s="3" t="s">
        <v>14</v>
      </c>
      <c r="E880" s="4">
        <v>42589</v>
      </c>
      <c r="F880" s="4"/>
      <c r="G880" s="3" t="s">
        <v>29</v>
      </c>
      <c r="H880" s="5">
        <v>54597</v>
      </c>
      <c r="I880" s="3" t="str">
        <f>VLOOKUP(Tabela1[[#This Row],[Advogado]],Tabela2[],2,FALSE)</f>
        <v>Renê Amaranto</v>
      </c>
      <c r="J880" s="17">
        <f>IF(Tabela1[[#This Row],[Data de conclusão]]="",NETWORKDAYS(Tabela1[[#This Row],[Data de entrada]],$J$2),NETWORKDAYS(Tabela1[[#This Row],[Data de entrada]],Tabela1[[#This Row],[Data de conclusão]]))</f>
        <v>462</v>
      </c>
      <c r="K880" s="1"/>
    </row>
    <row r="881" spans="2:11" x14ac:dyDescent="0.25">
      <c r="B881" s="3">
        <v>988</v>
      </c>
      <c r="C881" s="3" t="s">
        <v>8</v>
      </c>
      <c r="D881" s="3" t="s">
        <v>15</v>
      </c>
      <c r="E881" s="4">
        <v>42670</v>
      </c>
      <c r="F881" s="4"/>
      <c r="G881" s="3" t="s">
        <v>29</v>
      </c>
      <c r="H881" s="5">
        <v>58867</v>
      </c>
      <c r="I881" s="3" t="str">
        <f>VLOOKUP(Tabela1[[#This Row],[Advogado]],Tabela2[],2,FALSE)</f>
        <v>Renê Amaranto</v>
      </c>
      <c r="J881" s="17">
        <f>IF(Tabela1[[#This Row],[Data de conclusão]]="",NETWORKDAYS(Tabela1[[#This Row],[Data de entrada]],$J$2),NETWORKDAYS(Tabela1[[#This Row],[Data de entrada]],Tabela1[[#This Row],[Data de conclusão]]))</f>
        <v>404</v>
      </c>
      <c r="K881" s="1"/>
    </row>
    <row r="882" spans="2:11" x14ac:dyDescent="0.25">
      <c r="B882" s="3">
        <v>989</v>
      </c>
      <c r="C882" s="3" t="s">
        <v>9</v>
      </c>
      <c r="D882" s="3" t="s">
        <v>16</v>
      </c>
      <c r="E882" s="4">
        <v>42843</v>
      </c>
      <c r="F882" s="4"/>
      <c r="G882" s="3" t="s">
        <v>29</v>
      </c>
      <c r="H882" s="5">
        <v>39979</v>
      </c>
      <c r="I882" s="3" t="str">
        <f>VLOOKUP(Tabela1[[#This Row],[Advogado]],Tabela2[],2,FALSE)</f>
        <v>Renê Amaranto</v>
      </c>
      <c r="J882" s="17">
        <f>IF(Tabela1[[#This Row],[Data de conclusão]]="",NETWORKDAYS(Tabela1[[#This Row],[Data de entrada]],$J$2),NETWORKDAYS(Tabela1[[#This Row],[Data de entrada]],Tabela1[[#This Row],[Data de conclusão]]))</f>
        <v>281</v>
      </c>
      <c r="K882" s="1"/>
    </row>
    <row r="883" spans="2:11" x14ac:dyDescent="0.25">
      <c r="B883" s="3">
        <v>990</v>
      </c>
      <c r="C883" s="3" t="s">
        <v>7</v>
      </c>
      <c r="D883" s="3" t="s">
        <v>17</v>
      </c>
      <c r="E883" s="4">
        <v>43084</v>
      </c>
      <c r="F883" s="4"/>
      <c r="G883" s="3" t="s">
        <v>29</v>
      </c>
      <c r="H883" s="5">
        <v>8523</v>
      </c>
      <c r="I883" s="3" t="str">
        <f>VLOOKUP(Tabela1[[#This Row],[Advogado]],Tabela2[],2,FALSE)</f>
        <v>Renê Amaranto</v>
      </c>
      <c r="J883" s="17">
        <f>IF(Tabela1[[#This Row],[Data de conclusão]]="",NETWORKDAYS(Tabela1[[#This Row],[Data de entrada]],$J$2),NETWORKDAYS(Tabela1[[#This Row],[Data de entrada]],Tabela1[[#This Row],[Data de conclusão]]))</f>
        <v>108</v>
      </c>
      <c r="K883" s="1"/>
    </row>
    <row r="884" spans="2:11" x14ac:dyDescent="0.25">
      <c r="B884" s="3">
        <v>991</v>
      </c>
      <c r="C884" s="3" t="s">
        <v>8</v>
      </c>
      <c r="D884" s="3" t="s">
        <v>10</v>
      </c>
      <c r="E884" s="4">
        <v>43098</v>
      </c>
      <c r="F884" s="4"/>
      <c r="G884" s="3" t="s">
        <v>29</v>
      </c>
      <c r="H884" s="5">
        <v>52695</v>
      </c>
      <c r="I884" s="3" t="str">
        <f>VLOOKUP(Tabela1[[#This Row],[Advogado]],Tabela2[],2,FALSE)</f>
        <v>Caio Brito</v>
      </c>
      <c r="J884" s="17">
        <f>IF(Tabela1[[#This Row],[Data de conclusão]]="",NETWORKDAYS(Tabela1[[#This Row],[Data de entrada]],$J$2),NETWORKDAYS(Tabela1[[#This Row],[Data de entrada]],Tabela1[[#This Row],[Data de conclusão]]))</f>
        <v>98</v>
      </c>
      <c r="K884" s="1"/>
    </row>
    <row r="885" spans="2:11" x14ac:dyDescent="0.25">
      <c r="B885" s="3">
        <v>992</v>
      </c>
      <c r="C885" s="3" t="s">
        <v>9</v>
      </c>
      <c r="D885" s="3" t="s">
        <v>11</v>
      </c>
      <c r="E885" s="4">
        <v>42884</v>
      </c>
      <c r="F885" s="4"/>
      <c r="G885" s="3" t="s">
        <v>29</v>
      </c>
      <c r="H885" s="5">
        <v>8846</v>
      </c>
      <c r="I885" s="3" t="str">
        <f>VLOOKUP(Tabela1[[#This Row],[Advogado]],Tabela2[],2,FALSE)</f>
        <v>Caio Brito</v>
      </c>
      <c r="J885" s="17">
        <f>IF(Tabela1[[#This Row],[Data de conclusão]]="",NETWORKDAYS(Tabela1[[#This Row],[Data de entrada]],$J$2),NETWORKDAYS(Tabela1[[#This Row],[Data de entrada]],Tabela1[[#This Row],[Data de conclusão]]))</f>
        <v>252</v>
      </c>
      <c r="K885" s="1"/>
    </row>
    <row r="886" spans="2:11" x14ac:dyDescent="0.25">
      <c r="B886" s="3">
        <v>993</v>
      </c>
      <c r="C886" s="3" t="s">
        <v>7</v>
      </c>
      <c r="D886" s="3" t="s">
        <v>12</v>
      </c>
      <c r="E886" s="4">
        <v>42920</v>
      </c>
      <c r="F886" s="4">
        <v>43014</v>
      </c>
      <c r="G886" s="3" t="s">
        <v>28</v>
      </c>
      <c r="H886" s="5">
        <v>35910</v>
      </c>
      <c r="I886" s="3" t="str">
        <f>VLOOKUP(Tabela1[[#This Row],[Advogado]],Tabela2[],2,FALSE)</f>
        <v>Caio Brito</v>
      </c>
      <c r="J886" s="17">
        <f>IF(Tabela1[[#This Row],[Data de conclusão]]="",NETWORKDAYS(Tabela1[[#This Row],[Data de entrada]],$J$2),NETWORKDAYS(Tabela1[[#This Row],[Data de entrada]],Tabela1[[#This Row],[Data de conclusão]]))</f>
        <v>69</v>
      </c>
      <c r="K886" s="1"/>
    </row>
    <row r="887" spans="2:11" x14ac:dyDescent="0.25">
      <c r="B887" s="3">
        <v>994</v>
      </c>
      <c r="C887" s="3" t="s">
        <v>8</v>
      </c>
      <c r="D887" s="3" t="s">
        <v>13</v>
      </c>
      <c r="E887" s="4">
        <v>42777</v>
      </c>
      <c r="F887" s="4"/>
      <c r="G887" s="3" t="s">
        <v>27</v>
      </c>
      <c r="H887" s="5">
        <v>26470</v>
      </c>
      <c r="I887" s="3" t="str">
        <f>VLOOKUP(Tabela1[[#This Row],[Advogado]],Tabela2[],2,FALSE)</f>
        <v>Caio Brito</v>
      </c>
      <c r="J887" s="17">
        <f>IF(Tabela1[[#This Row],[Data de conclusão]]="",NETWORKDAYS(Tabela1[[#This Row],[Data de entrada]],$J$2),NETWORKDAYS(Tabela1[[#This Row],[Data de entrada]],Tabela1[[#This Row],[Data de conclusão]]))</f>
        <v>327</v>
      </c>
      <c r="K887" s="1"/>
    </row>
    <row r="888" spans="2:11" x14ac:dyDescent="0.25">
      <c r="B888" s="3">
        <v>995</v>
      </c>
      <c r="C888" s="3" t="s">
        <v>9</v>
      </c>
      <c r="D888" s="3" t="s">
        <v>14</v>
      </c>
      <c r="E888" s="4">
        <v>42868</v>
      </c>
      <c r="F888" s="4"/>
      <c r="G888" s="3" t="s">
        <v>29</v>
      </c>
      <c r="H888" s="5">
        <v>2728</v>
      </c>
      <c r="I888" s="3" t="str">
        <f>VLOOKUP(Tabela1[[#This Row],[Advogado]],Tabela2[],2,FALSE)</f>
        <v>Renê Amaranto</v>
      </c>
      <c r="J888" s="17">
        <f>IF(Tabela1[[#This Row],[Data de conclusão]]="",NETWORKDAYS(Tabela1[[#This Row],[Data de entrada]],$J$2),NETWORKDAYS(Tabela1[[#This Row],[Data de entrada]],Tabela1[[#This Row],[Data de conclusão]]))</f>
        <v>262</v>
      </c>
      <c r="K888" s="1"/>
    </row>
    <row r="889" spans="2:11" x14ac:dyDescent="0.25">
      <c r="B889" s="3">
        <v>996</v>
      </c>
      <c r="C889" s="3" t="s">
        <v>7</v>
      </c>
      <c r="D889" s="3" t="s">
        <v>15</v>
      </c>
      <c r="E889" s="4">
        <v>42579</v>
      </c>
      <c r="F889" s="4"/>
      <c r="G889" s="3" t="s">
        <v>29</v>
      </c>
      <c r="H889" s="5">
        <v>49303</v>
      </c>
      <c r="I889" s="3" t="str">
        <f>VLOOKUP(Tabela1[[#This Row],[Advogado]],Tabela2[],2,FALSE)</f>
        <v>Renê Amaranto</v>
      </c>
      <c r="J889" s="17">
        <f>IF(Tabela1[[#This Row],[Data de conclusão]]="",NETWORKDAYS(Tabela1[[#This Row],[Data de entrada]],$J$2),NETWORKDAYS(Tabela1[[#This Row],[Data de entrada]],Tabela1[[#This Row],[Data de conclusão]]))</f>
        <v>469</v>
      </c>
      <c r="K889" s="1"/>
    </row>
    <row r="890" spans="2:11" x14ac:dyDescent="0.25">
      <c r="B890" s="3">
        <v>997</v>
      </c>
      <c r="C890" s="3" t="s">
        <v>8</v>
      </c>
      <c r="D890" s="3" t="s">
        <v>16</v>
      </c>
      <c r="E890" s="4">
        <v>42584</v>
      </c>
      <c r="F890" s="4"/>
      <c r="G890" s="3" t="s">
        <v>29</v>
      </c>
      <c r="H890" s="5">
        <v>1854</v>
      </c>
      <c r="I890" s="3" t="str">
        <f>VLOOKUP(Tabela1[[#This Row],[Advogado]],Tabela2[],2,FALSE)</f>
        <v>Renê Amaranto</v>
      </c>
      <c r="J890" s="17">
        <f>IF(Tabela1[[#This Row],[Data de conclusão]]="",NETWORKDAYS(Tabela1[[#This Row],[Data de entrada]],$J$2),NETWORKDAYS(Tabela1[[#This Row],[Data de entrada]],Tabela1[[#This Row],[Data de conclusão]]))</f>
        <v>466</v>
      </c>
      <c r="K890" s="1"/>
    </row>
    <row r="891" spans="2:11" x14ac:dyDescent="0.25">
      <c r="B891" s="3">
        <v>998</v>
      </c>
      <c r="C891" s="3" t="s">
        <v>9</v>
      </c>
      <c r="D891" s="3" t="s">
        <v>17</v>
      </c>
      <c r="E891" s="4">
        <v>42992</v>
      </c>
      <c r="F891" s="4"/>
      <c r="G891" s="3" t="s">
        <v>29</v>
      </c>
      <c r="H891" s="5">
        <v>9370</v>
      </c>
      <c r="I891" s="3" t="str">
        <f>VLOOKUP(Tabela1[[#This Row],[Advogado]],Tabela2[],2,FALSE)</f>
        <v>Renê Amaranto</v>
      </c>
      <c r="J891" s="17">
        <f>IF(Tabela1[[#This Row],[Data de conclusão]]="",NETWORKDAYS(Tabela1[[#This Row],[Data de entrada]],$J$2),NETWORKDAYS(Tabela1[[#This Row],[Data de entrada]],Tabela1[[#This Row],[Data de conclusão]]))</f>
        <v>174</v>
      </c>
      <c r="K891" s="1"/>
    </row>
    <row r="892" spans="2:11" x14ac:dyDescent="0.25">
      <c r="B892" s="3">
        <v>999</v>
      </c>
      <c r="C892" s="3" t="s">
        <v>7</v>
      </c>
      <c r="D892" s="3" t="s">
        <v>10</v>
      </c>
      <c r="E892" s="4">
        <v>42592</v>
      </c>
      <c r="F892" s="4"/>
      <c r="G892" s="3" t="s">
        <v>29</v>
      </c>
      <c r="H892" s="5">
        <v>38387</v>
      </c>
      <c r="I892" s="3" t="str">
        <f>VLOOKUP(Tabela1[[#This Row],[Advogado]],Tabela2[],2,FALSE)</f>
        <v>Caio Brito</v>
      </c>
      <c r="J892" s="17">
        <f>IF(Tabela1[[#This Row],[Data de conclusão]]="",NETWORKDAYS(Tabela1[[#This Row],[Data de entrada]],$J$2),NETWORKDAYS(Tabela1[[#This Row],[Data de entrada]],Tabela1[[#This Row],[Data de conclusão]]))</f>
        <v>460</v>
      </c>
      <c r="K892" s="1"/>
    </row>
    <row r="893" spans="2:11" x14ac:dyDescent="0.25">
      <c r="B893" s="3">
        <v>1000</v>
      </c>
      <c r="C893" s="3" t="s">
        <v>8</v>
      </c>
      <c r="D893" s="3" t="s">
        <v>11</v>
      </c>
      <c r="E893" s="4">
        <v>43004</v>
      </c>
      <c r="F893" s="4"/>
      <c r="G893" s="3" t="s">
        <v>29</v>
      </c>
      <c r="H893" s="5">
        <v>5043</v>
      </c>
      <c r="I893" s="3" t="str">
        <f>VLOOKUP(Tabela1[[#This Row],[Advogado]],Tabela2[],2,FALSE)</f>
        <v>Caio Brito</v>
      </c>
      <c r="J893" s="17">
        <f>IF(Tabela1[[#This Row],[Data de conclusão]]="",NETWORKDAYS(Tabela1[[#This Row],[Data de entrada]],$J$2),NETWORKDAYS(Tabela1[[#This Row],[Data de entrada]],Tabela1[[#This Row],[Data de conclusão]]))</f>
        <v>166</v>
      </c>
      <c r="K893" s="1"/>
    </row>
    <row r="894" spans="2:11" x14ac:dyDescent="0.25">
      <c r="B894" s="3">
        <v>1001</v>
      </c>
      <c r="C894" s="3" t="s">
        <v>9</v>
      </c>
      <c r="D894" s="3" t="s">
        <v>12</v>
      </c>
      <c r="E894" s="4">
        <v>42660</v>
      </c>
      <c r="F894" s="4"/>
      <c r="G894" s="3" t="s">
        <v>29</v>
      </c>
      <c r="H894" s="5">
        <v>20205</v>
      </c>
      <c r="I894" s="3" t="str">
        <f>VLOOKUP(Tabela1[[#This Row],[Advogado]],Tabela2[],2,FALSE)</f>
        <v>Caio Brito</v>
      </c>
      <c r="J894" s="17">
        <f>IF(Tabela1[[#This Row],[Data de conclusão]]="",NETWORKDAYS(Tabela1[[#This Row],[Data de entrada]],$J$2),NETWORKDAYS(Tabela1[[#This Row],[Data de entrada]],Tabela1[[#This Row],[Data de conclusão]]))</f>
        <v>412</v>
      </c>
      <c r="K894" s="1"/>
    </row>
    <row r="895" spans="2:11" x14ac:dyDescent="0.25">
      <c r="B895" s="3">
        <v>1002</v>
      </c>
      <c r="C895" s="3" t="s">
        <v>7</v>
      </c>
      <c r="D895" s="3" t="s">
        <v>13</v>
      </c>
      <c r="E895" s="4">
        <v>42564</v>
      </c>
      <c r="F895" s="4"/>
      <c r="G895" s="3" t="s">
        <v>29</v>
      </c>
      <c r="H895" s="5">
        <v>3005</v>
      </c>
      <c r="I895" s="3" t="str">
        <f>VLOOKUP(Tabela1[[#This Row],[Advogado]],Tabela2[],2,FALSE)</f>
        <v>Caio Brito</v>
      </c>
      <c r="J895" s="17">
        <f>IF(Tabela1[[#This Row],[Data de conclusão]]="",NETWORKDAYS(Tabela1[[#This Row],[Data de entrada]],$J$2),NETWORKDAYS(Tabela1[[#This Row],[Data de entrada]],Tabela1[[#This Row],[Data de conclusão]]))</f>
        <v>480</v>
      </c>
      <c r="K895" s="1"/>
    </row>
    <row r="896" spans="2:11" x14ac:dyDescent="0.25">
      <c r="B896" s="3">
        <v>1003</v>
      </c>
      <c r="C896" s="3" t="s">
        <v>8</v>
      </c>
      <c r="D896" s="3" t="s">
        <v>14</v>
      </c>
      <c r="E896" s="4">
        <v>42632</v>
      </c>
      <c r="F896" s="4"/>
      <c r="G896" s="3" t="s">
        <v>29</v>
      </c>
      <c r="H896" s="5">
        <v>36199</v>
      </c>
      <c r="I896" s="3" t="str">
        <f>VLOOKUP(Tabela1[[#This Row],[Advogado]],Tabela2[],2,FALSE)</f>
        <v>Renê Amaranto</v>
      </c>
      <c r="J896" s="17">
        <f>IF(Tabela1[[#This Row],[Data de conclusão]]="",NETWORKDAYS(Tabela1[[#This Row],[Data de entrada]],$J$2),NETWORKDAYS(Tabela1[[#This Row],[Data de entrada]],Tabela1[[#This Row],[Data de conclusão]]))</f>
        <v>432</v>
      </c>
      <c r="K896" s="1"/>
    </row>
    <row r="897" spans="2:11" x14ac:dyDescent="0.25">
      <c r="B897" s="3">
        <v>1004</v>
      </c>
      <c r="C897" s="3" t="s">
        <v>9</v>
      </c>
      <c r="D897" s="3" t="s">
        <v>15</v>
      </c>
      <c r="E897" s="4">
        <v>42987</v>
      </c>
      <c r="F897" s="4"/>
      <c r="G897" s="3" t="s">
        <v>29</v>
      </c>
      <c r="H897" s="5">
        <v>3469</v>
      </c>
      <c r="I897" s="3" t="str">
        <f>VLOOKUP(Tabela1[[#This Row],[Advogado]],Tabela2[],2,FALSE)</f>
        <v>Renê Amaranto</v>
      </c>
      <c r="J897" s="17">
        <f>IF(Tabela1[[#This Row],[Data de conclusão]]="",NETWORKDAYS(Tabela1[[#This Row],[Data de entrada]],$J$2),NETWORKDAYS(Tabela1[[#This Row],[Data de entrada]],Tabela1[[#This Row],[Data de conclusão]]))</f>
        <v>177</v>
      </c>
      <c r="K897" s="1"/>
    </row>
    <row r="898" spans="2:11" x14ac:dyDescent="0.25">
      <c r="B898" s="3">
        <v>1005</v>
      </c>
      <c r="C898" s="3" t="s">
        <v>7</v>
      </c>
      <c r="D898" s="3" t="s">
        <v>16</v>
      </c>
      <c r="E898" s="4">
        <v>43044</v>
      </c>
      <c r="F898" s="4"/>
      <c r="G898" s="3" t="s">
        <v>29</v>
      </c>
      <c r="H898" s="5">
        <v>37017</v>
      </c>
      <c r="I898" s="3" t="str">
        <f>VLOOKUP(Tabela1[[#This Row],[Advogado]],Tabela2[],2,FALSE)</f>
        <v>Renê Amaranto</v>
      </c>
      <c r="J898" s="17">
        <f>IF(Tabela1[[#This Row],[Data de conclusão]]="",NETWORKDAYS(Tabela1[[#This Row],[Data de entrada]],$J$2),NETWORKDAYS(Tabela1[[#This Row],[Data de entrada]],Tabela1[[#This Row],[Data de conclusão]]))</f>
        <v>137</v>
      </c>
      <c r="K898" s="1"/>
    </row>
    <row r="899" spans="2:11" x14ac:dyDescent="0.25">
      <c r="B899" s="3">
        <v>1006</v>
      </c>
      <c r="C899" s="3" t="s">
        <v>8</v>
      </c>
      <c r="D899" s="3" t="s">
        <v>17</v>
      </c>
      <c r="E899" s="4">
        <v>42806</v>
      </c>
      <c r="F899" s="4">
        <v>42861</v>
      </c>
      <c r="G899" s="3" t="s">
        <v>28</v>
      </c>
      <c r="H899" s="5">
        <v>29406</v>
      </c>
      <c r="I899" s="3" t="str">
        <f>VLOOKUP(Tabela1[[#This Row],[Advogado]],Tabela2[],2,FALSE)</f>
        <v>Renê Amaranto</v>
      </c>
      <c r="J899" s="17">
        <f>IF(Tabela1[[#This Row],[Data de conclusão]]="",NETWORKDAYS(Tabela1[[#This Row],[Data de entrada]],$J$2),NETWORKDAYS(Tabela1[[#This Row],[Data de entrada]],Tabela1[[#This Row],[Data de conclusão]]))</f>
        <v>40</v>
      </c>
      <c r="K899" s="1"/>
    </row>
    <row r="900" spans="2:11" x14ac:dyDescent="0.25">
      <c r="B900" s="3">
        <v>1007</v>
      </c>
      <c r="C900" s="3" t="s">
        <v>9</v>
      </c>
      <c r="D900" s="3" t="s">
        <v>10</v>
      </c>
      <c r="E900" s="4">
        <v>42881</v>
      </c>
      <c r="F900" s="4"/>
      <c r="G900" s="3" t="s">
        <v>27</v>
      </c>
      <c r="H900" s="5">
        <v>28507</v>
      </c>
      <c r="I900" s="3" t="str">
        <f>VLOOKUP(Tabela1[[#This Row],[Advogado]],Tabela2[],2,FALSE)</f>
        <v>Caio Brito</v>
      </c>
      <c r="J900" s="17">
        <f>IF(Tabela1[[#This Row],[Data de conclusão]]="",NETWORKDAYS(Tabela1[[#This Row],[Data de entrada]],$J$2),NETWORKDAYS(Tabela1[[#This Row],[Data de entrada]],Tabela1[[#This Row],[Data de conclusão]]))</f>
        <v>253</v>
      </c>
      <c r="K900" s="1"/>
    </row>
    <row r="901" spans="2:11" x14ac:dyDescent="0.25">
      <c r="B901" s="3">
        <v>1008</v>
      </c>
      <c r="C901" s="3" t="s">
        <v>7</v>
      </c>
      <c r="D901" s="3" t="s">
        <v>11</v>
      </c>
      <c r="E901" s="4">
        <v>42485</v>
      </c>
      <c r="F901" s="4"/>
      <c r="G901" s="3" t="s">
        <v>29</v>
      </c>
      <c r="H901" s="5">
        <v>6189</v>
      </c>
      <c r="I901" s="3" t="str">
        <f>VLOOKUP(Tabela1[[#This Row],[Advogado]],Tabela2[],2,FALSE)</f>
        <v>Caio Brito</v>
      </c>
      <c r="J901" s="17">
        <f>IF(Tabela1[[#This Row],[Data de conclusão]]="",NETWORKDAYS(Tabela1[[#This Row],[Data de entrada]],$J$2),NETWORKDAYS(Tabela1[[#This Row],[Data de entrada]],Tabela1[[#This Row],[Data de conclusão]]))</f>
        <v>537</v>
      </c>
      <c r="K901" s="1"/>
    </row>
    <row r="902" spans="2:11" x14ac:dyDescent="0.25">
      <c r="B902" s="3">
        <v>1009</v>
      </c>
      <c r="C902" s="3" t="s">
        <v>8</v>
      </c>
      <c r="D902" s="3" t="s">
        <v>12</v>
      </c>
      <c r="E902" s="4">
        <v>42726</v>
      </c>
      <c r="F902" s="4"/>
      <c r="G902" s="3" t="s">
        <v>29</v>
      </c>
      <c r="H902" s="5">
        <v>29792</v>
      </c>
      <c r="I902" s="3" t="str">
        <f>VLOOKUP(Tabela1[[#This Row],[Advogado]],Tabela2[],2,FALSE)</f>
        <v>Caio Brito</v>
      </c>
      <c r="J902" s="17">
        <f>IF(Tabela1[[#This Row],[Data de conclusão]]="",NETWORKDAYS(Tabela1[[#This Row],[Data de entrada]],$J$2),NETWORKDAYS(Tabela1[[#This Row],[Data de entrada]],Tabela1[[#This Row],[Data de conclusão]]))</f>
        <v>364</v>
      </c>
      <c r="K902" s="1"/>
    </row>
    <row r="903" spans="2:11" x14ac:dyDescent="0.25">
      <c r="B903" s="3">
        <v>1010</v>
      </c>
      <c r="C903" s="3" t="s">
        <v>9</v>
      </c>
      <c r="D903" s="3" t="s">
        <v>13</v>
      </c>
      <c r="E903" s="4">
        <v>42881</v>
      </c>
      <c r="F903" s="4"/>
      <c r="G903" s="3" t="s">
        <v>29</v>
      </c>
      <c r="H903" s="5">
        <v>53095</v>
      </c>
      <c r="I903" s="3" t="str">
        <f>VLOOKUP(Tabela1[[#This Row],[Advogado]],Tabela2[],2,FALSE)</f>
        <v>Caio Brito</v>
      </c>
      <c r="J903" s="17">
        <f>IF(Tabela1[[#This Row],[Data de conclusão]]="",NETWORKDAYS(Tabela1[[#This Row],[Data de entrada]],$J$2),NETWORKDAYS(Tabela1[[#This Row],[Data de entrada]],Tabela1[[#This Row],[Data de conclusão]]))</f>
        <v>253</v>
      </c>
      <c r="K903" s="1"/>
    </row>
    <row r="904" spans="2:11" x14ac:dyDescent="0.25">
      <c r="B904" s="3">
        <v>1011</v>
      </c>
      <c r="C904" s="3" t="s">
        <v>7</v>
      </c>
      <c r="D904" s="3" t="s">
        <v>14</v>
      </c>
      <c r="E904" s="4">
        <v>42862</v>
      </c>
      <c r="F904" s="4"/>
      <c r="G904" s="3" t="s">
        <v>29</v>
      </c>
      <c r="H904" s="5">
        <v>44967</v>
      </c>
      <c r="I904" s="3" t="str">
        <f>VLOOKUP(Tabela1[[#This Row],[Advogado]],Tabela2[],2,FALSE)</f>
        <v>Renê Amaranto</v>
      </c>
      <c r="J904" s="17">
        <f>IF(Tabela1[[#This Row],[Data de conclusão]]="",NETWORKDAYS(Tabela1[[#This Row],[Data de entrada]],$J$2),NETWORKDAYS(Tabela1[[#This Row],[Data de entrada]],Tabela1[[#This Row],[Data de conclusão]]))</f>
        <v>267</v>
      </c>
      <c r="K904" s="1"/>
    </row>
    <row r="905" spans="2:11" x14ac:dyDescent="0.25">
      <c r="B905" s="3">
        <v>1012</v>
      </c>
      <c r="C905" s="3" t="s">
        <v>8</v>
      </c>
      <c r="D905" s="3" t="s">
        <v>15</v>
      </c>
      <c r="E905" s="4">
        <v>43010</v>
      </c>
      <c r="F905" s="4"/>
      <c r="G905" s="3" t="s">
        <v>29</v>
      </c>
      <c r="H905" s="5">
        <v>14427</v>
      </c>
      <c r="I905" s="3" t="str">
        <f>VLOOKUP(Tabela1[[#This Row],[Advogado]],Tabela2[],2,FALSE)</f>
        <v>Renê Amaranto</v>
      </c>
      <c r="J905" s="17">
        <f>IF(Tabela1[[#This Row],[Data de conclusão]]="",NETWORKDAYS(Tabela1[[#This Row],[Data de entrada]],$J$2),NETWORKDAYS(Tabela1[[#This Row],[Data de entrada]],Tabela1[[#This Row],[Data de conclusão]]))</f>
        <v>162</v>
      </c>
      <c r="K905" s="1"/>
    </row>
    <row r="906" spans="2:11" x14ac:dyDescent="0.25">
      <c r="B906" s="3">
        <v>1013</v>
      </c>
      <c r="C906" s="3" t="s">
        <v>9</v>
      </c>
      <c r="D906" s="3" t="s">
        <v>16</v>
      </c>
      <c r="E906" s="4">
        <v>42898</v>
      </c>
      <c r="F906" s="4"/>
      <c r="G906" s="3" t="s">
        <v>29</v>
      </c>
      <c r="H906" s="5">
        <v>18120</v>
      </c>
      <c r="I906" s="3" t="str">
        <f>VLOOKUP(Tabela1[[#This Row],[Advogado]],Tabela2[],2,FALSE)</f>
        <v>Renê Amaranto</v>
      </c>
      <c r="J906" s="17">
        <f>IF(Tabela1[[#This Row],[Data de conclusão]]="",NETWORKDAYS(Tabela1[[#This Row],[Data de entrada]],$J$2),NETWORKDAYS(Tabela1[[#This Row],[Data de entrada]],Tabela1[[#This Row],[Data de conclusão]]))</f>
        <v>242</v>
      </c>
      <c r="K906" s="1"/>
    </row>
    <row r="907" spans="2:11" x14ac:dyDescent="0.25">
      <c r="B907" s="3">
        <v>1014</v>
      </c>
      <c r="C907" s="3" t="s">
        <v>7</v>
      </c>
      <c r="D907" s="3" t="s">
        <v>17</v>
      </c>
      <c r="E907" s="4">
        <v>42640</v>
      </c>
      <c r="F907" s="4"/>
      <c r="G907" s="3" t="s">
        <v>29</v>
      </c>
      <c r="H907" s="5">
        <v>26674</v>
      </c>
      <c r="I907" s="3" t="str">
        <f>VLOOKUP(Tabela1[[#This Row],[Advogado]],Tabela2[],2,FALSE)</f>
        <v>Renê Amaranto</v>
      </c>
      <c r="J907" s="17">
        <f>IF(Tabela1[[#This Row],[Data de conclusão]]="",NETWORKDAYS(Tabela1[[#This Row],[Data de entrada]],$J$2),NETWORKDAYS(Tabela1[[#This Row],[Data de entrada]],Tabela1[[#This Row],[Data de conclusão]]))</f>
        <v>426</v>
      </c>
      <c r="K907" s="1"/>
    </row>
    <row r="908" spans="2:11" x14ac:dyDescent="0.25">
      <c r="B908" s="3">
        <v>1015</v>
      </c>
      <c r="C908" s="3" t="s">
        <v>8</v>
      </c>
      <c r="D908" s="3" t="s">
        <v>10</v>
      </c>
      <c r="E908" s="4">
        <v>42965</v>
      </c>
      <c r="F908" s="4"/>
      <c r="G908" s="3" t="s">
        <v>29</v>
      </c>
      <c r="H908" s="5">
        <v>13605</v>
      </c>
      <c r="I908" s="3" t="str">
        <f>VLOOKUP(Tabela1[[#This Row],[Advogado]],Tabela2[],2,FALSE)</f>
        <v>Caio Brito</v>
      </c>
      <c r="J908" s="17">
        <f>IF(Tabela1[[#This Row],[Data de conclusão]]="",NETWORKDAYS(Tabela1[[#This Row],[Data de entrada]],$J$2),NETWORKDAYS(Tabela1[[#This Row],[Data de entrada]],Tabela1[[#This Row],[Data de conclusão]]))</f>
        <v>193</v>
      </c>
      <c r="K908" s="1"/>
    </row>
    <row r="909" spans="2:11" x14ac:dyDescent="0.25">
      <c r="B909" s="3">
        <v>1016</v>
      </c>
      <c r="C909" s="3" t="s">
        <v>9</v>
      </c>
      <c r="D909" s="3" t="s">
        <v>11</v>
      </c>
      <c r="E909" s="4">
        <v>42512</v>
      </c>
      <c r="F909" s="4"/>
      <c r="G909" s="3" t="s">
        <v>29</v>
      </c>
      <c r="H909" s="5">
        <v>1172</v>
      </c>
      <c r="I909" s="3" t="str">
        <f>VLOOKUP(Tabela1[[#This Row],[Advogado]],Tabela2[],2,FALSE)</f>
        <v>Caio Brito</v>
      </c>
      <c r="J909" s="17">
        <f>IF(Tabela1[[#This Row],[Data de conclusão]]="",NETWORKDAYS(Tabela1[[#This Row],[Data de entrada]],$J$2),NETWORKDAYS(Tabela1[[#This Row],[Data de entrada]],Tabela1[[#This Row],[Data de conclusão]]))</f>
        <v>517</v>
      </c>
      <c r="K909" s="1"/>
    </row>
    <row r="910" spans="2:11" x14ac:dyDescent="0.25">
      <c r="B910" s="3">
        <v>1017</v>
      </c>
      <c r="C910" s="3" t="s">
        <v>7</v>
      </c>
      <c r="D910" s="3" t="s">
        <v>12</v>
      </c>
      <c r="E910" s="4">
        <v>42920</v>
      </c>
      <c r="F910" s="4"/>
      <c r="G910" s="3" t="s">
        <v>29</v>
      </c>
      <c r="H910" s="5">
        <v>9494</v>
      </c>
      <c r="I910" s="3" t="str">
        <f>VLOOKUP(Tabela1[[#This Row],[Advogado]],Tabela2[],2,FALSE)</f>
        <v>Caio Brito</v>
      </c>
      <c r="J910" s="17">
        <f>IF(Tabela1[[#This Row],[Data de conclusão]]="",NETWORKDAYS(Tabela1[[#This Row],[Data de entrada]],$J$2),NETWORKDAYS(Tabela1[[#This Row],[Data de entrada]],Tabela1[[#This Row],[Data de conclusão]]))</f>
        <v>226</v>
      </c>
      <c r="K910" s="1"/>
    </row>
    <row r="911" spans="2:11" x14ac:dyDescent="0.25">
      <c r="B911" s="3">
        <v>1018</v>
      </c>
      <c r="C911" s="3" t="s">
        <v>8</v>
      </c>
      <c r="D911" s="3" t="s">
        <v>13</v>
      </c>
      <c r="E911" s="4">
        <v>42407</v>
      </c>
      <c r="F911" s="4"/>
      <c r="G911" s="3" t="s">
        <v>29</v>
      </c>
      <c r="H911" s="5">
        <v>27354</v>
      </c>
      <c r="I911" s="3" t="str">
        <f>VLOOKUP(Tabela1[[#This Row],[Advogado]],Tabela2[],2,FALSE)</f>
        <v>Caio Brito</v>
      </c>
      <c r="J911" s="17">
        <f>IF(Tabela1[[#This Row],[Data de conclusão]]="",NETWORKDAYS(Tabela1[[#This Row],[Data de entrada]],$J$2),NETWORKDAYS(Tabela1[[#This Row],[Data de entrada]],Tabela1[[#This Row],[Data de conclusão]]))</f>
        <v>592</v>
      </c>
      <c r="K911" s="1"/>
    </row>
    <row r="912" spans="2:11" x14ac:dyDescent="0.25">
      <c r="B912" s="3">
        <v>1019</v>
      </c>
      <c r="C912" s="3" t="s">
        <v>9</v>
      </c>
      <c r="D912" s="3" t="s">
        <v>14</v>
      </c>
      <c r="E912" s="4">
        <v>42663</v>
      </c>
      <c r="F912" s="4">
        <v>42717</v>
      </c>
      <c r="G912" s="3" t="s">
        <v>28</v>
      </c>
      <c r="H912" s="5">
        <v>27749</v>
      </c>
      <c r="I912" s="3" t="str">
        <f>VLOOKUP(Tabela1[[#This Row],[Advogado]],Tabela2[],2,FALSE)</f>
        <v>Renê Amaranto</v>
      </c>
      <c r="J912" s="17">
        <f>IF(Tabela1[[#This Row],[Data de conclusão]]="",NETWORKDAYS(Tabela1[[#This Row],[Data de entrada]],$J$2),NETWORKDAYS(Tabela1[[#This Row],[Data de entrada]],Tabela1[[#This Row],[Data de conclusão]]))</f>
        <v>39</v>
      </c>
      <c r="K912" s="1"/>
    </row>
    <row r="913" spans="2:11" x14ac:dyDescent="0.25">
      <c r="B913" s="3">
        <v>1020</v>
      </c>
      <c r="C913" s="3" t="s">
        <v>7</v>
      </c>
      <c r="D913" s="3" t="s">
        <v>15</v>
      </c>
      <c r="E913" s="4">
        <v>42481</v>
      </c>
      <c r="F913" s="4"/>
      <c r="G913" s="3" t="s">
        <v>27</v>
      </c>
      <c r="H913" s="5">
        <v>11635</v>
      </c>
      <c r="I913" s="3" t="str">
        <f>VLOOKUP(Tabela1[[#This Row],[Advogado]],Tabela2[],2,FALSE)</f>
        <v>Renê Amaranto</v>
      </c>
      <c r="J913" s="17">
        <f>IF(Tabela1[[#This Row],[Data de conclusão]]="",NETWORKDAYS(Tabela1[[#This Row],[Data de entrada]],$J$2),NETWORKDAYS(Tabela1[[#This Row],[Data de entrada]],Tabela1[[#This Row],[Data de conclusão]]))</f>
        <v>539</v>
      </c>
      <c r="K913" s="1"/>
    </row>
    <row r="914" spans="2:11" x14ac:dyDescent="0.25">
      <c r="B914" s="3">
        <v>1021</v>
      </c>
      <c r="C914" s="3" t="s">
        <v>8</v>
      </c>
      <c r="D914" s="3" t="s">
        <v>16</v>
      </c>
      <c r="E914" s="4">
        <v>42623</v>
      </c>
      <c r="F914" s="4"/>
      <c r="G914" s="3" t="s">
        <v>29</v>
      </c>
      <c r="H914" s="5">
        <v>54999</v>
      </c>
      <c r="I914" s="3" t="str">
        <f>VLOOKUP(Tabela1[[#This Row],[Advogado]],Tabela2[],2,FALSE)</f>
        <v>Renê Amaranto</v>
      </c>
      <c r="J914" s="17">
        <f>IF(Tabela1[[#This Row],[Data de conclusão]]="",NETWORKDAYS(Tabela1[[#This Row],[Data de entrada]],$J$2),NETWORKDAYS(Tabela1[[#This Row],[Data de entrada]],Tabela1[[#This Row],[Data de conclusão]]))</f>
        <v>437</v>
      </c>
      <c r="K914" s="1"/>
    </row>
    <row r="915" spans="2:11" x14ac:dyDescent="0.25">
      <c r="B915" s="3">
        <v>1022</v>
      </c>
      <c r="C915" s="3" t="s">
        <v>9</v>
      </c>
      <c r="D915" s="3" t="s">
        <v>17</v>
      </c>
      <c r="E915" s="4">
        <v>42499</v>
      </c>
      <c r="F915" s="4"/>
      <c r="G915" s="3" t="s">
        <v>29</v>
      </c>
      <c r="H915" s="5">
        <v>25254</v>
      </c>
      <c r="I915" s="3" t="str">
        <f>VLOOKUP(Tabela1[[#This Row],[Advogado]],Tabela2[],2,FALSE)</f>
        <v>Renê Amaranto</v>
      </c>
      <c r="J915" s="17">
        <f>IF(Tabela1[[#This Row],[Data de conclusão]]="",NETWORKDAYS(Tabela1[[#This Row],[Data de entrada]],$J$2),NETWORKDAYS(Tabela1[[#This Row],[Data de entrada]],Tabela1[[#This Row],[Data de conclusão]]))</f>
        <v>527</v>
      </c>
      <c r="K915" s="1"/>
    </row>
    <row r="916" spans="2:11" x14ac:dyDescent="0.25">
      <c r="B916" s="3">
        <v>1023</v>
      </c>
      <c r="C916" s="3" t="s">
        <v>7</v>
      </c>
      <c r="D916" s="3" t="s">
        <v>10</v>
      </c>
      <c r="E916" s="4">
        <v>42505</v>
      </c>
      <c r="F916" s="4"/>
      <c r="G916" s="3" t="s">
        <v>29</v>
      </c>
      <c r="H916" s="5">
        <v>21605</v>
      </c>
      <c r="I916" s="3" t="str">
        <f>VLOOKUP(Tabela1[[#This Row],[Advogado]],Tabela2[],2,FALSE)</f>
        <v>Caio Brito</v>
      </c>
      <c r="J916" s="17">
        <f>IF(Tabela1[[#This Row],[Data de conclusão]]="",NETWORKDAYS(Tabela1[[#This Row],[Data de entrada]],$J$2),NETWORKDAYS(Tabela1[[#This Row],[Data de entrada]],Tabela1[[#This Row],[Data de conclusão]]))</f>
        <v>522</v>
      </c>
      <c r="K916" s="1"/>
    </row>
    <row r="917" spans="2:11" x14ac:dyDescent="0.25">
      <c r="B917" s="3">
        <v>1024</v>
      </c>
      <c r="C917" s="3" t="s">
        <v>8</v>
      </c>
      <c r="D917" s="3" t="s">
        <v>11</v>
      </c>
      <c r="E917" s="4">
        <v>42918</v>
      </c>
      <c r="F917" s="4"/>
      <c r="G917" s="3" t="s">
        <v>29</v>
      </c>
      <c r="H917" s="5">
        <v>22948</v>
      </c>
      <c r="I917" s="3" t="str">
        <f>VLOOKUP(Tabela1[[#This Row],[Advogado]],Tabela2[],2,FALSE)</f>
        <v>Caio Brito</v>
      </c>
      <c r="J917" s="17">
        <f>IF(Tabela1[[#This Row],[Data de conclusão]]="",NETWORKDAYS(Tabela1[[#This Row],[Data de entrada]],$J$2),NETWORKDAYS(Tabela1[[#This Row],[Data de entrada]],Tabela1[[#This Row],[Data de conclusão]]))</f>
        <v>227</v>
      </c>
      <c r="K917" s="1"/>
    </row>
    <row r="918" spans="2:11" x14ac:dyDescent="0.25">
      <c r="B918" s="3">
        <v>1025</v>
      </c>
      <c r="C918" s="3" t="s">
        <v>9</v>
      </c>
      <c r="D918" s="3" t="s">
        <v>12</v>
      </c>
      <c r="E918" s="4">
        <v>42990</v>
      </c>
      <c r="F918" s="4"/>
      <c r="G918" s="3" t="s">
        <v>29</v>
      </c>
      <c r="H918" s="5">
        <v>5961</v>
      </c>
      <c r="I918" s="3" t="str">
        <f>VLOOKUP(Tabela1[[#This Row],[Advogado]],Tabela2[],2,FALSE)</f>
        <v>Caio Brito</v>
      </c>
      <c r="J918" s="17">
        <f>IF(Tabela1[[#This Row],[Data de conclusão]]="",NETWORKDAYS(Tabela1[[#This Row],[Data de entrada]],$J$2),NETWORKDAYS(Tabela1[[#This Row],[Data de entrada]],Tabela1[[#This Row],[Data de conclusão]]))</f>
        <v>176</v>
      </c>
      <c r="K918" s="1"/>
    </row>
    <row r="919" spans="2:11" x14ac:dyDescent="0.25">
      <c r="B919" s="3">
        <v>1026</v>
      </c>
      <c r="C919" s="3" t="s">
        <v>7</v>
      </c>
      <c r="D919" s="3" t="s">
        <v>13</v>
      </c>
      <c r="E919" s="4">
        <v>43020</v>
      </c>
      <c r="F919" s="4"/>
      <c r="G919" s="3" t="s">
        <v>29</v>
      </c>
      <c r="H919" s="5">
        <v>3531</v>
      </c>
      <c r="I919" s="3" t="str">
        <f>VLOOKUP(Tabela1[[#This Row],[Advogado]],Tabela2[],2,FALSE)</f>
        <v>Caio Brito</v>
      </c>
      <c r="J919" s="17">
        <f>IF(Tabela1[[#This Row],[Data de conclusão]]="",NETWORKDAYS(Tabela1[[#This Row],[Data de entrada]],$J$2),NETWORKDAYS(Tabela1[[#This Row],[Data de entrada]],Tabela1[[#This Row],[Data de conclusão]]))</f>
        <v>154</v>
      </c>
      <c r="K919" s="1"/>
    </row>
    <row r="920" spans="2:11" x14ac:dyDescent="0.25">
      <c r="B920" s="3">
        <v>1027</v>
      </c>
      <c r="C920" s="3" t="s">
        <v>8</v>
      </c>
      <c r="D920" s="3" t="s">
        <v>14</v>
      </c>
      <c r="E920" s="4">
        <v>42706</v>
      </c>
      <c r="F920" s="4"/>
      <c r="G920" s="3" t="s">
        <v>29</v>
      </c>
      <c r="H920" s="5">
        <v>18479</v>
      </c>
      <c r="I920" s="3" t="str">
        <f>VLOOKUP(Tabela1[[#This Row],[Advogado]],Tabela2[],2,FALSE)</f>
        <v>Renê Amaranto</v>
      </c>
      <c r="J920" s="17">
        <f>IF(Tabela1[[#This Row],[Data de conclusão]]="",NETWORKDAYS(Tabela1[[#This Row],[Data de entrada]],$J$2),NETWORKDAYS(Tabela1[[#This Row],[Data de entrada]],Tabela1[[#This Row],[Data de conclusão]]))</f>
        <v>378</v>
      </c>
      <c r="K920" s="1"/>
    </row>
    <row r="921" spans="2:11" x14ac:dyDescent="0.25">
      <c r="B921" s="3">
        <v>1028</v>
      </c>
      <c r="C921" s="3" t="s">
        <v>9</v>
      </c>
      <c r="D921" s="3" t="s">
        <v>15</v>
      </c>
      <c r="E921" s="4">
        <v>42518</v>
      </c>
      <c r="F921" s="4"/>
      <c r="G921" s="3" t="s">
        <v>29</v>
      </c>
      <c r="H921" s="5">
        <v>48609</v>
      </c>
      <c r="I921" s="3" t="str">
        <f>VLOOKUP(Tabela1[[#This Row],[Advogado]],Tabela2[],2,FALSE)</f>
        <v>Renê Amaranto</v>
      </c>
      <c r="J921" s="17">
        <f>IF(Tabela1[[#This Row],[Data de conclusão]]="",NETWORKDAYS(Tabela1[[#This Row],[Data de entrada]],$J$2),NETWORKDAYS(Tabela1[[#This Row],[Data de entrada]],Tabela1[[#This Row],[Data de conclusão]]))</f>
        <v>512</v>
      </c>
      <c r="K921" s="1"/>
    </row>
    <row r="922" spans="2:11" x14ac:dyDescent="0.25">
      <c r="B922" s="3">
        <v>1029</v>
      </c>
      <c r="C922" s="3" t="s">
        <v>7</v>
      </c>
      <c r="D922" s="3" t="s">
        <v>16</v>
      </c>
      <c r="E922" s="4">
        <v>42395</v>
      </c>
      <c r="F922" s="4"/>
      <c r="G922" s="3" t="s">
        <v>29</v>
      </c>
      <c r="H922" s="5">
        <v>18229</v>
      </c>
      <c r="I922" s="3" t="str">
        <f>VLOOKUP(Tabela1[[#This Row],[Advogado]],Tabela2[],2,FALSE)</f>
        <v>Renê Amaranto</v>
      </c>
      <c r="J922" s="17">
        <f>IF(Tabela1[[#This Row],[Data de conclusão]]="",NETWORKDAYS(Tabela1[[#This Row],[Data de entrada]],$J$2),NETWORKDAYS(Tabela1[[#This Row],[Data de entrada]],Tabela1[[#This Row],[Data de conclusão]]))</f>
        <v>601</v>
      </c>
      <c r="K922" s="1"/>
    </row>
    <row r="923" spans="2:11" x14ac:dyDescent="0.25">
      <c r="B923" s="3">
        <v>1030</v>
      </c>
      <c r="C923" s="3" t="s">
        <v>8</v>
      </c>
      <c r="D923" s="3" t="s">
        <v>17</v>
      </c>
      <c r="E923" s="4">
        <v>43025</v>
      </c>
      <c r="F923" s="4"/>
      <c r="G923" s="3" t="s">
        <v>29</v>
      </c>
      <c r="H923" s="5">
        <v>22951</v>
      </c>
      <c r="I923" s="3" t="str">
        <f>VLOOKUP(Tabela1[[#This Row],[Advogado]],Tabela2[],2,FALSE)</f>
        <v>Renê Amaranto</v>
      </c>
      <c r="J923" s="17">
        <f>IF(Tabela1[[#This Row],[Data de conclusão]]="",NETWORKDAYS(Tabela1[[#This Row],[Data de entrada]],$J$2),NETWORKDAYS(Tabela1[[#This Row],[Data de entrada]],Tabela1[[#This Row],[Data de conclusão]]))</f>
        <v>151</v>
      </c>
      <c r="K923" s="1"/>
    </row>
    <row r="924" spans="2:11" x14ac:dyDescent="0.25">
      <c r="B924" s="3">
        <v>1031</v>
      </c>
      <c r="C924" s="3" t="s">
        <v>9</v>
      </c>
      <c r="D924" s="3" t="s">
        <v>10</v>
      </c>
      <c r="E924" s="4">
        <v>42591</v>
      </c>
      <c r="F924" s="4"/>
      <c r="G924" s="3" t="s">
        <v>29</v>
      </c>
      <c r="H924" s="5">
        <v>8754</v>
      </c>
      <c r="I924" s="3" t="str">
        <f>VLOOKUP(Tabela1[[#This Row],[Advogado]],Tabela2[],2,FALSE)</f>
        <v>Caio Brito</v>
      </c>
      <c r="J924" s="17">
        <f>IF(Tabela1[[#This Row],[Data de conclusão]]="",NETWORKDAYS(Tabela1[[#This Row],[Data de entrada]],$J$2),NETWORKDAYS(Tabela1[[#This Row],[Data de entrada]],Tabela1[[#This Row],[Data de conclusão]]))</f>
        <v>461</v>
      </c>
      <c r="K924" s="1"/>
    </row>
    <row r="925" spans="2:11" x14ac:dyDescent="0.25">
      <c r="B925" s="3">
        <v>1032</v>
      </c>
      <c r="C925" s="3" t="s">
        <v>7</v>
      </c>
      <c r="D925" s="3" t="s">
        <v>11</v>
      </c>
      <c r="E925" s="4">
        <v>43073</v>
      </c>
      <c r="F925" s="4">
        <v>43127</v>
      </c>
      <c r="G925" s="3" t="s">
        <v>28</v>
      </c>
      <c r="H925" s="5">
        <v>29449</v>
      </c>
      <c r="I925" s="3" t="str">
        <f>VLOOKUP(Tabela1[[#This Row],[Advogado]],Tabela2[],2,FALSE)</f>
        <v>Caio Brito</v>
      </c>
      <c r="J925" s="17">
        <f>IF(Tabela1[[#This Row],[Data de conclusão]]="",NETWORKDAYS(Tabela1[[#This Row],[Data de entrada]],$J$2),NETWORKDAYS(Tabela1[[#This Row],[Data de entrada]],Tabela1[[#This Row],[Data de conclusão]]))</f>
        <v>40</v>
      </c>
      <c r="K925" s="1"/>
    </row>
    <row r="926" spans="2:11" x14ac:dyDescent="0.25">
      <c r="B926" s="3">
        <v>1033</v>
      </c>
      <c r="C926" s="3" t="s">
        <v>8</v>
      </c>
      <c r="D926" s="3" t="s">
        <v>12</v>
      </c>
      <c r="E926" s="4">
        <v>42879</v>
      </c>
      <c r="F926" s="4"/>
      <c r="G926" s="3" t="s">
        <v>27</v>
      </c>
      <c r="H926" s="5">
        <v>33368</v>
      </c>
      <c r="I926" s="3" t="str">
        <f>VLOOKUP(Tabela1[[#This Row],[Advogado]],Tabela2[],2,FALSE)</f>
        <v>Caio Brito</v>
      </c>
      <c r="J926" s="17">
        <f>IF(Tabela1[[#This Row],[Data de conclusão]]="",NETWORKDAYS(Tabela1[[#This Row],[Data de entrada]],$J$2),NETWORKDAYS(Tabela1[[#This Row],[Data de entrada]],Tabela1[[#This Row],[Data de conclusão]]))</f>
        <v>255</v>
      </c>
      <c r="K926" s="1"/>
    </row>
    <row r="927" spans="2:11" x14ac:dyDescent="0.25">
      <c r="B927" s="3">
        <v>1034</v>
      </c>
      <c r="C927" s="3" t="s">
        <v>9</v>
      </c>
      <c r="D927" s="3" t="s">
        <v>13</v>
      </c>
      <c r="E927" s="4">
        <v>42584</v>
      </c>
      <c r="F927" s="4"/>
      <c r="G927" s="3" t="s">
        <v>29</v>
      </c>
      <c r="H927" s="5">
        <v>4505</v>
      </c>
      <c r="I927" s="3" t="str">
        <f>VLOOKUP(Tabela1[[#This Row],[Advogado]],Tabela2[],2,FALSE)</f>
        <v>Caio Brito</v>
      </c>
      <c r="J927" s="17">
        <f>IF(Tabela1[[#This Row],[Data de conclusão]]="",NETWORKDAYS(Tabela1[[#This Row],[Data de entrada]],$J$2),NETWORKDAYS(Tabela1[[#This Row],[Data de entrada]],Tabela1[[#This Row],[Data de conclusão]]))</f>
        <v>466</v>
      </c>
      <c r="K927" s="1"/>
    </row>
    <row r="928" spans="2:11" x14ac:dyDescent="0.25">
      <c r="B928" s="3">
        <v>1035</v>
      </c>
      <c r="C928" s="3" t="s">
        <v>7</v>
      </c>
      <c r="D928" s="3" t="s">
        <v>14</v>
      </c>
      <c r="E928" s="4">
        <v>42721</v>
      </c>
      <c r="F928" s="4"/>
      <c r="G928" s="3" t="s">
        <v>29</v>
      </c>
      <c r="H928" s="5">
        <v>47850</v>
      </c>
      <c r="I928" s="3" t="str">
        <f>VLOOKUP(Tabela1[[#This Row],[Advogado]],Tabela2[],2,FALSE)</f>
        <v>Renê Amaranto</v>
      </c>
      <c r="J928" s="17">
        <f>IF(Tabela1[[#This Row],[Data de conclusão]]="",NETWORKDAYS(Tabela1[[#This Row],[Data de entrada]],$J$2),NETWORKDAYS(Tabela1[[#This Row],[Data de entrada]],Tabela1[[#This Row],[Data de conclusão]]))</f>
        <v>367</v>
      </c>
      <c r="K928" s="1"/>
    </row>
    <row r="929" spans="2:11" x14ac:dyDescent="0.25">
      <c r="B929" s="3">
        <v>1036</v>
      </c>
      <c r="C929" s="3" t="s">
        <v>8</v>
      </c>
      <c r="D929" s="3" t="s">
        <v>15</v>
      </c>
      <c r="E929" s="4">
        <v>42789</v>
      </c>
      <c r="F929" s="4"/>
      <c r="G929" s="3" t="s">
        <v>29</v>
      </c>
      <c r="H929" s="5">
        <v>18274</v>
      </c>
      <c r="I929" s="3" t="str">
        <f>VLOOKUP(Tabela1[[#This Row],[Advogado]],Tabela2[],2,FALSE)</f>
        <v>Renê Amaranto</v>
      </c>
      <c r="J929" s="17">
        <f>IF(Tabela1[[#This Row],[Data de conclusão]]="",NETWORKDAYS(Tabela1[[#This Row],[Data de entrada]],$J$2),NETWORKDAYS(Tabela1[[#This Row],[Data de entrada]],Tabela1[[#This Row],[Data de conclusão]]))</f>
        <v>319</v>
      </c>
      <c r="K929" s="1"/>
    </row>
    <row r="930" spans="2:11" x14ac:dyDescent="0.25">
      <c r="B930" s="3">
        <v>1037</v>
      </c>
      <c r="C930" s="3" t="s">
        <v>9</v>
      </c>
      <c r="D930" s="3" t="s">
        <v>16</v>
      </c>
      <c r="E930" s="4">
        <v>42845</v>
      </c>
      <c r="F930" s="4"/>
      <c r="G930" s="3" t="s">
        <v>29</v>
      </c>
      <c r="H930" s="5">
        <v>12242</v>
      </c>
      <c r="I930" s="3" t="str">
        <f>VLOOKUP(Tabela1[[#This Row],[Advogado]],Tabela2[],2,FALSE)</f>
        <v>Renê Amaranto</v>
      </c>
      <c r="J930" s="17">
        <f>IF(Tabela1[[#This Row],[Data de conclusão]]="",NETWORKDAYS(Tabela1[[#This Row],[Data de entrada]],$J$2),NETWORKDAYS(Tabela1[[#This Row],[Data de entrada]],Tabela1[[#This Row],[Data de conclusão]]))</f>
        <v>279</v>
      </c>
      <c r="K930" s="1"/>
    </row>
    <row r="931" spans="2:11" x14ac:dyDescent="0.25">
      <c r="B931" s="3">
        <v>1038</v>
      </c>
      <c r="C931" s="3" t="s">
        <v>7</v>
      </c>
      <c r="D931" s="3" t="s">
        <v>17</v>
      </c>
      <c r="E931" s="4">
        <v>42742</v>
      </c>
      <c r="F931" s="4"/>
      <c r="G931" s="3" t="s">
        <v>29</v>
      </c>
      <c r="H931" s="5">
        <v>28732</v>
      </c>
      <c r="I931" s="3" t="str">
        <f>VLOOKUP(Tabela1[[#This Row],[Advogado]],Tabela2[],2,FALSE)</f>
        <v>Renê Amaranto</v>
      </c>
      <c r="J931" s="17">
        <f>IF(Tabela1[[#This Row],[Data de conclusão]]="",NETWORKDAYS(Tabela1[[#This Row],[Data de entrada]],$J$2),NETWORKDAYS(Tabela1[[#This Row],[Data de entrada]],Tabela1[[#This Row],[Data de conclusão]]))</f>
        <v>352</v>
      </c>
      <c r="K931" s="1"/>
    </row>
    <row r="932" spans="2:11" x14ac:dyDescent="0.25">
      <c r="B932" s="3">
        <v>1039</v>
      </c>
      <c r="C932" s="3" t="s">
        <v>8</v>
      </c>
      <c r="D932" s="3" t="s">
        <v>10</v>
      </c>
      <c r="E932" s="4">
        <v>43061</v>
      </c>
      <c r="F932" s="4"/>
      <c r="G932" s="3" t="s">
        <v>29</v>
      </c>
      <c r="H932" s="5">
        <v>29063</v>
      </c>
      <c r="I932" s="3" t="str">
        <f>VLOOKUP(Tabela1[[#This Row],[Advogado]],Tabela2[],2,FALSE)</f>
        <v>Caio Brito</v>
      </c>
      <c r="J932" s="17">
        <f>IF(Tabela1[[#This Row],[Data de conclusão]]="",NETWORKDAYS(Tabela1[[#This Row],[Data de entrada]],$J$2),NETWORKDAYS(Tabela1[[#This Row],[Data de entrada]],Tabela1[[#This Row],[Data de conclusão]]))</f>
        <v>125</v>
      </c>
      <c r="K932" s="1"/>
    </row>
    <row r="933" spans="2:11" x14ac:dyDescent="0.25">
      <c r="B933" s="3">
        <v>1040</v>
      </c>
      <c r="C933" s="3" t="s">
        <v>9</v>
      </c>
      <c r="D933" s="3" t="s">
        <v>11</v>
      </c>
      <c r="E933" s="4">
        <v>42970</v>
      </c>
      <c r="F933" s="4"/>
      <c r="G933" s="3" t="s">
        <v>29</v>
      </c>
      <c r="H933" s="5">
        <v>59796</v>
      </c>
      <c r="I933" s="3" t="str">
        <f>VLOOKUP(Tabela1[[#This Row],[Advogado]],Tabela2[],2,FALSE)</f>
        <v>Caio Brito</v>
      </c>
      <c r="J933" s="17">
        <f>IF(Tabela1[[#This Row],[Data de conclusão]]="",NETWORKDAYS(Tabela1[[#This Row],[Data de entrada]],$J$2),NETWORKDAYS(Tabela1[[#This Row],[Data de entrada]],Tabela1[[#This Row],[Data de conclusão]]))</f>
        <v>190</v>
      </c>
      <c r="K933" s="1"/>
    </row>
    <row r="934" spans="2:11" x14ac:dyDescent="0.25">
      <c r="B934" s="3">
        <v>1041</v>
      </c>
      <c r="C934" s="3" t="s">
        <v>7</v>
      </c>
      <c r="D934" s="3" t="s">
        <v>12</v>
      </c>
      <c r="E934" s="4">
        <v>42494</v>
      </c>
      <c r="F934" s="4"/>
      <c r="G934" s="3" t="s">
        <v>29</v>
      </c>
      <c r="H934" s="5">
        <v>13746</v>
      </c>
      <c r="I934" s="3" t="str">
        <f>VLOOKUP(Tabela1[[#This Row],[Advogado]],Tabela2[],2,FALSE)</f>
        <v>Caio Brito</v>
      </c>
      <c r="J934" s="17">
        <f>IF(Tabela1[[#This Row],[Data de conclusão]]="",NETWORKDAYS(Tabela1[[#This Row],[Data de entrada]],$J$2),NETWORKDAYS(Tabela1[[#This Row],[Data de entrada]],Tabela1[[#This Row],[Data de conclusão]]))</f>
        <v>530</v>
      </c>
      <c r="K934" s="1"/>
    </row>
    <row r="935" spans="2:11" x14ac:dyDescent="0.25">
      <c r="B935" s="3">
        <v>1042</v>
      </c>
      <c r="C935" s="3" t="s">
        <v>8</v>
      </c>
      <c r="D935" s="3" t="s">
        <v>13</v>
      </c>
      <c r="E935" s="4">
        <v>42941</v>
      </c>
      <c r="F935" s="4"/>
      <c r="G935" s="3" t="s">
        <v>29</v>
      </c>
      <c r="H935" s="5">
        <v>6943</v>
      </c>
      <c r="I935" s="3" t="str">
        <f>VLOOKUP(Tabela1[[#This Row],[Advogado]],Tabela2[],2,FALSE)</f>
        <v>Caio Brito</v>
      </c>
      <c r="J935" s="17">
        <f>IF(Tabela1[[#This Row],[Data de conclusão]]="",NETWORKDAYS(Tabela1[[#This Row],[Data de entrada]],$J$2),NETWORKDAYS(Tabela1[[#This Row],[Data de entrada]],Tabela1[[#This Row],[Data de conclusão]]))</f>
        <v>211</v>
      </c>
      <c r="K935" s="1"/>
    </row>
    <row r="936" spans="2:11" x14ac:dyDescent="0.25">
      <c r="B936" s="3">
        <v>1043</v>
      </c>
      <c r="C936" s="3" t="s">
        <v>9</v>
      </c>
      <c r="D936" s="3" t="s">
        <v>14</v>
      </c>
      <c r="E936" s="4">
        <v>42561</v>
      </c>
      <c r="F936" s="4"/>
      <c r="G936" s="3" t="s">
        <v>29</v>
      </c>
      <c r="H936" s="5">
        <v>57165</v>
      </c>
      <c r="I936" s="3" t="str">
        <f>VLOOKUP(Tabela1[[#This Row],[Advogado]],Tabela2[],2,FALSE)</f>
        <v>Renê Amaranto</v>
      </c>
      <c r="J936" s="17">
        <f>IF(Tabela1[[#This Row],[Data de conclusão]]="",NETWORKDAYS(Tabela1[[#This Row],[Data de entrada]],$J$2),NETWORKDAYS(Tabela1[[#This Row],[Data de entrada]],Tabela1[[#This Row],[Data de conclusão]]))</f>
        <v>482</v>
      </c>
      <c r="K936" s="1"/>
    </row>
    <row r="937" spans="2:11" x14ac:dyDescent="0.25">
      <c r="B937" s="3">
        <v>1044</v>
      </c>
      <c r="C937" s="3" t="s">
        <v>7</v>
      </c>
      <c r="D937" s="3" t="s">
        <v>15</v>
      </c>
      <c r="E937" s="4">
        <v>42462</v>
      </c>
      <c r="F937" s="4"/>
      <c r="G937" s="3" t="s">
        <v>29</v>
      </c>
      <c r="H937" s="5">
        <v>5854</v>
      </c>
      <c r="I937" s="3" t="str">
        <f>VLOOKUP(Tabela1[[#This Row],[Advogado]],Tabela2[],2,FALSE)</f>
        <v>Renê Amaranto</v>
      </c>
      <c r="J937" s="17">
        <f>IF(Tabela1[[#This Row],[Data de conclusão]]="",NETWORKDAYS(Tabela1[[#This Row],[Data de entrada]],$J$2),NETWORKDAYS(Tabela1[[#This Row],[Data de entrada]],Tabela1[[#This Row],[Data de conclusão]]))</f>
        <v>552</v>
      </c>
      <c r="K937" s="1"/>
    </row>
    <row r="938" spans="2:11" x14ac:dyDescent="0.25">
      <c r="B938" s="3">
        <v>1045</v>
      </c>
      <c r="C938" s="3" t="s">
        <v>8</v>
      </c>
      <c r="D938" s="3" t="s">
        <v>16</v>
      </c>
      <c r="E938" s="4">
        <v>42594</v>
      </c>
      <c r="F938" s="4">
        <v>42688</v>
      </c>
      <c r="G938" s="3" t="s">
        <v>28</v>
      </c>
      <c r="H938" s="5">
        <v>45923</v>
      </c>
      <c r="I938" s="3" t="str">
        <f>VLOOKUP(Tabela1[[#This Row],[Advogado]],Tabela2[],2,FALSE)</f>
        <v>Renê Amaranto</v>
      </c>
      <c r="J938" s="17">
        <f>IF(Tabela1[[#This Row],[Data de conclusão]]="",NETWORKDAYS(Tabela1[[#This Row],[Data de entrada]],$J$2),NETWORKDAYS(Tabela1[[#This Row],[Data de entrada]],Tabela1[[#This Row],[Data de conclusão]]))</f>
        <v>67</v>
      </c>
      <c r="K938" s="1"/>
    </row>
    <row r="939" spans="2:11" x14ac:dyDescent="0.25">
      <c r="B939" s="3">
        <v>1046</v>
      </c>
      <c r="C939" s="3" t="s">
        <v>9</v>
      </c>
      <c r="D939" s="3" t="s">
        <v>17</v>
      </c>
      <c r="E939" s="4">
        <v>43068</v>
      </c>
      <c r="F939" s="4"/>
      <c r="G939" s="3" t="s">
        <v>27</v>
      </c>
      <c r="H939" s="5">
        <v>6452</v>
      </c>
      <c r="I939" s="3" t="str">
        <f>VLOOKUP(Tabela1[[#This Row],[Advogado]],Tabela2[],2,FALSE)</f>
        <v>Renê Amaranto</v>
      </c>
      <c r="J939" s="17">
        <f>IF(Tabela1[[#This Row],[Data de conclusão]]="",NETWORKDAYS(Tabela1[[#This Row],[Data de entrada]],$J$2),NETWORKDAYS(Tabela1[[#This Row],[Data de entrada]],Tabela1[[#This Row],[Data de conclusão]]))</f>
        <v>120</v>
      </c>
      <c r="K939" s="1"/>
    </row>
    <row r="940" spans="2:11" x14ac:dyDescent="0.25">
      <c r="B940" s="3">
        <v>1047</v>
      </c>
      <c r="C940" s="3" t="s">
        <v>7</v>
      </c>
      <c r="D940" s="3" t="s">
        <v>10</v>
      </c>
      <c r="E940" s="4">
        <v>42608</v>
      </c>
      <c r="F940" s="4"/>
      <c r="G940" s="3" t="s">
        <v>29</v>
      </c>
      <c r="H940" s="5">
        <v>49250</v>
      </c>
      <c r="I940" s="3" t="str">
        <f>VLOOKUP(Tabela1[[#This Row],[Advogado]],Tabela2[],2,FALSE)</f>
        <v>Caio Brito</v>
      </c>
      <c r="J940" s="17">
        <f>IF(Tabela1[[#This Row],[Data de conclusão]]="",NETWORKDAYS(Tabela1[[#This Row],[Data de entrada]],$J$2),NETWORKDAYS(Tabela1[[#This Row],[Data de entrada]],Tabela1[[#This Row],[Data de conclusão]]))</f>
        <v>448</v>
      </c>
      <c r="K940" s="1"/>
    </row>
    <row r="941" spans="2:11" x14ac:dyDescent="0.25">
      <c r="B941" s="3">
        <v>1048</v>
      </c>
      <c r="C941" s="3" t="s">
        <v>8</v>
      </c>
      <c r="D941" s="3" t="s">
        <v>11</v>
      </c>
      <c r="E941" s="4">
        <v>42905</v>
      </c>
      <c r="F941" s="4"/>
      <c r="G941" s="3" t="s">
        <v>29</v>
      </c>
      <c r="H941" s="5">
        <v>55883</v>
      </c>
      <c r="I941" s="3" t="str">
        <f>VLOOKUP(Tabela1[[#This Row],[Advogado]],Tabela2[],2,FALSE)</f>
        <v>Caio Brito</v>
      </c>
      <c r="J941" s="17">
        <f>IF(Tabela1[[#This Row],[Data de conclusão]]="",NETWORKDAYS(Tabela1[[#This Row],[Data de entrada]],$J$2),NETWORKDAYS(Tabela1[[#This Row],[Data de entrada]],Tabela1[[#This Row],[Data de conclusão]]))</f>
        <v>237</v>
      </c>
      <c r="K941" s="1"/>
    </row>
    <row r="942" spans="2:11" x14ac:dyDescent="0.25">
      <c r="B942" s="3">
        <v>1049</v>
      </c>
      <c r="C942" s="3" t="s">
        <v>9</v>
      </c>
      <c r="D942" s="3" t="s">
        <v>12</v>
      </c>
      <c r="E942" s="4">
        <v>43033</v>
      </c>
      <c r="F942" s="4"/>
      <c r="G942" s="3" t="s">
        <v>29</v>
      </c>
      <c r="H942" s="5">
        <v>20167</v>
      </c>
      <c r="I942" s="3" t="str">
        <f>VLOOKUP(Tabela1[[#This Row],[Advogado]],Tabela2[],2,FALSE)</f>
        <v>Caio Brito</v>
      </c>
      <c r="J942" s="17">
        <f>IF(Tabela1[[#This Row],[Data de conclusão]]="",NETWORKDAYS(Tabela1[[#This Row],[Data de entrada]],$J$2),NETWORKDAYS(Tabela1[[#This Row],[Data de entrada]],Tabela1[[#This Row],[Data de conclusão]]))</f>
        <v>145</v>
      </c>
      <c r="K942" s="1"/>
    </row>
    <row r="943" spans="2:11" x14ac:dyDescent="0.25">
      <c r="B943" s="3">
        <v>1050</v>
      </c>
      <c r="C943" s="3" t="s">
        <v>7</v>
      </c>
      <c r="D943" s="3" t="s">
        <v>13</v>
      </c>
      <c r="E943" s="4">
        <v>42850</v>
      </c>
      <c r="F943" s="4"/>
      <c r="G943" s="3" t="s">
        <v>29</v>
      </c>
      <c r="H943" s="5">
        <v>41890</v>
      </c>
      <c r="I943" s="3" t="str">
        <f>VLOOKUP(Tabela1[[#This Row],[Advogado]],Tabela2[],2,FALSE)</f>
        <v>Caio Brito</v>
      </c>
      <c r="J943" s="17">
        <f>IF(Tabela1[[#This Row],[Data de conclusão]]="",NETWORKDAYS(Tabela1[[#This Row],[Data de entrada]],$J$2),NETWORKDAYS(Tabela1[[#This Row],[Data de entrada]],Tabela1[[#This Row],[Data de conclusão]]))</f>
        <v>276</v>
      </c>
      <c r="K943" s="1"/>
    </row>
    <row r="944" spans="2:11" x14ac:dyDescent="0.25">
      <c r="B944" s="3">
        <v>1051</v>
      </c>
      <c r="C944" s="3" t="s">
        <v>8</v>
      </c>
      <c r="D944" s="3" t="s">
        <v>14</v>
      </c>
      <c r="E944" s="4">
        <v>42682</v>
      </c>
      <c r="F944" s="4"/>
      <c r="G944" s="3" t="s">
        <v>29</v>
      </c>
      <c r="H944" s="5">
        <v>10206</v>
      </c>
      <c r="I944" s="3" t="str">
        <f>VLOOKUP(Tabela1[[#This Row],[Advogado]],Tabela2[],2,FALSE)</f>
        <v>Renê Amaranto</v>
      </c>
      <c r="J944" s="17">
        <f>IF(Tabela1[[#This Row],[Data de conclusão]]="",NETWORKDAYS(Tabela1[[#This Row],[Data de entrada]],$J$2),NETWORKDAYS(Tabela1[[#This Row],[Data de entrada]],Tabela1[[#This Row],[Data de conclusão]]))</f>
        <v>396</v>
      </c>
      <c r="K944" s="1"/>
    </row>
    <row r="945" spans="2:11" x14ac:dyDescent="0.25">
      <c r="B945" s="3">
        <v>1052</v>
      </c>
      <c r="C945" s="3" t="s">
        <v>9</v>
      </c>
      <c r="D945" s="3" t="s">
        <v>15</v>
      </c>
      <c r="E945" s="4">
        <v>43011</v>
      </c>
      <c r="F945" s="4"/>
      <c r="G945" s="3" t="s">
        <v>29</v>
      </c>
      <c r="H945" s="5">
        <v>33998</v>
      </c>
      <c r="I945" s="3" t="str">
        <f>VLOOKUP(Tabela1[[#This Row],[Advogado]],Tabela2[],2,FALSE)</f>
        <v>Renê Amaranto</v>
      </c>
      <c r="J945" s="17">
        <f>IF(Tabela1[[#This Row],[Data de conclusão]]="",NETWORKDAYS(Tabela1[[#This Row],[Data de entrada]],$J$2),NETWORKDAYS(Tabela1[[#This Row],[Data de entrada]],Tabela1[[#This Row],[Data de conclusão]]))</f>
        <v>161</v>
      </c>
      <c r="K945" s="1"/>
    </row>
    <row r="946" spans="2:11" x14ac:dyDescent="0.25">
      <c r="B946" s="3">
        <v>1053</v>
      </c>
      <c r="C946" s="3" t="s">
        <v>7</v>
      </c>
      <c r="D946" s="3" t="s">
        <v>16</v>
      </c>
      <c r="E946" s="4">
        <v>42479</v>
      </c>
      <c r="F946" s="4"/>
      <c r="G946" s="3" t="s">
        <v>29</v>
      </c>
      <c r="H946" s="5">
        <v>42089</v>
      </c>
      <c r="I946" s="3" t="str">
        <f>VLOOKUP(Tabela1[[#This Row],[Advogado]],Tabela2[],2,FALSE)</f>
        <v>Renê Amaranto</v>
      </c>
      <c r="J946" s="17">
        <f>IF(Tabela1[[#This Row],[Data de conclusão]]="",NETWORKDAYS(Tabela1[[#This Row],[Data de entrada]],$J$2),NETWORKDAYS(Tabela1[[#This Row],[Data de entrada]],Tabela1[[#This Row],[Data de conclusão]]))</f>
        <v>541</v>
      </c>
      <c r="K946" s="1"/>
    </row>
    <row r="947" spans="2:11" x14ac:dyDescent="0.25">
      <c r="B947" s="3">
        <v>1054</v>
      </c>
      <c r="C947" s="3" t="s">
        <v>8</v>
      </c>
      <c r="D947" s="3" t="s">
        <v>17</v>
      </c>
      <c r="E947" s="4">
        <v>42522</v>
      </c>
      <c r="F947" s="4"/>
      <c r="G947" s="3" t="s">
        <v>29</v>
      </c>
      <c r="H947" s="5">
        <v>43791</v>
      </c>
      <c r="I947" s="3" t="str">
        <f>VLOOKUP(Tabela1[[#This Row],[Advogado]],Tabela2[],2,FALSE)</f>
        <v>Renê Amaranto</v>
      </c>
      <c r="J947" s="17">
        <f>IF(Tabela1[[#This Row],[Data de conclusão]]="",NETWORKDAYS(Tabela1[[#This Row],[Data de entrada]],$J$2),NETWORKDAYS(Tabela1[[#This Row],[Data de entrada]],Tabela1[[#This Row],[Data de conclusão]]))</f>
        <v>510</v>
      </c>
      <c r="K947" s="1"/>
    </row>
    <row r="948" spans="2:11" x14ac:dyDescent="0.25">
      <c r="B948" s="3">
        <v>1055</v>
      </c>
      <c r="C948" s="3" t="s">
        <v>9</v>
      </c>
      <c r="D948" s="3" t="s">
        <v>10</v>
      </c>
      <c r="E948" s="4">
        <v>42982</v>
      </c>
      <c r="F948" s="4"/>
      <c r="G948" s="3" t="s">
        <v>29</v>
      </c>
      <c r="H948" s="5">
        <v>54776</v>
      </c>
      <c r="I948" s="3" t="str">
        <f>VLOOKUP(Tabela1[[#This Row],[Advogado]],Tabela2[],2,FALSE)</f>
        <v>Caio Brito</v>
      </c>
      <c r="J948" s="17">
        <f>IF(Tabela1[[#This Row],[Data de conclusão]]="",NETWORKDAYS(Tabela1[[#This Row],[Data de entrada]],$J$2),NETWORKDAYS(Tabela1[[#This Row],[Data de entrada]],Tabela1[[#This Row],[Data de conclusão]]))</f>
        <v>182</v>
      </c>
      <c r="K948" s="1"/>
    </row>
    <row r="949" spans="2:11" x14ac:dyDescent="0.25">
      <c r="B949" s="3">
        <v>1056</v>
      </c>
      <c r="C949" s="3" t="s">
        <v>7</v>
      </c>
      <c r="D949" s="3" t="s">
        <v>11</v>
      </c>
      <c r="E949" s="4">
        <v>43018</v>
      </c>
      <c r="F949" s="4"/>
      <c r="G949" s="3" t="s">
        <v>29</v>
      </c>
      <c r="H949" s="5">
        <v>15927</v>
      </c>
      <c r="I949" s="3" t="str">
        <f>VLOOKUP(Tabela1[[#This Row],[Advogado]],Tabela2[],2,FALSE)</f>
        <v>Caio Brito</v>
      </c>
      <c r="J949" s="17">
        <f>IF(Tabela1[[#This Row],[Data de conclusão]]="",NETWORKDAYS(Tabela1[[#This Row],[Data de entrada]],$J$2),NETWORKDAYS(Tabela1[[#This Row],[Data de entrada]],Tabela1[[#This Row],[Data de conclusão]]))</f>
        <v>156</v>
      </c>
      <c r="K949" s="1"/>
    </row>
    <row r="950" spans="2:11" x14ac:dyDescent="0.25">
      <c r="B950" s="3">
        <v>1057</v>
      </c>
      <c r="C950" s="3" t="s">
        <v>8</v>
      </c>
      <c r="D950" s="3" t="s">
        <v>12</v>
      </c>
      <c r="E950" s="4">
        <v>42876</v>
      </c>
      <c r="F950" s="4"/>
      <c r="G950" s="3" t="s">
        <v>29</v>
      </c>
      <c r="H950" s="5">
        <v>45029</v>
      </c>
      <c r="I950" s="3" t="str">
        <f>VLOOKUP(Tabela1[[#This Row],[Advogado]],Tabela2[],2,FALSE)</f>
        <v>Caio Brito</v>
      </c>
      <c r="J950" s="17">
        <f>IF(Tabela1[[#This Row],[Data de conclusão]]="",NETWORKDAYS(Tabela1[[#This Row],[Data de entrada]],$J$2),NETWORKDAYS(Tabela1[[#This Row],[Data de entrada]],Tabela1[[#This Row],[Data de conclusão]]))</f>
        <v>257</v>
      </c>
      <c r="K950" s="1"/>
    </row>
    <row r="951" spans="2:11" x14ac:dyDescent="0.25">
      <c r="B951" s="3">
        <v>1058</v>
      </c>
      <c r="C951" s="3" t="s">
        <v>9</v>
      </c>
      <c r="D951" s="3" t="s">
        <v>13</v>
      </c>
      <c r="E951" s="4">
        <v>42685</v>
      </c>
      <c r="F951" s="4">
        <v>42727</v>
      </c>
      <c r="G951" s="3" t="s">
        <v>28</v>
      </c>
      <c r="H951" s="5">
        <v>13026</v>
      </c>
      <c r="I951" s="3" t="str">
        <f>VLOOKUP(Tabela1[[#This Row],[Advogado]],Tabela2[],2,FALSE)</f>
        <v>Caio Brito</v>
      </c>
      <c r="J951" s="17">
        <f>IF(Tabela1[[#This Row],[Data de conclusão]]="",NETWORKDAYS(Tabela1[[#This Row],[Data de entrada]],$J$2),NETWORKDAYS(Tabela1[[#This Row],[Data de entrada]],Tabela1[[#This Row],[Data de conclusão]]))</f>
        <v>31</v>
      </c>
      <c r="K951" s="1"/>
    </row>
    <row r="952" spans="2:11" x14ac:dyDescent="0.25">
      <c r="B952" s="3">
        <v>1059</v>
      </c>
      <c r="C952" s="3" t="s">
        <v>7</v>
      </c>
      <c r="D952" s="3" t="s">
        <v>14</v>
      </c>
      <c r="E952" s="4">
        <v>42495</v>
      </c>
      <c r="F952" s="4"/>
      <c r="G952" s="3" t="s">
        <v>27</v>
      </c>
      <c r="H952" s="5">
        <v>28691</v>
      </c>
      <c r="I952" s="3" t="str">
        <f>VLOOKUP(Tabela1[[#This Row],[Advogado]],Tabela2[],2,FALSE)</f>
        <v>Renê Amaranto</v>
      </c>
      <c r="J952" s="17">
        <f>IF(Tabela1[[#This Row],[Data de conclusão]]="",NETWORKDAYS(Tabela1[[#This Row],[Data de entrada]],$J$2),NETWORKDAYS(Tabela1[[#This Row],[Data de entrada]],Tabela1[[#This Row],[Data de conclusão]]))</f>
        <v>529</v>
      </c>
      <c r="K952" s="1"/>
    </row>
    <row r="953" spans="2:11" x14ac:dyDescent="0.25">
      <c r="B953" s="3">
        <v>1060</v>
      </c>
      <c r="C953" s="3" t="s">
        <v>8</v>
      </c>
      <c r="D953" s="3" t="s">
        <v>15</v>
      </c>
      <c r="E953" s="4">
        <v>42405</v>
      </c>
      <c r="F953" s="4"/>
      <c r="G953" s="3" t="s">
        <v>29</v>
      </c>
      <c r="H953" s="5">
        <v>32721</v>
      </c>
      <c r="I953" s="3" t="str">
        <f>VLOOKUP(Tabela1[[#This Row],[Advogado]],Tabela2[],2,FALSE)</f>
        <v>Renê Amaranto</v>
      </c>
      <c r="J953" s="17">
        <f>IF(Tabela1[[#This Row],[Data de conclusão]]="",NETWORKDAYS(Tabela1[[#This Row],[Data de entrada]],$J$2),NETWORKDAYS(Tabela1[[#This Row],[Data de entrada]],Tabela1[[#This Row],[Data de conclusão]]))</f>
        <v>593</v>
      </c>
      <c r="K953" s="1"/>
    </row>
    <row r="954" spans="2:11" x14ac:dyDescent="0.25">
      <c r="B954" s="3">
        <v>1061</v>
      </c>
      <c r="C954" s="3" t="s">
        <v>9</v>
      </c>
      <c r="D954" s="3" t="s">
        <v>16</v>
      </c>
      <c r="E954" s="4">
        <v>42829</v>
      </c>
      <c r="F954" s="4"/>
      <c r="G954" s="3" t="s">
        <v>29</v>
      </c>
      <c r="H954" s="5">
        <v>58045</v>
      </c>
      <c r="I954" s="3" t="str">
        <f>VLOOKUP(Tabela1[[#This Row],[Advogado]],Tabela2[],2,FALSE)</f>
        <v>Renê Amaranto</v>
      </c>
      <c r="J954" s="17">
        <f>IF(Tabela1[[#This Row],[Data de conclusão]]="",NETWORKDAYS(Tabela1[[#This Row],[Data de entrada]],$J$2),NETWORKDAYS(Tabela1[[#This Row],[Data de entrada]],Tabela1[[#This Row],[Data de conclusão]]))</f>
        <v>291</v>
      </c>
      <c r="K954" s="1"/>
    </row>
    <row r="955" spans="2:11" x14ac:dyDescent="0.25">
      <c r="B955" s="3">
        <v>1062</v>
      </c>
      <c r="C955" s="3" t="s">
        <v>7</v>
      </c>
      <c r="D955" s="3" t="s">
        <v>17</v>
      </c>
      <c r="E955" s="4">
        <v>42747</v>
      </c>
      <c r="F955" s="4"/>
      <c r="G955" s="3" t="s">
        <v>29</v>
      </c>
      <c r="H955" s="5">
        <v>9358</v>
      </c>
      <c r="I955" s="3" t="str">
        <f>VLOOKUP(Tabela1[[#This Row],[Advogado]],Tabela2[],2,FALSE)</f>
        <v>Renê Amaranto</v>
      </c>
      <c r="J955" s="17">
        <f>IF(Tabela1[[#This Row],[Data de conclusão]]="",NETWORKDAYS(Tabela1[[#This Row],[Data de entrada]],$J$2),NETWORKDAYS(Tabela1[[#This Row],[Data de entrada]],Tabela1[[#This Row],[Data de conclusão]]))</f>
        <v>349</v>
      </c>
      <c r="K955" s="1"/>
    </row>
    <row r="956" spans="2:11" x14ac:dyDescent="0.25">
      <c r="B956" s="3">
        <v>1063</v>
      </c>
      <c r="C956" s="3" t="s">
        <v>8</v>
      </c>
      <c r="D956" s="3" t="s">
        <v>10</v>
      </c>
      <c r="E956" s="4">
        <v>42450</v>
      </c>
      <c r="F956" s="4"/>
      <c r="G956" s="3" t="s">
        <v>29</v>
      </c>
      <c r="H956" s="5">
        <v>52929</v>
      </c>
      <c r="I956" s="3" t="str">
        <f>VLOOKUP(Tabela1[[#This Row],[Advogado]],Tabela2[],2,FALSE)</f>
        <v>Caio Brito</v>
      </c>
      <c r="J956" s="17">
        <f>IF(Tabela1[[#This Row],[Data de conclusão]]="",NETWORKDAYS(Tabela1[[#This Row],[Data de entrada]],$J$2),NETWORKDAYS(Tabela1[[#This Row],[Data de entrada]],Tabela1[[#This Row],[Data de conclusão]]))</f>
        <v>562</v>
      </c>
      <c r="K956" s="1"/>
    </row>
    <row r="957" spans="2:11" x14ac:dyDescent="0.25">
      <c r="B957" s="3">
        <v>1064</v>
      </c>
      <c r="C957" s="3" t="s">
        <v>9</v>
      </c>
      <c r="D957" s="3" t="s">
        <v>11</v>
      </c>
      <c r="E957" s="4">
        <v>43025</v>
      </c>
      <c r="F957" s="4"/>
      <c r="G957" s="3" t="s">
        <v>29</v>
      </c>
      <c r="H957" s="5">
        <v>30179</v>
      </c>
      <c r="I957" s="3" t="str">
        <f>VLOOKUP(Tabela1[[#This Row],[Advogado]],Tabela2[],2,FALSE)</f>
        <v>Caio Brito</v>
      </c>
      <c r="J957" s="17">
        <f>IF(Tabela1[[#This Row],[Data de conclusão]]="",NETWORKDAYS(Tabela1[[#This Row],[Data de entrada]],$J$2),NETWORKDAYS(Tabela1[[#This Row],[Data de entrada]],Tabela1[[#This Row],[Data de conclusão]]))</f>
        <v>151</v>
      </c>
      <c r="K957" s="1"/>
    </row>
    <row r="958" spans="2:11" x14ac:dyDescent="0.25">
      <c r="B958" s="3">
        <v>1065</v>
      </c>
      <c r="C958" s="3" t="s">
        <v>7</v>
      </c>
      <c r="D958" s="3" t="s">
        <v>12</v>
      </c>
      <c r="E958" s="4">
        <v>42842</v>
      </c>
      <c r="F958" s="4"/>
      <c r="G958" s="3" t="s">
        <v>29</v>
      </c>
      <c r="H958" s="5">
        <v>48474</v>
      </c>
      <c r="I958" s="3" t="str">
        <f>VLOOKUP(Tabela1[[#This Row],[Advogado]],Tabela2[],2,FALSE)</f>
        <v>Caio Brito</v>
      </c>
      <c r="J958" s="17">
        <f>IF(Tabela1[[#This Row],[Data de conclusão]]="",NETWORKDAYS(Tabela1[[#This Row],[Data de entrada]],$J$2),NETWORKDAYS(Tabela1[[#This Row],[Data de entrada]],Tabela1[[#This Row],[Data de conclusão]]))</f>
        <v>282</v>
      </c>
      <c r="K958" s="1"/>
    </row>
    <row r="959" spans="2:11" x14ac:dyDescent="0.25">
      <c r="B959" s="3">
        <v>1066</v>
      </c>
      <c r="C959" s="3" t="s">
        <v>8</v>
      </c>
      <c r="D959" s="3" t="s">
        <v>13</v>
      </c>
      <c r="E959" s="4">
        <v>42481</v>
      </c>
      <c r="F959" s="4"/>
      <c r="G959" s="3" t="s">
        <v>29</v>
      </c>
      <c r="H959" s="5">
        <v>32069</v>
      </c>
      <c r="I959" s="3" t="str">
        <f>VLOOKUP(Tabela1[[#This Row],[Advogado]],Tabela2[],2,FALSE)</f>
        <v>Caio Brito</v>
      </c>
      <c r="J959" s="17">
        <f>IF(Tabela1[[#This Row],[Data de conclusão]]="",NETWORKDAYS(Tabela1[[#This Row],[Data de entrada]],$J$2),NETWORKDAYS(Tabela1[[#This Row],[Data de entrada]],Tabela1[[#This Row],[Data de conclusão]]))</f>
        <v>539</v>
      </c>
      <c r="K959" s="1"/>
    </row>
    <row r="960" spans="2:11" x14ac:dyDescent="0.25">
      <c r="B960" s="3">
        <v>1067</v>
      </c>
      <c r="C960" s="3" t="s">
        <v>9</v>
      </c>
      <c r="D960" s="3" t="s">
        <v>14</v>
      </c>
      <c r="E960" s="4">
        <v>43019</v>
      </c>
      <c r="F960" s="4"/>
      <c r="G960" s="3" t="s">
        <v>29</v>
      </c>
      <c r="H960" s="5">
        <v>52231</v>
      </c>
      <c r="I960" s="3" t="str">
        <f>VLOOKUP(Tabela1[[#This Row],[Advogado]],Tabela2[],2,FALSE)</f>
        <v>Renê Amaranto</v>
      </c>
      <c r="J960" s="17">
        <f>IF(Tabela1[[#This Row],[Data de conclusão]]="",NETWORKDAYS(Tabela1[[#This Row],[Data de entrada]],$J$2),NETWORKDAYS(Tabela1[[#This Row],[Data de entrada]],Tabela1[[#This Row],[Data de conclusão]]))</f>
        <v>155</v>
      </c>
      <c r="K960" s="1"/>
    </row>
    <row r="961" spans="2:11" x14ac:dyDescent="0.25">
      <c r="B961" s="3">
        <v>1068</v>
      </c>
      <c r="C961" s="3" t="s">
        <v>7</v>
      </c>
      <c r="D961" s="3" t="s">
        <v>15</v>
      </c>
      <c r="E961" s="4">
        <v>42933</v>
      </c>
      <c r="F961" s="4"/>
      <c r="G961" s="3" t="s">
        <v>29</v>
      </c>
      <c r="H961" s="5">
        <v>51761</v>
      </c>
      <c r="I961" s="3" t="str">
        <f>VLOOKUP(Tabela1[[#This Row],[Advogado]],Tabela2[],2,FALSE)</f>
        <v>Renê Amaranto</v>
      </c>
      <c r="J961" s="17">
        <f>IF(Tabela1[[#This Row],[Data de conclusão]]="",NETWORKDAYS(Tabela1[[#This Row],[Data de entrada]],$J$2),NETWORKDAYS(Tabela1[[#This Row],[Data de entrada]],Tabela1[[#This Row],[Data de conclusão]]))</f>
        <v>217</v>
      </c>
      <c r="K961" s="1"/>
    </row>
    <row r="962" spans="2:11" x14ac:dyDescent="0.25">
      <c r="B962" s="3">
        <v>1069</v>
      </c>
      <c r="C962" s="3" t="s">
        <v>8</v>
      </c>
      <c r="D962" s="3" t="s">
        <v>16</v>
      </c>
      <c r="E962" s="4">
        <v>42845</v>
      </c>
      <c r="F962" s="4"/>
      <c r="G962" s="3" t="s">
        <v>29</v>
      </c>
      <c r="H962" s="5">
        <v>46618</v>
      </c>
      <c r="I962" s="3" t="str">
        <f>VLOOKUP(Tabela1[[#This Row],[Advogado]],Tabela2[],2,FALSE)</f>
        <v>Renê Amaranto</v>
      </c>
      <c r="J962" s="17">
        <f>IF(Tabela1[[#This Row],[Data de conclusão]]="",NETWORKDAYS(Tabela1[[#This Row],[Data de entrada]],$J$2),NETWORKDAYS(Tabela1[[#This Row],[Data de entrada]],Tabela1[[#This Row],[Data de conclusão]]))</f>
        <v>279</v>
      </c>
      <c r="K962" s="1"/>
    </row>
    <row r="963" spans="2:11" x14ac:dyDescent="0.25">
      <c r="B963" s="3">
        <v>1070</v>
      </c>
      <c r="C963" s="3" t="s">
        <v>9</v>
      </c>
      <c r="D963" s="3" t="s">
        <v>17</v>
      </c>
      <c r="E963" s="4">
        <v>42497</v>
      </c>
      <c r="F963" s="4"/>
      <c r="G963" s="3" t="s">
        <v>29</v>
      </c>
      <c r="H963" s="5">
        <v>8625</v>
      </c>
      <c r="I963" s="3" t="str">
        <f>VLOOKUP(Tabela1[[#This Row],[Advogado]],Tabela2[],2,FALSE)</f>
        <v>Renê Amaranto</v>
      </c>
      <c r="J963" s="17">
        <f>IF(Tabela1[[#This Row],[Data de conclusão]]="",NETWORKDAYS(Tabela1[[#This Row],[Data de entrada]],$J$2),NETWORKDAYS(Tabela1[[#This Row],[Data de entrada]],Tabela1[[#This Row],[Data de conclusão]]))</f>
        <v>527</v>
      </c>
      <c r="K963" s="1"/>
    </row>
    <row r="964" spans="2:11" x14ac:dyDescent="0.25">
      <c r="B964" s="3">
        <v>1071</v>
      </c>
      <c r="C964" s="3" t="s">
        <v>7</v>
      </c>
      <c r="D964" s="3" t="s">
        <v>10</v>
      </c>
      <c r="E964" s="4">
        <v>42394</v>
      </c>
      <c r="F964" s="4">
        <v>42546</v>
      </c>
      <c r="G964" s="3" t="s">
        <v>28</v>
      </c>
      <c r="H964" s="5">
        <v>45806</v>
      </c>
      <c r="I964" s="3" t="str">
        <f>VLOOKUP(Tabela1[[#This Row],[Advogado]],Tabela2[],2,FALSE)</f>
        <v>Caio Brito</v>
      </c>
      <c r="J964" s="17">
        <f>IF(Tabela1[[#This Row],[Data de conclusão]]="",NETWORKDAYS(Tabela1[[#This Row],[Data de entrada]],$J$2),NETWORKDAYS(Tabela1[[#This Row],[Data de entrada]],Tabela1[[#This Row],[Data de conclusão]]))</f>
        <v>110</v>
      </c>
      <c r="K964" s="1"/>
    </row>
    <row r="965" spans="2:11" x14ac:dyDescent="0.25">
      <c r="B965" s="3">
        <v>1072</v>
      </c>
      <c r="C965" s="3" t="s">
        <v>8</v>
      </c>
      <c r="D965" s="3" t="s">
        <v>11</v>
      </c>
      <c r="E965" s="4">
        <v>42947</v>
      </c>
      <c r="F965" s="4"/>
      <c r="G965" s="3" t="s">
        <v>27</v>
      </c>
      <c r="H965" s="5">
        <v>40724</v>
      </c>
      <c r="I965" s="3" t="str">
        <f>VLOOKUP(Tabela1[[#This Row],[Advogado]],Tabela2[],2,FALSE)</f>
        <v>Caio Brito</v>
      </c>
      <c r="J965" s="17">
        <f>IF(Tabela1[[#This Row],[Data de conclusão]]="",NETWORKDAYS(Tabela1[[#This Row],[Data de entrada]],$J$2),NETWORKDAYS(Tabela1[[#This Row],[Data de entrada]],Tabela1[[#This Row],[Data de conclusão]]))</f>
        <v>207</v>
      </c>
      <c r="K965" s="1"/>
    </row>
    <row r="966" spans="2:11" x14ac:dyDescent="0.25">
      <c r="B966" s="3">
        <v>1073</v>
      </c>
      <c r="C966" s="3" t="s">
        <v>9</v>
      </c>
      <c r="D966" s="3" t="s">
        <v>12</v>
      </c>
      <c r="E966" s="4">
        <v>42566</v>
      </c>
      <c r="F966" s="4"/>
      <c r="G966" s="3" t="s">
        <v>29</v>
      </c>
      <c r="H966" s="5">
        <v>12458</v>
      </c>
      <c r="I966" s="3" t="str">
        <f>VLOOKUP(Tabela1[[#This Row],[Advogado]],Tabela2[],2,FALSE)</f>
        <v>Caio Brito</v>
      </c>
      <c r="J966" s="17">
        <f>IF(Tabela1[[#This Row],[Data de conclusão]]="",NETWORKDAYS(Tabela1[[#This Row],[Data de entrada]],$J$2),NETWORKDAYS(Tabela1[[#This Row],[Data de entrada]],Tabela1[[#This Row],[Data de conclusão]]))</f>
        <v>478</v>
      </c>
      <c r="K966" s="1"/>
    </row>
    <row r="967" spans="2:11" x14ac:dyDescent="0.25">
      <c r="B967" s="3">
        <v>1074</v>
      </c>
      <c r="C967" s="3" t="s">
        <v>7</v>
      </c>
      <c r="D967" s="3" t="s">
        <v>13</v>
      </c>
      <c r="E967" s="4">
        <v>42761</v>
      </c>
      <c r="F967" s="4"/>
      <c r="G967" s="3" t="s">
        <v>29</v>
      </c>
      <c r="H967" s="5">
        <v>45855</v>
      </c>
      <c r="I967" s="3" t="str">
        <f>VLOOKUP(Tabela1[[#This Row],[Advogado]],Tabela2[],2,FALSE)</f>
        <v>Caio Brito</v>
      </c>
      <c r="J967" s="17">
        <f>IF(Tabela1[[#This Row],[Data de conclusão]]="",NETWORKDAYS(Tabela1[[#This Row],[Data de entrada]],$J$2),NETWORKDAYS(Tabela1[[#This Row],[Data de entrada]],Tabela1[[#This Row],[Data de conclusão]]))</f>
        <v>339</v>
      </c>
      <c r="K967" s="1"/>
    </row>
    <row r="968" spans="2:11" x14ac:dyDescent="0.25">
      <c r="B968" s="3">
        <v>1075</v>
      </c>
      <c r="C968" s="3" t="s">
        <v>8</v>
      </c>
      <c r="D968" s="3" t="s">
        <v>14</v>
      </c>
      <c r="E968" s="4">
        <v>42677</v>
      </c>
      <c r="F968" s="4"/>
      <c r="G968" s="3" t="s">
        <v>29</v>
      </c>
      <c r="H968" s="5">
        <v>17056</v>
      </c>
      <c r="I968" s="3" t="str">
        <f>VLOOKUP(Tabela1[[#This Row],[Advogado]],Tabela2[],2,FALSE)</f>
        <v>Renê Amaranto</v>
      </c>
      <c r="J968" s="17">
        <f>IF(Tabela1[[#This Row],[Data de conclusão]]="",NETWORKDAYS(Tabela1[[#This Row],[Data de entrada]],$J$2),NETWORKDAYS(Tabela1[[#This Row],[Data de entrada]],Tabela1[[#This Row],[Data de conclusão]]))</f>
        <v>399</v>
      </c>
      <c r="K968" s="1"/>
    </row>
    <row r="969" spans="2:11" x14ac:dyDescent="0.25">
      <c r="B969" s="3">
        <v>1076</v>
      </c>
      <c r="C969" s="3" t="s">
        <v>9</v>
      </c>
      <c r="D969" s="3" t="s">
        <v>15</v>
      </c>
      <c r="E969" s="4">
        <v>42796</v>
      </c>
      <c r="F969" s="4"/>
      <c r="G969" s="3" t="s">
        <v>29</v>
      </c>
      <c r="H969" s="5">
        <v>51938</v>
      </c>
      <c r="I969" s="3" t="str">
        <f>VLOOKUP(Tabela1[[#This Row],[Advogado]],Tabela2[],2,FALSE)</f>
        <v>Renê Amaranto</v>
      </c>
      <c r="J969" s="17">
        <f>IF(Tabela1[[#This Row],[Data de conclusão]]="",NETWORKDAYS(Tabela1[[#This Row],[Data de entrada]],$J$2),NETWORKDAYS(Tabela1[[#This Row],[Data de entrada]],Tabela1[[#This Row],[Data de conclusão]]))</f>
        <v>314</v>
      </c>
      <c r="K969" s="1"/>
    </row>
    <row r="970" spans="2:11" x14ac:dyDescent="0.25">
      <c r="B970" s="3">
        <v>1077</v>
      </c>
      <c r="C970" s="3" t="s">
        <v>7</v>
      </c>
      <c r="D970" s="3" t="s">
        <v>16</v>
      </c>
      <c r="E970" s="4">
        <v>42888</v>
      </c>
      <c r="F970" s="4"/>
      <c r="G970" s="3" t="s">
        <v>29</v>
      </c>
      <c r="H970" s="5">
        <v>2310</v>
      </c>
      <c r="I970" s="3" t="str">
        <f>VLOOKUP(Tabela1[[#This Row],[Advogado]],Tabela2[],2,FALSE)</f>
        <v>Renê Amaranto</v>
      </c>
      <c r="J970" s="17">
        <f>IF(Tabela1[[#This Row],[Data de conclusão]]="",NETWORKDAYS(Tabela1[[#This Row],[Data de entrada]],$J$2),NETWORKDAYS(Tabela1[[#This Row],[Data de entrada]],Tabela1[[#This Row],[Data de conclusão]]))</f>
        <v>248</v>
      </c>
      <c r="K970" s="1"/>
    </row>
    <row r="971" spans="2:11" x14ac:dyDescent="0.25">
      <c r="B971" s="3">
        <v>1078</v>
      </c>
      <c r="C971" s="3" t="s">
        <v>8</v>
      </c>
      <c r="D971" s="3" t="s">
        <v>17</v>
      </c>
      <c r="E971" s="4">
        <v>42768</v>
      </c>
      <c r="F971" s="4"/>
      <c r="G971" s="3" t="s">
        <v>29</v>
      </c>
      <c r="H971" s="5">
        <v>7461</v>
      </c>
      <c r="I971" s="3" t="str">
        <f>VLOOKUP(Tabela1[[#This Row],[Advogado]],Tabela2[],2,FALSE)</f>
        <v>Renê Amaranto</v>
      </c>
      <c r="J971" s="17">
        <f>IF(Tabela1[[#This Row],[Data de conclusão]]="",NETWORKDAYS(Tabela1[[#This Row],[Data de entrada]],$J$2),NETWORKDAYS(Tabela1[[#This Row],[Data de entrada]],Tabela1[[#This Row],[Data de conclusão]]))</f>
        <v>334</v>
      </c>
      <c r="K971" s="1"/>
    </row>
    <row r="972" spans="2:11" x14ac:dyDescent="0.25">
      <c r="B972" s="3">
        <v>1079</v>
      </c>
      <c r="C972" s="3" t="s">
        <v>9</v>
      </c>
      <c r="D972" s="3" t="s">
        <v>10</v>
      </c>
      <c r="E972" s="4">
        <v>42669</v>
      </c>
      <c r="F972" s="4"/>
      <c r="G972" s="3" t="s">
        <v>29</v>
      </c>
      <c r="H972" s="5">
        <v>50577</v>
      </c>
      <c r="I972" s="3" t="str">
        <f>VLOOKUP(Tabela1[[#This Row],[Advogado]],Tabela2[],2,FALSE)</f>
        <v>Caio Brito</v>
      </c>
      <c r="J972" s="17">
        <f>IF(Tabela1[[#This Row],[Data de conclusão]]="",NETWORKDAYS(Tabela1[[#This Row],[Data de entrada]],$J$2),NETWORKDAYS(Tabela1[[#This Row],[Data de entrada]],Tabela1[[#This Row],[Data de conclusão]]))</f>
        <v>405</v>
      </c>
      <c r="K972" s="1"/>
    </row>
    <row r="973" spans="2:11" x14ac:dyDescent="0.25">
      <c r="B973" s="3">
        <v>1080</v>
      </c>
      <c r="C973" s="3" t="s">
        <v>7</v>
      </c>
      <c r="D973" s="3" t="s">
        <v>11</v>
      </c>
      <c r="E973" s="4">
        <v>42392</v>
      </c>
      <c r="F973" s="4"/>
      <c r="G973" s="3" t="s">
        <v>29</v>
      </c>
      <c r="H973" s="5">
        <v>10732</v>
      </c>
      <c r="I973" s="3" t="str">
        <f>VLOOKUP(Tabela1[[#This Row],[Advogado]],Tabela2[],2,FALSE)</f>
        <v>Caio Brito</v>
      </c>
      <c r="J973" s="17">
        <f>IF(Tabela1[[#This Row],[Data de conclusão]]="",NETWORKDAYS(Tabela1[[#This Row],[Data de entrada]],$J$2),NETWORKDAYS(Tabela1[[#This Row],[Data de entrada]],Tabela1[[#This Row],[Data de conclusão]]))</f>
        <v>602</v>
      </c>
      <c r="K973" s="1"/>
    </row>
    <row r="974" spans="2:11" x14ac:dyDescent="0.25">
      <c r="B974" s="3">
        <v>1081</v>
      </c>
      <c r="C974" s="3" t="s">
        <v>8</v>
      </c>
      <c r="D974" s="3" t="s">
        <v>12</v>
      </c>
      <c r="E974" s="4">
        <v>42623</v>
      </c>
      <c r="F974" s="4"/>
      <c r="G974" s="3" t="s">
        <v>29</v>
      </c>
      <c r="H974" s="5">
        <v>11255</v>
      </c>
      <c r="I974" s="3" t="str">
        <f>VLOOKUP(Tabela1[[#This Row],[Advogado]],Tabela2[],2,FALSE)</f>
        <v>Caio Brito</v>
      </c>
      <c r="J974" s="17">
        <f>IF(Tabela1[[#This Row],[Data de conclusão]]="",NETWORKDAYS(Tabela1[[#This Row],[Data de entrada]],$J$2),NETWORKDAYS(Tabela1[[#This Row],[Data de entrada]],Tabela1[[#This Row],[Data de conclusão]]))</f>
        <v>437</v>
      </c>
      <c r="K974" s="1"/>
    </row>
    <row r="975" spans="2:11" x14ac:dyDescent="0.25">
      <c r="B975" s="3">
        <v>1082</v>
      </c>
      <c r="C975" s="3" t="s">
        <v>9</v>
      </c>
      <c r="D975" s="3" t="s">
        <v>13</v>
      </c>
      <c r="E975" s="4">
        <v>42808</v>
      </c>
      <c r="F975" s="4"/>
      <c r="G975" s="3" t="s">
        <v>29</v>
      </c>
      <c r="H975" s="5">
        <v>5885</v>
      </c>
      <c r="I975" s="3" t="str">
        <f>VLOOKUP(Tabela1[[#This Row],[Advogado]],Tabela2[],2,FALSE)</f>
        <v>Caio Brito</v>
      </c>
      <c r="J975" s="17">
        <f>IF(Tabela1[[#This Row],[Data de conclusão]]="",NETWORKDAYS(Tabela1[[#This Row],[Data de entrada]],$J$2),NETWORKDAYS(Tabela1[[#This Row],[Data de entrada]],Tabela1[[#This Row],[Data de conclusão]]))</f>
        <v>306</v>
      </c>
      <c r="K975" s="1"/>
    </row>
    <row r="976" spans="2:11" x14ac:dyDescent="0.25">
      <c r="B976" s="3">
        <v>1083</v>
      </c>
      <c r="C976" s="3" t="s">
        <v>7</v>
      </c>
      <c r="D976" s="3" t="s">
        <v>14</v>
      </c>
      <c r="E976" s="4">
        <v>42462</v>
      </c>
      <c r="F976" s="4"/>
      <c r="G976" s="3" t="s">
        <v>29</v>
      </c>
      <c r="H976" s="5">
        <v>17876</v>
      </c>
      <c r="I976" s="3" t="str">
        <f>VLOOKUP(Tabela1[[#This Row],[Advogado]],Tabela2[],2,FALSE)</f>
        <v>Renê Amaranto</v>
      </c>
      <c r="J976" s="17">
        <f>IF(Tabela1[[#This Row],[Data de conclusão]]="",NETWORKDAYS(Tabela1[[#This Row],[Data de entrada]],$J$2),NETWORKDAYS(Tabela1[[#This Row],[Data de entrada]],Tabela1[[#This Row],[Data de conclusão]]))</f>
        <v>552</v>
      </c>
      <c r="K976" s="1"/>
    </row>
    <row r="977" spans="2:11" x14ac:dyDescent="0.25">
      <c r="B977" s="3">
        <v>1084</v>
      </c>
      <c r="C977" s="3" t="s">
        <v>8</v>
      </c>
      <c r="D977" s="3" t="s">
        <v>15</v>
      </c>
      <c r="E977" s="4">
        <v>42854</v>
      </c>
      <c r="F977" s="4">
        <v>42964</v>
      </c>
      <c r="G977" s="3" t="s">
        <v>28</v>
      </c>
      <c r="H977" s="5">
        <v>12290</v>
      </c>
      <c r="I977" s="3" t="str">
        <f>VLOOKUP(Tabela1[[#This Row],[Advogado]],Tabela2[],2,FALSE)</f>
        <v>Renê Amaranto</v>
      </c>
      <c r="J977" s="17">
        <f>IF(Tabela1[[#This Row],[Data de conclusão]]="",NETWORKDAYS(Tabela1[[#This Row],[Data de entrada]],$J$2),NETWORKDAYS(Tabela1[[#This Row],[Data de entrada]],Tabela1[[#This Row],[Data de conclusão]]))</f>
        <v>79</v>
      </c>
      <c r="K977" s="1"/>
    </row>
    <row r="978" spans="2:11" x14ac:dyDescent="0.25">
      <c r="B978" s="3">
        <v>1085</v>
      </c>
      <c r="C978" s="3" t="s">
        <v>9</v>
      </c>
      <c r="D978" s="3" t="s">
        <v>16</v>
      </c>
      <c r="E978" s="4">
        <v>42775</v>
      </c>
      <c r="F978" s="4"/>
      <c r="G978" s="3" t="s">
        <v>27</v>
      </c>
      <c r="H978" s="5">
        <v>35877</v>
      </c>
      <c r="I978" s="3" t="str">
        <f>VLOOKUP(Tabela1[[#This Row],[Advogado]],Tabela2[],2,FALSE)</f>
        <v>Renê Amaranto</v>
      </c>
      <c r="J978" s="17">
        <f>IF(Tabela1[[#This Row],[Data de conclusão]]="",NETWORKDAYS(Tabela1[[#This Row],[Data de entrada]],$J$2),NETWORKDAYS(Tabela1[[#This Row],[Data de entrada]],Tabela1[[#This Row],[Data de conclusão]]))</f>
        <v>329</v>
      </c>
      <c r="K978" s="1"/>
    </row>
    <row r="979" spans="2:11" x14ac:dyDescent="0.25">
      <c r="B979" s="3">
        <v>1086</v>
      </c>
      <c r="C979" s="3" t="s">
        <v>7</v>
      </c>
      <c r="D979" s="3" t="s">
        <v>17</v>
      </c>
      <c r="E979" s="4">
        <v>42591</v>
      </c>
      <c r="F979" s="4"/>
      <c r="G979" s="3" t="s">
        <v>29</v>
      </c>
      <c r="H979" s="5">
        <v>48360</v>
      </c>
      <c r="I979" s="3" t="str">
        <f>VLOOKUP(Tabela1[[#This Row],[Advogado]],Tabela2[],2,FALSE)</f>
        <v>Renê Amaranto</v>
      </c>
      <c r="J979" s="17">
        <f>IF(Tabela1[[#This Row],[Data de conclusão]]="",NETWORKDAYS(Tabela1[[#This Row],[Data de entrada]],$J$2),NETWORKDAYS(Tabela1[[#This Row],[Data de entrada]],Tabela1[[#This Row],[Data de conclusão]]))</f>
        <v>461</v>
      </c>
      <c r="K979" s="1"/>
    </row>
    <row r="980" spans="2:11" x14ac:dyDescent="0.25">
      <c r="B980" s="3">
        <v>1087</v>
      </c>
      <c r="C980" s="3" t="s">
        <v>8</v>
      </c>
      <c r="D980" s="3" t="s">
        <v>10</v>
      </c>
      <c r="E980" s="4">
        <v>42512</v>
      </c>
      <c r="F980" s="4"/>
      <c r="G980" s="3" t="s">
        <v>29</v>
      </c>
      <c r="H980" s="5">
        <v>59977</v>
      </c>
      <c r="I980" s="3" t="str">
        <f>VLOOKUP(Tabela1[[#This Row],[Advogado]],Tabela2[],2,FALSE)</f>
        <v>Caio Brito</v>
      </c>
      <c r="J980" s="17">
        <f>IF(Tabela1[[#This Row],[Data de conclusão]]="",NETWORKDAYS(Tabela1[[#This Row],[Data de entrada]],$J$2),NETWORKDAYS(Tabela1[[#This Row],[Data de entrada]],Tabela1[[#This Row],[Data de conclusão]]))</f>
        <v>517</v>
      </c>
      <c r="K980" s="1"/>
    </row>
    <row r="981" spans="2:11" x14ac:dyDescent="0.25">
      <c r="B981" s="3">
        <v>1088</v>
      </c>
      <c r="C981" s="3" t="s">
        <v>9</v>
      </c>
      <c r="D981" s="3" t="s">
        <v>11</v>
      </c>
      <c r="E981" s="4">
        <v>43074</v>
      </c>
      <c r="F981" s="4"/>
      <c r="G981" s="3" t="s">
        <v>29</v>
      </c>
      <c r="H981" s="5">
        <v>46215</v>
      </c>
      <c r="I981" s="3" t="str">
        <f>VLOOKUP(Tabela1[[#This Row],[Advogado]],Tabela2[],2,FALSE)</f>
        <v>Caio Brito</v>
      </c>
      <c r="J981" s="17">
        <f>IF(Tabela1[[#This Row],[Data de conclusão]]="",NETWORKDAYS(Tabela1[[#This Row],[Data de entrada]],$J$2),NETWORKDAYS(Tabela1[[#This Row],[Data de entrada]],Tabela1[[#This Row],[Data de conclusão]]))</f>
        <v>116</v>
      </c>
      <c r="K981" s="1"/>
    </row>
    <row r="982" spans="2:11" x14ac:dyDescent="0.25">
      <c r="B982" s="3">
        <v>1089</v>
      </c>
      <c r="C982" s="3" t="s">
        <v>7</v>
      </c>
      <c r="D982" s="3" t="s">
        <v>12</v>
      </c>
      <c r="E982" s="4">
        <v>42912</v>
      </c>
      <c r="F982" s="4"/>
      <c r="G982" s="3" t="s">
        <v>29</v>
      </c>
      <c r="H982" s="5">
        <v>17396</v>
      </c>
      <c r="I982" s="3" t="str">
        <f>VLOOKUP(Tabela1[[#This Row],[Advogado]],Tabela2[],2,FALSE)</f>
        <v>Caio Brito</v>
      </c>
      <c r="J982" s="17">
        <f>IF(Tabela1[[#This Row],[Data de conclusão]]="",NETWORKDAYS(Tabela1[[#This Row],[Data de entrada]],$J$2),NETWORKDAYS(Tabela1[[#This Row],[Data de entrada]],Tabela1[[#This Row],[Data de conclusão]]))</f>
        <v>232</v>
      </c>
      <c r="K982" s="1"/>
    </row>
    <row r="983" spans="2:11" x14ac:dyDescent="0.25">
      <c r="B983" s="3">
        <v>1090</v>
      </c>
      <c r="C983" s="3" t="s">
        <v>8</v>
      </c>
      <c r="D983" s="3" t="s">
        <v>13</v>
      </c>
      <c r="E983" s="4">
        <v>42476</v>
      </c>
      <c r="F983" s="4"/>
      <c r="G983" s="3" t="s">
        <v>29</v>
      </c>
      <c r="H983" s="5">
        <v>30312</v>
      </c>
      <c r="I983" s="3" t="str">
        <f>VLOOKUP(Tabela1[[#This Row],[Advogado]],Tabela2[],2,FALSE)</f>
        <v>Caio Brito</v>
      </c>
      <c r="J983" s="17">
        <f>IF(Tabela1[[#This Row],[Data de conclusão]]="",NETWORKDAYS(Tabela1[[#This Row],[Data de entrada]],$J$2),NETWORKDAYS(Tabela1[[#This Row],[Data de entrada]],Tabela1[[#This Row],[Data de conclusão]]))</f>
        <v>542</v>
      </c>
      <c r="K983" s="1"/>
    </row>
    <row r="984" spans="2:11" x14ac:dyDescent="0.25">
      <c r="B984" s="3">
        <v>1091</v>
      </c>
      <c r="C984" s="3" t="s">
        <v>9</v>
      </c>
      <c r="D984" s="3" t="s">
        <v>14</v>
      </c>
      <c r="E984" s="4">
        <v>42540</v>
      </c>
      <c r="F984" s="4"/>
      <c r="G984" s="3" t="s">
        <v>29</v>
      </c>
      <c r="H984" s="5">
        <v>37677</v>
      </c>
      <c r="I984" s="3" t="str">
        <f>VLOOKUP(Tabela1[[#This Row],[Advogado]],Tabela2[],2,FALSE)</f>
        <v>Renê Amaranto</v>
      </c>
      <c r="J984" s="17">
        <f>IF(Tabela1[[#This Row],[Data de conclusão]]="",NETWORKDAYS(Tabela1[[#This Row],[Data de entrada]],$J$2),NETWORKDAYS(Tabela1[[#This Row],[Data de entrada]],Tabela1[[#This Row],[Data de conclusão]]))</f>
        <v>497</v>
      </c>
      <c r="K984" s="1"/>
    </row>
    <row r="985" spans="2:11" x14ac:dyDescent="0.25">
      <c r="B985" s="3">
        <v>1092</v>
      </c>
      <c r="C985" s="3" t="s">
        <v>7</v>
      </c>
      <c r="D985" s="3" t="s">
        <v>15</v>
      </c>
      <c r="E985" s="4">
        <v>42671</v>
      </c>
      <c r="F985" s="4"/>
      <c r="G985" s="3" t="s">
        <v>29</v>
      </c>
      <c r="H985" s="5">
        <v>31886</v>
      </c>
      <c r="I985" s="3" t="str">
        <f>VLOOKUP(Tabela1[[#This Row],[Advogado]],Tabela2[],2,FALSE)</f>
        <v>Renê Amaranto</v>
      </c>
      <c r="J985" s="17">
        <f>IF(Tabela1[[#This Row],[Data de conclusão]]="",NETWORKDAYS(Tabela1[[#This Row],[Data de entrada]],$J$2),NETWORKDAYS(Tabela1[[#This Row],[Data de entrada]],Tabela1[[#This Row],[Data de conclusão]]))</f>
        <v>403</v>
      </c>
      <c r="K985" s="1"/>
    </row>
    <row r="986" spans="2:11" x14ac:dyDescent="0.25">
      <c r="B986" s="3">
        <v>1093</v>
      </c>
      <c r="C986" s="3" t="s">
        <v>8</v>
      </c>
      <c r="D986" s="3" t="s">
        <v>16</v>
      </c>
      <c r="E986" s="4">
        <v>42949</v>
      </c>
      <c r="F986" s="4"/>
      <c r="G986" s="3" t="s">
        <v>29</v>
      </c>
      <c r="H986" s="5">
        <v>36149</v>
      </c>
      <c r="I986" s="3" t="str">
        <f>VLOOKUP(Tabela1[[#This Row],[Advogado]],Tabela2[],2,FALSE)</f>
        <v>Renê Amaranto</v>
      </c>
      <c r="J986" s="17">
        <f>IF(Tabela1[[#This Row],[Data de conclusão]]="",NETWORKDAYS(Tabela1[[#This Row],[Data de entrada]],$J$2),NETWORKDAYS(Tabela1[[#This Row],[Data de entrada]],Tabela1[[#This Row],[Data de conclusão]]))</f>
        <v>205</v>
      </c>
      <c r="K986" s="1"/>
    </row>
    <row r="987" spans="2:11" x14ac:dyDescent="0.25">
      <c r="B987" s="3">
        <v>1094</v>
      </c>
      <c r="C987" s="3" t="s">
        <v>9</v>
      </c>
      <c r="D987" s="3" t="s">
        <v>17</v>
      </c>
      <c r="E987" s="4">
        <v>42470</v>
      </c>
      <c r="F987" s="4"/>
      <c r="G987" s="3" t="s">
        <v>29</v>
      </c>
      <c r="H987" s="5">
        <v>5443</v>
      </c>
      <c r="I987" s="3" t="str">
        <f>VLOOKUP(Tabela1[[#This Row],[Advogado]],Tabela2[],2,FALSE)</f>
        <v>Renê Amaranto</v>
      </c>
      <c r="J987" s="17">
        <f>IF(Tabela1[[#This Row],[Data de conclusão]]="",NETWORKDAYS(Tabela1[[#This Row],[Data de entrada]],$J$2),NETWORKDAYS(Tabela1[[#This Row],[Data de entrada]],Tabela1[[#This Row],[Data de conclusão]]))</f>
        <v>547</v>
      </c>
      <c r="K987" s="1"/>
    </row>
    <row r="988" spans="2:11" x14ac:dyDescent="0.25">
      <c r="B988" s="3">
        <v>1095</v>
      </c>
      <c r="C988" s="3" t="s">
        <v>7</v>
      </c>
      <c r="D988" s="3" t="s">
        <v>10</v>
      </c>
      <c r="E988" s="4">
        <v>42690</v>
      </c>
      <c r="F988" s="4"/>
      <c r="G988" s="3" t="s">
        <v>29</v>
      </c>
      <c r="H988" s="5">
        <v>37861</v>
      </c>
      <c r="I988" s="3" t="str">
        <f>VLOOKUP(Tabela1[[#This Row],[Advogado]],Tabela2[],2,FALSE)</f>
        <v>Caio Brito</v>
      </c>
      <c r="J988" s="17">
        <f>IF(Tabela1[[#This Row],[Data de conclusão]]="",NETWORKDAYS(Tabela1[[#This Row],[Data de entrada]],$J$2),NETWORKDAYS(Tabela1[[#This Row],[Data de entrada]],Tabela1[[#This Row],[Data de conclusão]]))</f>
        <v>390</v>
      </c>
      <c r="K988" s="1"/>
    </row>
    <row r="989" spans="2:11" x14ac:dyDescent="0.25">
      <c r="B989" s="3">
        <v>1096</v>
      </c>
      <c r="C989" s="3" t="s">
        <v>8</v>
      </c>
      <c r="D989" s="3" t="s">
        <v>11</v>
      </c>
      <c r="E989" s="4">
        <v>42644</v>
      </c>
      <c r="F989" s="4"/>
      <c r="G989" s="3" t="s">
        <v>29</v>
      </c>
      <c r="H989" s="5">
        <v>57174</v>
      </c>
      <c r="I989" s="3" t="str">
        <f>VLOOKUP(Tabela1[[#This Row],[Advogado]],Tabela2[],2,FALSE)</f>
        <v>Caio Brito</v>
      </c>
      <c r="J989" s="17">
        <f>IF(Tabela1[[#This Row],[Data de conclusão]]="",NETWORKDAYS(Tabela1[[#This Row],[Data de entrada]],$J$2),NETWORKDAYS(Tabela1[[#This Row],[Data de entrada]],Tabela1[[#This Row],[Data de conclusão]]))</f>
        <v>422</v>
      </c>
      <c r="K989" s="1"/>
    </row>
    <row r="990" spans="2:11" x14ac:dyDescent="0.25">
      <c r="B990" s="3">
        <v>1097</v>
      </c>
      <c r="C990" s="3" t="s">
        <v>9</v>
      </c>
      <c r="D990" s="3" t="s">
        <v>12</v>
      </c>
      <c r="E990" s="4">
        <v>43093</v>
      </c>
      <c r="F990" s="4">
        <v>43131</v>
      </c>
      <c r="G990" s="3" t="s">
        <v>28</v>
      </c>
      <c r="H990" s="5">
        <v>58871</v>
      </c>
      <c r="I990" s="3" t="str">
        <f>VLOOKUP(Tabela1[[#This Row],[Advogado]],Tabela2[],2,FALSE)</f>
        <v>Caio Brito</v>
      </c>
      <c r="J990" s="17">
        <f>IF(Tabela1[[#This Row],[Data de conclusão]]="",NETWORKDAYS(Tabela1[[#This Row],[Data de entrada]],$J$2),NETWORKDAYS(Tabela1[[#This Row],[Data de entrada]],Tabela1[[#This Row],[Data de conclusão]]))</f>
        <v>28</v>
      </c>
      <c r="K990" s="1"/>
    </row>
    <row r="991" spans="2:11" x14ac:dyDescent="0.25">
      <c r="B991" s="3">
        <v>1098</v>
      </c>
      <c r="C991" s="3" t="s">
        <v>7</v>
      </c>
      <c r="D991" s="3" t="s">
        <v>13</v>
      </c>
      <c r="E991" s="4">
        <v>42387</v>
      </c>
      <c r="F991" s="4"/>
      <c r="G991" s="3" t="s">
        <v>27</v>
      </c>
      <c r="H991" s="5">
        <v>15499</v>
      </c>
      <c r="I991" s="3" t="str">
        <f>VLOOKUP(Tabela1[[#This Row],[Advogado]],Tabela2[],2,FALSE)</f>
        <v>Caio Brito</v>
      </c>
      <c r="J991" s="17">
        <f>IF(Tabela1[[#This Row],[Data de conclusão]]="",NETWORKDAYS(Tabela1[[#This Row],[Data de entrada]],$J$2),NETWORKDAYS(Tabela1[[#This Row],[Data de entrada]],Tabela1[[#This Row],[Data de conclusão]]))</f>
        <v>607</v>
      </c>
      <c r="K991" s="1"/>
    </row>
    <row r="992" spans="2:11" x14ac:dyDescent="0.25">
      <c r="B992" s="3">
        <v>1099</v>
      </c>
      <c r="C992" s="3" t="s">
        <v>8</v>
      </c>
      <c r="D992" s="3" t="s">
        <v>14</v>
      </c>
      <c r="E992" s="4">
        <v>42381</v>
      </c>
      <c r="F992" s="4"/>
      <c r="G992" s="3" t="s">
        <v>29</v>
      </c>
      <c r="H992" s="5">
        <v>30904</v>
      </c>
      <c r="I992" s="3" t="str">
        <f>VLOOKUP(Tabela1[[#This Row],[Advogado]],Tabela2[],2,FALSE)</f>
        <v>Renê Amaranto</v>
      </c>
      <c r="J992" s="17">
        <f>IF(Tabela1[[#This Row],[Data de conclusão]]="",NETWORKDAYS(Tabela1[[#This Row],[Data de entrada]],$J$2),NETWORKDAYS(Tabela1[[#This Row],[Data de entrada]],Tabela1[[#This Row],[Data de conclusão]]))</f>
        <v>611</v>
      </c>
      <c r="K992" s="1"/>
    </row>
    <row r="993" spans="2:11" x14ac:dyDescent="0.25">
      <c r="B993" s="3">
        <v>1100</v>
      </c>
      <c r="C993" s="3" t="s">
        <v>9</v>
      </c>
      <c r="D993" s="3" t="s">
        <v>15</v>
      </c>
      <c r="E993" s="4">
        <v>42882</v>
      </c>
      <c r="F993" s="4"/>
      <c r="G993" s="3" t="s">
        <v>29</v>
      </c>
      <c r="H993" s="5">
        <v>40574</v>
      </c>
      <c r="I993" s="3" t="str">
        <f>VLOOKUP(Tabela1[[#This Row],[Advogado]],Tabela2[],2,FALSE)</f>
        <v>Renê Amaranto</v>
      </c>
      <c r="J993" s="17">
        <f>IF(Tabela1[[#This Row],[Data de conclusão]]="",NETWORKDAYS(Tabela1[[#This Row],[Data de entrada]],$J$2),NETWORKDAYS(Tabela1[[#This Row],[Data de entrada]],Tabela1[[#This Row],[Data de conclusão]]))</f>
        <v>252</v>
      </c>
      <c r="K993" s="1"/>
    </row>
    <row r="994" spans="2:11" x14ac:dyDescent="0.25">
      <c r="B994" s="3">
        <v>1101</v>
      </c>
      <c r="C994" s="3" t="s">
        <v>7</v>
      </c>
      <c r="D994" s="3" t="s">
        <v>16</v>
      </c>
      <c r="E994" s="4">
        <v>42459</v>
      </c>
      <c r="F994" s="4"/>
      <c r="G994" s="3" t="s">
        <v>29</v>
      </c>
      <c r="H994" s="5">
        <v>28713</v>
      </c>
      <c r="I994" s="3" t="str">
        <f>VLOOKUP(Tabela1[[#This Row],[Advogado]],Tabela2[],2,FALSE)</f>
        <v>Renê Amaranto</v>
      </c>
      <c r="J994" s="17">
        <f>IF(Tabela1[[#This Row],[Data de conclusão]]="",NETWORKDAYS(Tabela1[[#This Row],[Data de entrada]],$J$2),NETWORKDAYS(Tabela1[[#This Row],[Data de entrada]],Tabela1[[#This Row],[Data de conclusão]]))</f>
        <v>555</v>
      </c>
      <c r="K994" s="1"/>
    </row>
    <row r="995" spans="2:11" x14ac:dyDescent="0.25">
      <c r="B995" s="3">
        <v>1102</v>
      </c>
      <c r="C995" s="3" t="s">
        <v>8</v>
      </c>
      <c r="D995" s="3" t="s">
        <v>17</v>
      </c>
      <c r="E995" s="4">
        <v>42813</v>
      </c>
      <c r="F995" s="4"/>
      <c r="G995" s="3" t="s">
        <v>29</v>
      </c>
      <c r="H995" s="5">
        <v>7006</v>
      </c>
      <c r="I995" s="3" t="str">
        <f>VLOOKUP(Tabela1[[#This Row],[Advogado]],Tabela2[],2,FALSE)</f>
        <v>Renê Amaranto</v>
      </c>
      <c r="J995" s="17">
        <f>IF(Tabela1[[#This Row],[Data de conclusão]]="",NETWORKDAYS(Tabela1[[#This Row],[Data de entrada]],$J$2),NETWORKDAYS(Tabela1[[#This Row],[Data de entrada]],Tabela1[[#This Row],[Data de conclusão]]))</f>
        <v>302</v>
      </c>
      <c r="K995" s="1"/>
    </row>
    <row r="996" spans="2:11" x14ac:dyDescent="0.25">
      <c r="B996" s="3">
        <v>1103</v>
      </c>
      <c r="C996" s="3" t="s">
        <v>9</v>
      </c>
      <c r="D996" s="3" t="s">
        <v>10</v>
      </c>
      <c r="E996" s="4">
        <v>42808</v>
      </c>
      <c r="F996" s="4"/>
      <c r="G996" s="3" t="s">
        <v>29</v>
      </c>
      <c r="H996" s="5">
        <v>25635</v>
      </c>
      <c r="I996" s="3" t="str">
        <f>VLOOKUP(Tabela1[[#This Row],[Advogado]],Tabela2[],2,FALSE)</f>
        <v>Caio Brito</v>
      </c>
      <c r="J996" s="17">
        <f>IF(Tabela1[[#This Row],[Data de conclusão]]="",NETWORKDAYS(Tabela1[[#This Row],[Data de entrada]],$J$2),NETWORKDAYS(Tabela1[[#This Row],[Data de entrada]],Tabela1[[#This Row],[Data de conclusão]]))</f>
        <v>306</v>
      </c>
      <c r="K996" s="1"/>
    </row>
    <row r="997" spans="2:11" x14ac:dyDescent="0.25">
      <c r="B997" s="3">
        <v>1104</v>
      </c>
      <c r="C997" s="3" t="s">
        <v>7</v>
      </c>
      <c r="D997" s="3" t="s">
        <v>11</v>
      </c>
      <c r="E997" s="4">
        <v>43031</v>
      </c>
      <c r="F997" s="4"/>
      <c r="G997" s="3" t="s">
        <v>29</v>
      </c>
      <c r="H997" s="5">
        <v>20989</v>
      </c>
      <c r="I997" s="3" t="str">
        <f>VLOOKUP(Tabela1[[#This Row],[Advogado]],Tabela2[],2,FALSE)</f>
        <v>Caio Brito</v>
      </c>
      <c r="J997" s="17">
        <f>IF(Tabela1[[#This Row],[Data de conclusão]]="",NETWORKDAYS(Tabela1[[#This Row],[Data de entrada]],$J$2),NETWORKDAYS(Tabela1[[#This Row],[Data de entrada]],Tabela1[[#This Row],[Data de conclusão]]))</f>
        <v>147</v>
      </c>
      <c r="K997" s="1"/>
    </row>
    <row r="998" spans="2:11" x14ac:dyDescent="0.25">
      <c r="B998" s="3">
        <v>1105</v>
      </c>
      <c r="C998" s="3" t="s">
        <v>8</v>
      </c>
      <c r="D998" s="3" t="s">
        <v>12</v>
      </c>
      <c r="E998" s="4">
        <v>42528</v>
      </c>
      <c r="F998" s="4"/>
      <c r="G998" s="3" t="s">
        <v>29</v>
      </c>
      <c r="H998" s="5">
        <v>50371</v>
      </c>
      <c r="I998" s="3" t="str">
        <f>VLOOKUP(Tabela1[[#This Row],[Advogado]],Tabela2[],2,FALSE)</f>
        <v>Caio Brito</v>
      </c>
      <c r="J998" s="17">
        <f>IF(Tabela1[[#This Row],[Data de conclusão]]="",NETWORKDAYS(Tabela1[[#This Row],[Data de entrada]],$J$2),NETWORKDAYS(Tabela1[[#This Row],[Data de entrada]],Tabela1[[#This Row],[Data de conclusão]]))</f>
        <v>506</v>
      </c>
      <c r="K998" s="1"/>
    </row>
    <row r="999" spans="2:11" x14ac:dyDescent="0.25">
      <c r="B999" s="3">
        <v>1106</v>
      </c>
      <c r="C999" s="3" t="s">
        <v>9</v>
      </c>
      <c r="D999" s="3" t="s">
        <v>13</v>
      </c>
      <c r="E999" s="4">
        <v>42817</v>
      </c>
      <c r="F999" s="4"/>
      <c r="G999" s="3" t="s">
        <v>29</v>
      </c>
      <c r="H999" s="5">
        <v>38061</v>
      </c>
      <c r="I999" s="3" t="str">
        <f>VLOOKUP(Tabela1[[#This Row],[Advogado]],Tabela2[],2,FALSE)</f>
        <v>Caio Brito</v>
      </c>
      <c r="J999" s="17">
        <f>IF(Tabela1[[#This Row],[Data de conclusão]]="",NETWORKDAYS(Tabela1[[#This Row],[Data de entrada]],$J$2),NETWORKDAYS(Tabela1[[#This Row],[Data de entrada]],Tabela1[[#This Row],[Data de conclusão]]))</f>
        <v>299</v>
      </c>
      <c r="K999" s="1"/>
    </row>
    <row r="1000" spans="2:11" x14ac:dyDescent="0.25">
      <c r="B1000" s="3">
        <v>1107</v>
      </c>
      <c r="C1000" s="3" t="s">
        <v>7</v>
      </c>
      <c r="D1000" s="3" t="s">
        <v>14</v>
      </c>
      <c r="E1000" s="4">
        <v>42904</v>
      </c>
      <c r="F1000" s="4"/>
      <c r="G1000" s="3" t="s">
        <v>29</v>
      </c>
      <c r="H1000" s="5">
        <v>23501</v>
      </c>
      <c r="I1000" s="3" t="str">
        <f>VLOOKUP(Tabela1[[#This Row],[Advogado]],Tabela2[],2,FALSE)</f>
        <v>Renê Amaranto</v>
      </c>
      <c r="J1000" s="17">
        <f>IF(Tabela1[[#This Row],[Data de conclusão]]="",NETWORKDAYS(Tabela1[[#This Row],[Data de entrada]],$J$2),NETWORKDAYS(Tabela1[[#This Row],[Data de entrada]],Tabela1[[#This Row],[Data de conclusão]]))</f>
        <v>237</v>
      </c>
      <c r="K1000" s="1"/>
    </row>
    <row r="1001" spans="2:11" x14ac:dyDescent="0.25">
      <c r="B1001" s="3">
        <v>1108</v>
      </c>
      <c r="C1001" s="3" t="s">
        <v>8</v>
      </c>
      <c r="D1001" s="3" t="s">
        <v>15</v>
      </c>
      <c r="E1001" s="4">
        <v>42434</v>
      </c>
      <c r="F1001" s="4"/>
      <c r="G1001" s="3" t="s">
        <v>29</v>
      </c>
      <c r="H1001" s="5">
        <v>22127</v>
      </c>
      <c r="I1001" s="3" t="str">
        <f>VLOOKUP(Tabela1[[#This Row],[Advogado]],Tabela2[],2,FALSE)</f>
        <v>Renê Amaranto</v>
      </c>
      <c r="J1001" s="17">
        <f>IF(Tabela1[[#This Row],[Data de conclusão]]="",NETWORKDAYS(Tabela1[[#This Row],[Data de entrada]],$J$2),NETWORKDAYS(Tabela1[[#This Row],[Data de entrada]],Tabela1[[#This Row],[Data de conclusão]]))</f>
        <v>572</v>
      </c>
      <c r="K1001" s="1"/>
    </row>
    <row r="1002" spans="2:11" x14ac:dyDescent="0.25">
      <c r="B1002" s="3">
        <v>1109</v>
      </c>
      <c r="C1002" s="3" t="s">
        <v>9</v>
      </c>
      <c r="D1002" s="3" t="s">
        <v>16</v>
      </c>
      <c r="E1002" s="4">
        <v>42925</v>
      </c>
      <c r="F1002" s="4"/>
      <c r="G1002" s="3" t="s">
        <v>29</v>
      </c>
      <c r="H1002" s="5">
        <v>53419</v>
      </c>
      <c r="I1002" s="3" t="str">
        <f>VLOOKUP(Tabela1[[#This Row],[Advogado]],Tabela2[],2,FALSE)</f>
        <v>Renê Amaranto</v>
      </c>
      <c r="J1002" s="17">
        <f>IF(Tabela1[[#This Row],[Data de conclusão]]="",NETWORKDAYS(Tabela1[[#This Row],[Data de entrada]],$J$2),NETWORKDAYS(Tabela1[[#This Row],[Data de entrada]],Tabela1[[#This Row],[Data de conclusão]]))</f>
        <v>222</v>
      </c>
      <c r="K1002" s="1"/>
    </row>
    <row r="1003" spans="2:11" x14ac:dyDescent="0.25">
      <c r="B1003" s="3">
        <v>1110</v>
      </c>
      <c r="C1003" s="3" t="s">
        <v>7</v>
      </c>
      <c r="D1003" s="3" t="s">
        <v>17</v>
      </c>
      <c r="E1003" s="4">
        <v>42755</v>
      </c>
      <c r="F1003" s="4">
        <v>42808</v>
      </c>
      <c r="G1003" s="3" t="s">
        <v>28</v>
      </c>
      <c r="H1003" s="5">
        <v>24650</v>
      </c>
      <c r="I1003" s="3" t="str">
        <f>VLOOKUP(Tabela1[[#This Row],[Advogado]],Tabela2[],2,FALSE)</f>
        <v>Renê Amaranto</v>
      </c>
      <c r="J1003" s="17">
        <f>IF(Tabela1[[#This Row],[Data de conclusão]]="",NETWORKDAYS(Tabela1[[#This Row],[Data de entrada]],$J$2),NETWORKDAYS(Tabela1[[#This Row],[Data de entrada]],Tabela1[[#This Row],[Data de conclusão]]))</f>
        <v>38</v>
      </c>
      <c r="K1003" s="1"/>
    </row>
    <row r="1004" spans="2:11" x14ac:dyDescent="0.25">
      <c r="B1004" s="3">
        <v>1111</v>
      </c>
      <c r="C1004" s="3" t="s">
        <v>8</v>
      </c>
      <c r="D1004" s="3" t="s">
        <v>10</v>
      </c>
      <c r="E1004" s="4">
        <v>42841</v>
      </c>
      <c r="F1004" s="4"/>
      <c r="G1004" s="3" t="s">
        <v>27</v>
      </c>
      <c r="H1004" s="5">
        <v>7520</v>
      </c>
      <c r="I1004" s="3" t="str">
        <f>VLOOKUP(Tabela1[[#This Row],[Advogado]],Tabela2[],2,FALSE)</f>
        <v>Caio Brito</v>
      </c>
      <c r="J1004" s="17">
        <f>IF(Tabela1[[#This Row],[Data de conclusão]]="",NETWORKDAYS(Tabela1[[#This Row],[Data de entrada]],$J$2),NETWORKDAYS(Tabela1[[#This Row],[Data de entrada]],Tabela1[[#This Row],[Data de conclusão]]))</f>
        <v>282</v>
      </c>
      <c r="K1004" s="1"/>
    </row>
    <row r="1005" spans="2:11" x14ac:dyDescent="0.25">
      <c r="B1005" s="3">
        <v>1112</v>
      </c>
      <c r="C1005" s="3" t="s">
        <v>9</v>
      </c>
      <c r="D1005" s="3" t="s">
        <v>11</v>
      </c>
      <c r="E1005" s="4">
        <v>42727</v>
      </c>
      <c r="F1005" s="4"/>
      <c r="G1005" s="3" t="s">
        <v>29</v>
      </c>
      <c r="H1005" s="5">
        <v>39524</v>
      </c>
      <c r="I1005" s="3" t="str">
        <f>VLOOKUP(Tabela1[[#This Row],[Advogado]],Tabela2[],2,FALSE)</f>
        <v>Caio Brito</v>
      </c>
      <c r="J1005" s="17">
        <f>IF(Tabela1[[#This Row],[Data de conclusão]]="",NETWORKDAYS(Tabela1[[#This Row],[Data de entrada]],$J$2),NETWORKDAYS(Tabela1[[#This Row],[Data de entrada]],Tabela1[[#This Row],[Data de conclusão]]))</f>
        <v>363</v>
      </c>
      <c r="K1005" s="1"/>
    </row>
    <row r="1006" spans="2:11" x14ac:dyDescent="0.25">
      <c r="B1006" s="3">
        <v>1113</v>
      </c>
      <c r="C1006" s="3" t="s">
        <v>7</v>
      </c>
      <c r="D1006" s="3" t="s">
        <v>12</v>
      </c>
      <c r="E1006" s="4">
        <v>42595</v>
      </c>
      <c r="F1006" s="4"/>
      <c r="G1006" s="3" t="s">
        <v>29</v>
      </c>
      <c r="H1006" s="5">
        <v>45989</v>
      </c>
      <c r="I1006" s="3" t="str">
        <f>VLOOKUP(Tabela1[[#This Row],[Advogado]],Tabela2[],2,FALSE)</f>
        <v>Caio Brito</v>
      </c>
      <c r="J1006" s="17">
        <f>IF(Tabela1[[#This Row],[Data de conclusão]]="",NETWORKDAYS(Tabela1[[#This Row],[Data de entrada]],$J$2),NETWORKDAYS(Tabela1[[#This Row],[Data de entrada]],Tabela1[[#This Row],[Data de conclusão]]))</f>
        <v>457</v>
      </c>
      <c r="K1006" s="1"/>
    </row>
    <row r="1007" spans="2:11" x14ac:dyDescent="0.25">
      <c r="B1007" s="3">
        <v>1114</v>
      </c>
      <c r="C1007" s="3" t="s">
        <v>8</v>
      </c>
      <c r="D1007" s="3" t="s">
        <v>13</v>
      </c>
      <c r="E1007" s="4">
        <v>42830</v>
      </c>
      <c r="F1007" s="4"/>
      <c r="G1007" s="3" t="s">
        <v>29</v>
      </c>
      <c r="H1007" s="5">
        <v>6468</v>
      </c>
      <c r="I1007" s="3" t="str">
        <f>VLOOKUP(Tabela1[[#This Row],[Advogado]],Tabela2[],2,FALSE)</f>
        <v>Caio Brito</v>
      </c>
      <c r="J1007" s="17">
        <f>IF(Tabela1[[#This Row],[Data de conclusão]]="",NETWORKDAYS(Tabela1[[#This Row],[Data de entrada]],$J$2),NETWORKDAYS(Tabela1[[#This Row],[Data de entrada]],Tabela1[[#This Row],[Data de conclusão]]))</f>
        <v>290</v>
      </c>
      <c r="K1007" s="1"/>
    </row>
    <row r="1008" spans="2:11" x14ac:dyDescent="0.25">
      <c r="B1008" s="3">
        <v>1115</v>
      </c>
      <c r="C1008" s="3" t="s">
        <v>9</v>
      </c>
      <c r="D1008" s="3" t="s">
        <v>14</v>
      </c>
      <c r="E1008" s="4">
        <v>42642</v>
      </c>
      <c r="F1008" s="4"/>
      <c r="G1008" s="3" t="s">
        <v>29</v>
      </c>
      <c r="H1008" s="5">
        <v>4757</v>
      </c>
      <c r="I1008" s="3" t="str">
        <f>VLOOKUP(Tabela1[[#This Row],[Advogado]],Tabela2[],2,FALSE)</f>
        <v>Renê Amaranto</v>
      </c>
      <c r="J1008" s="17">
        <f>IF(Tabela1[[#This Row],[Data de conclusão]]="",NETWORKDAYS(Tabela1[[#This Row],[Data de entrada]],$J$2),NETWORKDAYS(Tabela1[[#This Row],[Data de entrada]],Tabela1[[#This Row],[Data de conclusão]]))</f>
        <v>424</v>
      </c>
      <c r="K1008" s="1"/>
    </row>
    <row r="1009" spans="2:11" x14ac:dyDescent="0.25">
      <c r="B1009" s="3">
        <v>1116</v>
      </c>
      <c r="C1009" s="3" t="s">
        <v>7</v>
      </c>
      <c r="D1009" s="3" t="s">
        <v>15</v>
      </c>
      <c r="E1009" s="4">
        <v>42521</v>
      </c>
      <c r="F1009" s="4"/>
      <c r="G1009" s="3" t="s">
        <v>29</v>
      </c>
      <c r="H1009" s="5">
        <v>12194</v>
      </c>
      <c r="I1009" s="3" t="str">
        <f>VLOOKUP(Tabela1[[#This Row],[Advogado]],Tabela2[],2,FALSE)</f>
        <v>Renê Amaranto</v>
      </c>
      <c r="J1009" s="17">
        <f>IF(Tabela1[[#This Row],[Data de conclusão]]="",NETWORKDAYS(Tabela1[[#This Row],[Data de entrada]],$J$2),NETWORKDAYS(Tabela1[[#This Row],[Data de entrada]],Tabela1[[#This Row],[Data de conclusão]]))</f>
        <v>511</v>
      </c>
      <c r="K1009" s="1"/>
    </row>
    <row r="1010" spans="2:11" x14ac:dyDescent="0.25">
      <c r="B1010" s="3">
        <v>1117</v>
      </c>
      <c r="C1010" s="3" t="s">
        <v>8</v>
      </c>
      <c r="D1010" s="3" t="s">
        <v>16</v>
      </c>
      <c r="E1010" s="4">
        <v>42507</v>
      </c>
      <c r="F1010" s="4"/>
      <c r="G1010" s="3" t="s">
        <v>29</v>
      </c>
      <c r="H1010" s="5">
        <v>24044</v>
      </c>
      <c r="I1010" s="3" t="str">
        <f>VLOOKUP(Tabela1[[#This Row],[Advogado]],Tabela2[],2,FALSE)</f>
        <v>Renê Amaranto</v>
      </c>
      <c r="J1010" s="17">
        <f>IF(Tabela1[[#This Row],[Data de conclusão]]="",NETWORKDAYS(Tabela1[[#This Row],[Data de entrada]],$J$2),NETWORKDAYS(Tabela1[[#This Row],[Data de entrada]],Tabela1[[#This Row],[Data de conclusão]]))</f>
        <v>521</v>
      </c>
      <c r="K1010" s="1"/>
    </row>
    <row r="1011" spans="2:11" x14ac:dyDescent="0.25">
      <c r="B1011" s="3">
        <v>1118</v>
      </c>
      <c r="C1011" s="3" t="s">
        <v>9</v>
      </c>
      <c r="D1011" s="3" t="s">
        <v>17</v>
      </c>
      <c r="E1011" s="4">
        <v>42456</v>
      </c>
      <c r="F1011" s="4"/>
      <c r="G1011" s="3" t="s">
        <v>29</v>
      </c>
      <c r="H1011" s="5">
        <v>8245</v>
      </c>
      <c r="I1011" s="3" t="str">
        <f>VLOOKUP(Tabela1[[#This Row],[Advogado]],Tabela2[],2,FALSE)</f>
        <v>Renê Amaranto</v>
      </c>
      <c r="J1011" s="17">
        <f>IF(Tabela1[[#This Row],[Data de conclusão]]="",NETWORKDAYS(Tabela1[[#This Row],[Data de entrada]],$J$2),NETWORKDAYS(Tabela1[[#This Row],[Data de entrada]],Tabela1[[#This Row],[Data de conclusão]]))</f>
        <v>557</v>
      </c>
      <c r="K1011" s="1"/>
    </row>
    <row r="1012" spans="2:11" x14ac:dyDescent="0.25">
      <c r="B1012" s="3">
        <v>1119</v>
      </c>
      <c r="C1012" s="3" t="s">
        <v>7</v>
      </c>
      <c r="D1012" s="3" t="s">
        <v>10</v>
      </c>
      <c r="E1012" s="4">
        <v>42690</v>
      </c>
      <c r="F1012" s="4"/>
      <c r="G1012" s="3" t="s">
        <v>29</v>
      </c>
      <c r="H1012" s="5">
        <v>51231</v>
      </c>
      <c r="I1012" s="3" t="str">
        <f>VLOOKUP(Tabela1[[#This Row],[Advogado]],Tabela2[],2,FALSE)</f>
        <v>Caio Brito</v>
      </c>
      <c r="J1012" s="17">
        <f>IF(Tabela1[[#This Row],[Data de conclusão]]="",NETWORKDAYS(Tabela1[[#This Row],[Data de entrada]],$J$2),NETWORKDAYS(Tabela1[[#This Row],[Data de entrada]],Tabela1[[#This Row],[Data de conclusão]]))</f>
        <v>390</v>
      </c>
      <c r="K1012" s="1"/>
    </row>
    <row r="1013" spans="2:11" x14ac:dyDescent="0.25">
      <c r="B1013" s="3">
        <v>1120</v>
      </c>
      <c r="C1013" s="3" t="s">
        <v>8</v>
      </c>
      <c r="D1013" s="3" t="s">
        <v>11</v>
      </c>
      <c r="E1013" s="4">
        <v>42849</v>
      </c>
      <c r="F1013" s="4"/>
      <c r="G1013" s="3" t="s">
        <v>29</v>
      </c>
      <c r="H1013" s="5">
        <v>53786</v>
      </c>
      <c r="I1013" s="3" t="str">
        <f>VLOOKUP(Tabela1[[#This Row],[Advogado]],Tabela2[],2,FALSE)</f>
        <v>Caio Brito</v>
      </c>
      <c r="J1013" s="17">
        <f>IF(Tabela1[[#This Row],[Data de conclusão]]="",NETWORKDAYS(Tabela1[[#This Row],[Data de entrada]],$J$2),NETWORKDAYS(Tabela1[[#This Row],[Data de entrada]],Tabela1[[#This Row],[Data de conclusão]]))</f>
        <v>277</v>
      </c>
      <c r="K1013" s="1"/>
    </row>
    <row r="1014" spans="2:11" x14ac:dyDescent="0.25">
      <c r="B1014" s="3">
        <v>1121</v>
      </c>
      <c r="C1014" s="3" t="s">
        <v>9</v>
      </c>
      <c r="D1014" s="3" t="s">
        <v>12</v>
      </c>
      <c r="E1014" s="4">
        <v>42718</v>
      </c>
      <c r="F1014" s="4"/>
      <c r="G1014" s="3" t="s">
        <v>29</v>
      </c>
      <c r="H1014" s="5">
        <v>41166</v>
      </c>
      <c r="I1014" s="3" t="str">
        <f>VLOOKUP(Tabela1[[#This Row],[Advogado]],Tabela2[],2,FALSE)</f>
        <v>Caio Brito</v>
      </c>
      <c r="J1014" s="17">
        <f>IF(Tabela1[[#This Row],[Data de conclusão]]="",NETWORKDAYS(Tabela1[[#This Row],[Data de entrada]],$J$2),NETWORKDAYS(Tabela1[[#This Row],[Data de entrada]],Tabela1[[#This Row],[Data de conclusão]]))</f>
        <v>370</v>
      </c>
      <c r="K1014" s="1"/>
    </row>
    <row r="1015" spans="2:11" x14ac:dyDescent="0.25">
      <c r="B1015" s="3">
        <v>1122</v>
      </c>
      <c r="C1015" s="3" t="s">
        <v>7</v>
      </c>
      <c r="D1015" s="3" t="s">
        <v>13</v>
      </c>
      <c r="E1015" s="4">
        <v>43043</v>
      </c>
      <c r="F1015" s="4"/>
      <c r="G1015" s="3" t="s">
        <v>29</v>
      </c>
      <c r="H1015" s="5">
        <v>19353</v>
      </c>
      <c r="I1015" s="3" t="str">
        <f>VLOOKUP(Tabela1[[#This Row],[Advogado]],Tabela2[],2,FALSE)</f>
        <v>Caio Brito</v>
      </c>
      <c r="J1015" s="17">
        <f>IF(Tabela1[[#This Row],[Data de conclusão]]="",NETWORKDAYS(Tabela1[[#This Row],[Data de entrada]],$J$2),NETWORKDAYS(Tabela1[[#This Row],[Data de entrada]],Tabela1[[#This Row],[Data de conclusão]]))</f>
        <v>137</v>
      </c>
      <c r="K1015" s="1"/>
    </row>
    <row r="1016" spans="2:11" x14ac:dyDescent="0.25">
      <c r="B1016" s="3">
        <v>1123</v>
      </c>
      <c r="C1016" s="3" t="s">
        <v>8</v>
      </c>
      <c r="D1016" s="3" t="s">
        <v>14</v>
      </c>
      <c r="E1016" s="4">
        <v>43055</v>
      </c>
      <c r="F1016" s="4">
        <v>43141</v>
      </c>
      <c r="G1016" s="3" t="s">
        <v>28</v>
      </c>
      <c r="H1016" s="5">
        <v>54304</v>
      </c>
      <c r="I1016" s="3" t="str">
        <f>VLOOKUP(Tabela1[[#This Row],[Advogado]],Tabela2[],2,FALSE)</f>
        <v>Renê Amaranto</v>
      </c>
      <c r="J1016" s="17">
        <f>IF(Tabela1[[#This Row],[Data de conclusão]]="",NETWORKDAYS(Tabela1[[#This Row],[Data de entrada]],$J$2),NETWORKDAYS(Tabela1[[#This Row],[Data de entrada]],Tabela1[[#This Row],[Data de conclusão]]))</f>
        <v>62</v>
      </c>
      <c r="K1016" s="1"/>
    </row>
    <row r="1017" spans="2:11" x14ac:dyDescent="0.25">
      <c r="B1017" s="3">
        <v>1124</v>
      </c>
      <c r="C1017" s="3" t="s">
        <v>9</v>
      </c>
      <c r="D1017" s="3" t="s">
        <v>15</v>
      </c>
      <c r="E1017" s="4">
        <v>43010</v>
      </c>
      <c r="F1017" s="4"/>
      <c r="G1017" s="3" t="s">
        <v>27</v>
      </c>
      <c r="H1017" s="5">
        <v>19472</v>
      </c>
      <c r="I1017" s="3" t="str">
        <f>VLOOKUP(Tabela1[[#This Row],[Advogado]],Tabela2[],2,FALSE)</f>
        <v>Renê Amaranto</v>
      </c>
      <c r="J1017" s="17">
        <f>IF(Tabela1[[#This Row],[Data de conclusão]]="",NETWORKDAYS(Tabela1[[#This Row],[Data de entrada]],$J$2),NETWORKDAYS(Tabela1[[#This Row],[Data de entrada]],Tabela1[[#This Row],[Data de conclusão]]))</f>
        <v>162</v>
      </c>
      <c r="K1017" s="1"/>
    </row>
    <row r="1018" spans="2:11" x14ac:dyDescent="0.25">
      <c r="B1018" s="3">
        <v>1125</v>
      </c>
      <c r="C1018" s="3" t="s">
        <v>7</v>
      </c>
      <c r="D1018" s="3" t="s">
        <v>16</v>
      </c>
      <c r="E1018" s="4">
        <v>42987</v>
      </c>
      <c r="F1018" s="4"/>
      <c r="G1018" s="3" t="s">
        <v>29</v>
      </c>
      <c r="H1018" s="5">
        <v>56932</v>
      </c>
      <c r="I1018" s="3" t="str">
        <f>VLOOKUP(Tabela1[[#This Row],[Advogado]],Tabela2[],2,FALSE)</f>
        <v>Renê Amaranto</v>
      </c>
      <c r="J1018" s="17">
        <f>IF(Tabela1[[#This Row],[Data de conclusão]]="",NETWORKDAYS(Tabela1[[#This Row],[Data de entrada]],$J$2),NETWORKDAYS(Tabela1[[#This Row],[Data de entrada]],Tabela1[[#This Row],[Data de conclusão]]))</f>
        <v>177</v>
      </c>
      <c r="K1018" s="1"/>
    </row>
    <row r="1019" spans="2:11" x14ac:dyDescent="0.25">
      <c r="B1019" s="3">
        <v>1126</v>
      </c>
      <c r="C1019" s="3" t="s">
        <v>8</v>
      </c>
      <c r="D1019" s="3" t="s">
        <v>17</v>
      </c>
      <c r="E1019" s="4">
        <v>42726</v>
      </c>
      <c r="F1019" s="4"/>
      <c r="G1019" s="3" t="s">
        <v>29</v>
      </c>
      <c r="H1019" s="5">
        <v>27612</v>
      </c>
      <c r="I1019" s="3" t="str">
        <f>VLOOKUP(Tabela1[[#This Row],[Advogado]],Tabela2[],2,FALSE)</f>
        <v>Renê Amaranto</v>
      </c>
      <c r="J1019" s="17">
        <f>IF(Tabela1[[#This Row],[Data de conclusão]]="",NETWORKDAYS(Tabela1[[#This Row],[Data de entrada]],$J$2),NETWORKDAYS(Tabela1[[#This Row],[Data de entrada]],Tabela1[[#This Row],[Data de conclusão]]))</f>
        <v>364</v>
      </c>
      <c r="K1019" s="1"/>
    </row>
    <row r="1020" spans="2:11" x14ac:dyDescent="0.25">
      <c r="B1020" s="3">
        <v>1127</v>
      </c>
      <c r="C1020" s="3" t="s">
        <v>9</v>
      </c>
      <c r="D1020" s="3" t="s">
        <v>10</v>
      </c>
      <c r="E1020" s="4">
        <v>42798</v>
      </c>
      <c r="F1020" s="4"/>
      <c r="G1020" s="3" t="s">
        <v>29</v>
      </c>
      <c r="H1020" s="5">
        <v>44295</v>
      </c>
      <c r="I1020" s="3" t="str">
        <f>VLOOKUP(Tabela1[[#This Row],[Advogado]],Tabela2[],2,FALSE)</f>
        <v>Caio Brito</v>
      </c>
      <c r="J1020" s="17">
        <f>IF(Tabela1[[#This Row],[Data de conclusão]]="",NETWORKDAYS(Tabela1[[#This Row],[Data de entrada]],$J$2),NETWORKDAYS(Tabela1[[#This Row],[Data de entrada]],Tabela1[[#This Row],[Data de conclusão]]))</f>
        <v>312</v>
      </c>
      <c r="K1020" s="1"/>
    </row>
    <row r="1021" spans="2:11" x14ac:dyDescent="0.25">
      <c r="B1021" s="3">
        <v>1128</v>
      </c>
      <c r="C1021" s="3" t="s">
        <v>7</v>
      </c>
      <c r="D1021" s="3" t="s">
        <v>11</v>
      </c>
      <c r="E1021" s="4">
        <v>42673</v>
      </c>
      <c r="F1021" s="4"/>
      <c r="G1021" s="3" t="s">
        <v>29</v>
      </c>
      <c r="H1021" s="5">
        <v>48086</v>
      </c>
      <c r="I1021" s="3" t="str">
        <f>VLOOKUP(Tabela1[[#This Row],[Advogado]],Tabela2[],2,FALSE)</f>
        <v>Caio Brito</v>
      </c>
      <c r="J1021" s="17">
        <f>IF(Tabela1[[#This Row],[Data de conclusão]]="",NETWORKDAYS(Tabela1[[#This Row],[Data de entrada]],$J$2),NETWORKDAYS(Tabela1[[#This Row],[Data de entrada]],Tabela1[[#This Row],[Data de conclusão]]))</f>
        <v>402</v>
      </c>
      <c r="K1021" s="1"/>
    </row>
    <row r="1022" spans="2:11" x14ac:dyDescent="0.25">
      <c r="B1022" s="3">
        <v>1129</v>
      </c>
      <c r="C1022" s="3" t="s">
        <v>8</v>
      </c>
      <c r="D1022" s="3" t="s">
        <v>12</v>
      </c>
      <c r="E1022" s="4">
        <v>42996</v>
      </c>
      <c r="F1022" s="4"/>
      <c r="G1022" s="3" t="s">
        <v>29</v>
      </c>
      <c r="H1022" s="5">
        <v>55937</v>
      </c>
      <c r="I1022" s="3" t="str">
        <f>VLOOKUP(Tabela1[[#This Row],[Advogado]],Tabela2[],2,FALSE)</f>
        <v>Caio Brito</v>
      </c>
      <c r="J1022" s="17">
        <f>IF(Tabela1[[#This Row],[Data de conclusão]]="",NETWORKDAYS(Tabela1[[#This Row],[Data de entrada]],$J$2),NETWORKDAYS(Tabela1[[#This Row],[Data de entrada]],Tabela1[[#This Row],[Data de conclusão]]))</f>
        <v>172</v>
      </c>
      <c r="K1022" s="1"/>
    </row>
    <row r="1023" spans="2:11" x14ac:dyDescent="0.25">
      <c r="B1023" s="3">
        <v>1130</v>
      </c>
      <c r="C1023" s="3" t="s">
        <v>9</v>
      </c>
      <c r="D1023" s="3" t="s">
        <v>13</v>
      </c>
      <c r="E1023" s="4">
        <v>42588</v>
      </c>
      <c r="F1023" s="4"/>
      <c r="G1023" s="3" t="s">
        <v>29</v>
      </c>
      <c r="H1023" s="5">
        <v>54298</v>
      </c>
      <c r="I1023" s="3" t="str">
        <f>VLOOKUP(Tabela1[[#This Row],[Advogado]],Tabela2[],2,FALSE)</f>
        <v>Caio Brito</v>
      </c>
      <c r="J1023" s="17">
        <f>IF(Tabela1[[#This Row],[Data de conclusão]]="",NETWORKDAYS(Tabela1[[#This Row],[Data de entrada]],$J$2),NETWORKDAYS(Tabela1[[#This Row],[Data de entrada]],Tabela1[[#This Row],[Data de conclusão]]))</f>
        <v>462</v>
      </c>
      <c r="K1023" s="1"/>
    </row>
    <row r="1024" spans="2:11" x14ac:dyDescent="0.25">
      <c r="B1024" s="3">
        <v>1131</v>
      </c>
      <c r="C1024" s="3" t="s">
        <v>7</v>
      </c>
      <c r="D1024" s="3" t="s">
        <v>14</v>
      </c>
      <c r="E1024" s="4">
        <v>42956</v>
      </c>
      <c r="F1024" s="4"/>
      <c r="G1024" s="3" t="s">
        <v>29</v>
      </c>
      <c r="H1024" s="5">
        <v>1769</v>
      </c>
      <c r="I1024" s="3" t="str">
        <f>VLOOKUP(Tabela1[[#This Row],[Advogado]],Tabela2[],2,FALSE)</f>
        <v>Renê Amaranto</v>
      </c>
      <c r="J1024" s="17">
        <f>IF(Tabela1[[#This Row],[Data de conclusão]]="",NETWORKDAYS(Tabela1[[#This Row],[Data de entrada]],$J$2),NETWORKDAYS(Tabela1[[#This Row],[Data de entrada]],Tabela1[[#This Row],[Data de conclusão]]))</f>
        <v>200</v>
      </c>
      <c r="K1024" s="1"/>
    </row>
    <row r="1025" spans="2:11" x14ac:dyDescent="0.25">
      <c r="B1025" s="3">
        <v>1132</v>
      </c>
      <c r="C1025" s="3" t="s">
        <v>8</v>
      </c>
      <c r="D1025" s="3" t="s">
        <v>15</v>
      </c>
      <c r="E1025" s="4">
        <v>42420</v>
      </c>
      <c r="F1025" s="4"/>
      <c r="G1025" s="3" t="s">
        <v>29</v>
      </c>
      <c r="H1025" s="5">
        <v>57531</v>
      </c>
      <c r="I1025" s="3" t="str">
        <f>VLOOKUP(Tabela1[[#This Row],[Advogado]],Tabela2[],2,FALSE)</f>
        <v>Renê Amaranto</v>
      </c>
      <c r="J1025" s="17">
        <f>IF(Tabela1[[#This Row],[Data de conclusão]]="",NETWORKDAYS(Tabela1[[#This Row],[Data de entrada]],$J$2),NETWORKDAYS(Tabela1[[#This Row],[Data de entrada]],Tabela1[[#This Row],[Data de conclusão]]))</f>
        <v>582</v>
      </c>
      <c r="K1025" s="1"/>
    </row>
    <row r="1026" spans="2:11" x14ac:dyDescent="0.25">
      <c r="B1026" s="3">
        <v>1133</v>
      </c>
      <c r="C1026" s="3" t="s">
        <v>9</v>
      </c>
      <c r="D1026" s="3" t="s">
        <v>16</v>
      </c>
      <c r="E1026" s="4">
        <v>43061</v>
      </c>
      <c r="F1026" s="4"/>
      <c r="G1026" s="3" t="s">
        <v>29</v>
      </c>
      <c r="H1026" s="5">
        <v>35993</v>
      </c>
      <c r="I1026" s="3" t="str">
        <f>VLOOKUP(Tabela1[[#This Row],[Advogado]],Tabela2[],2,FALSE)</f>
        <v>Renê Amaranto</v>
      </c>
      <c r="J1026" s="17">
        <f>IF(Tabela1[[#This Row],[Data de conclusão]]="",NETWORKDAYS(Tabela1[[#This Row],[Data de entrada]],$J$2),NETWORKDAYS(Tabela1[[#This Row],[Data de entrada]],Tabela1[[#This Row],[Data de conclusão]]))</f>
        <v>125</v>
      </c>
      <c r="K1026" s="1"/>
    </row>
    <row r="1027" spans="2:11" x14ac:dyDescent="0.25">
      <c r="B1027" s="3">
        <v>1134</v>
      </c>
      <c r="C1027" s="3" t="s">
        <v>7</v>
      </c>
      <c r="D1027" s="3" t="s">
        <v>17</v>
      </c>
      <c r="E1027" s="4">
        <v>42660</v>
      </c>
      <c r="F1027" s="4"/>
      <c r="G1027" s="3" t="s">
        <v>29</v>
      </c>
      <c r="H1027" s="5">
        <v>8000</v>
      </c>
      <c r="I1027" s="3" t="str">
        <f>VLOOKUP(Tabela1[[#This Row],[Advogado]],Tabela2[],2,FALSE)</f>
        <v>Renê Amaranto</v>
      </c>
      <c r="J1027" s="17">
        <f>IF(Tabela1[[#This Row],[Data de conclusão]]="",NETWORKDAYS(Tabela1[[#This Row],[Data de entrada]],$J$2),NETWORKDAYS(Tabela1[[#This Row],[Data de entrada]],Tabela1[[#This Row],[Data de conclusão]]))</f>
        <v>412</v>
      </c>
      <c r="K1027" s="1"/>
    </row>
    <row r="1028" spans="2:11" x14ac:dyDescent="0.25">
      <c r="B1028" s="3">
        <v>1135</v>
      </c>
      <c r="C1028" s="3" t="s">
        <v>8</v>
      </c>
      <c r="D1028" s="3" t="s">
        <v>10</v>
      </c>
      <c r="E1028" s="4">
        <v>42791</v>
      </c>
      <c r="F1028" s="4"/>
      <c r="G1028" s="3" t="s">
        <v>29</v>
      </c>
      <c r="H1028" s="5">
        <v>26863</v>
      </c>
      <c r="I1028" s="3" t="str">
        <f>VLOOKUP(Tabela1[[#This Row],[Advogado]],Tabela2[],2,FALSE)</f>
        <v>Caio Brito</v>
      </c>
      <c r="J1028" s="17">
        <f>IF(Tabela1[[#This Row],[Data de conclusão]]="",NETWORKDAYS(Tabela1[[#This Row],[Data de entrada]],$J$2),NETWORKDAYS(Tabela1[[#This Row],[Data de entrada]],Tabela1[[#This Row],[Data de conclusão]]))</f>
        <v>317</v>
      </c>
      <c r="K1028" s="1"/>
    </row>
    <row r="1029" spans="2:11" x14ac:dyDescent="0.25">
      <c r="B1029" s="3">
        <v>1136</v>
      </c>
      <c r="C1029" s="3" t="s">
        <v>9</v>
      </c>
      <c r="D1029" s="3" t="s">
        <v>11</v>
      </c>
      <c r="E1029" s="4">
        <v>42993</v>
      </c>
      <c r="F1029" s="4">
        <v>43068</v>
      </c>
      <c r="G1029" s="3" t="s">
        <v>28</v>
      </c>
      <c r="H1029" s="5">
        <v>11172</v>
      </c>
      <c r="I1029" s="3" t="str">
        <f>VLOOKUP(Tabela1[[#This Row],[Advogado]],Tabela2[],2,FALSE)</f>
        <v>Caio Brito</v>
      </c>
      <c r="J1029" s="17">
        <f>IF(Tabela1[[#This Row],[Data de conclusão]]="",NETWORKDAYS(Tabela1[[#This Row],[Data de entrada]],$J$2),NETWORKDAYS(Tabela1[[#This Row],[Data de entrada]],Tabela1[[#This Row],[Data de conclusão]]))</f>
        <v>54</v>
      </c>
      <c r="K1029" s="1"/>
    </row>
    <row r="1030" spans="2:11" x14ac:dyDescent="0.25">
      <c r="B1030" s="3">
        <v>1137</v>
      </c>
      <c r="C1030" s="3" t="s">
        <v>7</v>
      </c>
      <c r="D1030" s="3" t="s">
        <v>12</v>
      </c>
      <c r="E1030" s="4">
        <v>42931</v>
      </c>
      <c r="F1030" s="4"/>
      <c r="G1030" s="3" t="s">
        <v>27</v>
      </c>
      <c r="H1030" s="5">
        <v>57992</v>
      </c>
      <c r="I1030" s="3" t="str">
        <f>VLOOKUP(Tabela1[[#This Row],[Advogado]],Tabela2[],2,FALSE)</f>
        <v>Caio Brito</v>
      </c>
      <c r="J1030" s="17">
        <f>IF(Tabela1[[#This Row],[Data de conclusão]]="",NETWORKDAYS(Tabela1[[#This Row],[Data de entrada]],$J$2),NETWORKDAYS(Tabela1[[#This Row],[Data de entrada]],Tabela1[[#This Row],[Data de conclusão]]))</f>
        <v>217</v>
      </c>
      <c r="K1030" s="1"/>
    </row>
    <row r="1031" spans="2:11" x14ac:dyDescent="0.25">
      <c r="B1031" s="3">
        <v>1138</v>
      </c>
      <c r="C1031" s="3" t="s">
        <v>8</v>
      </c>
      <c r="D1031" s="3" t="s">
        <v>13</v>
      </c>
      <c r="E1031" s="4">
        <v>42575</v>
      </c>
      <c r="F1031" s="4"/>
      <c r="G1031" s="3" t="s">
        <v>29</v>
      </c>
      <c r="H1031" s="5">
        <v>47121</v>
      </c>
      <c r="I1031" s="3" t="str">
        <f>VLOOKUP(Tabela1[[#This Row],[Advogado]],Tabela2[],2,FALSE)</f>
        <v>Caio Brito</v>
      </c>
      <c r="J1031" s="17">
        <f>IF(Tabela1[[#This Row],[Data de conclusão]]="",NETWORKDAYS(Tabela1[[#This Row],[Data de entrada]],$J$2),NETWORKDAYS(Tabela1[[#This Row],[Data de entrada]],Tabela1[[#This Row],[Data de conclusão]]))</f>
        <v>472</v>
      </c>
      <c r="K1031" s="1"/>
    </row>
    <row r="1032" spans="2:11" x14ac:dyDescent="0.25">
      <c r="B1032" s="3">
        <v>1139</v>
      </c>
      <c r="C1032" s="3" t="s">
        <v>9</v>
      </c>
      <c r="D1032" s="3" t="s">
        <v>14</v>
      </c>
      <c r="E1032" s="4">
        <v>42612</v>
      </c>
      <c r="F1032" s="4"/>
      <c r="G1032" s="3" t="s">
        <v>29</v>
      </c>
      <c r="H1032" s="5">
        <v>19023</v>
      </c>
      <c r="I1032" s="3" t="str">
        <f>VLOOKUP(Tabela1[[#This Row],[Advogado]],Tabela2[],2,FALSE)</f>
        <v>Renê Amaranto</v>
      </c>
      <c r="J1032" s="17">
        <f>IF(Tabela1[[#This Row],[Data de conclusão]]="",NETWORKDAYS(Tabela1[[#This Row],[Data de entrada]],$J$2),NETWORKDAYS(Tabela1[[#This Row],[Data de entrada]],Tabela1[[#This Row],[Data de conclusão]]))</f>
        <v>446</v>
      </c>
      <c r="K1032" s="1"/>
    </row>
    <row r="1033" spans="2:11" x14ac:dyDescent="0.25">
      <c r="B1033" s="3">
        <v>1140</v>
      </c>
      <c r="C1033" s="3" t="s">
        <v>7</v>
      </c>
      <c r="D1033" s="3" t="s">
        <v>15</v>
      </c>
      <c r="E1033" s="4">
        <v>42797</v>
      </c>
      <c r="F1033" s="4"/>
      <c r="G1033" s="3" t="s">
        <v>29</v>
      </c>
      <c r="H1033" s="5">
        <v>34356</v>
      </c>
      <c r="I1033" s="3" t="str">
        <f>VLOOKUP(Tabela1[[#This Row],[Advogado]],Tabela2[],2,FALSE)</f>
        <v>Renê Amaranto</v>
      </c>
      <c r="J1033" s="17">
        <f>IF(Tabela1[[#This Row],[Data de conclusão]]="",NETWORKDAYS(Tabela1[[#This Row],[Data de entrada]],$J$2),NETWORKDAYS(Tabela1[[#This Row],[Data de entrada]],Tabela1[[#This Row],[Data de conclusão]]))</f>
        <v>313</v>
      </c>
      <c r="K1033" s="1"/>
    </row>
    <row r="1034" spans="2:11" x14ac:dyDescent="0.25">
      <c r="B1034" s="3">
        <v>1141</v>
      </c>
      <c r="C1034" s="3" t="s">
        <v>8</v>
      </c>
      <c r="D1034" s="3" t="s">
        <v>16</v>
      </c>
      <c r="E1034" s="4">
        <v>42985</v>
      </c>
      <c r="F1034" s="4"/>
      <c r="G1034" s="3" t="s">
        <v>29</v>
      </c>
      <c r="H1034" s="5">
        <v>44943</v>
      </c>
      <c r="I1034" s="3" t="str">
        <f>VLOOKUP(Tabela1[[#This Row],[Advogado]],Tabela2[],2,FALSE)</f>
        <v>Renê Amaranto</v>
      </c>
      <c r="J1034" s="17">
        <f>IF(Tabela1[[#This Row],[Data de conclusão]]="",NETWORKDAYS(Tabela1[[#This Row],[Data de entrada]],$J$2),NETWORKDAYS(Tabela1[[#This Row],[Data de entrada]],Tabela1[[#This Row],[Data de conclusão]]))</f>
        <v>179</v>
      </c>
      <c r="K1034" s="1"/>
    </row>
    <row r="1035" spans="2:11" x14ac:dyDescent="0.25">
      <c r="B1035" s="3">
        <v>1142</v>
      </c>
      <c r="C1035" s="3" t="s">
        <v>9</v>
      </c>
      <c r="D1035" s="3" t="s">
        <v>17</v>
      </c>
      <c r="E1035" s="4">
        <v>42440</v>
      </c>
      <c r="F1035" s="4"/>
      <c r="G1035" s="3" t="s">
        <v>29</v>
      </c>
      <c r="H1035" s="5">
        <v>14023</v>
      </c>
      <c r="I1035" s="3" t="str">
        <f>VLOOKUP(Tabela1[[#This Row],[Advogado]],Tabela2[],2,FALSE)</f>
        <v>Renê Amaranto</v>
      </c>
      <c r="J1035" s="17">
        <f>IF(Tabela1[[#This Row],[Data de conclusão]]="",NETWORKDAYS(Tabela1[[#This Row],[Data de entrada]],$J$2),NETWORKDAYS(Tabela1[[#This Row],[Data de entrada]],Tabela1[[#This Row],[Data de conclusão]]))</f>
        <v>568</v>
      </c>
      <c r="K1035" s="1"/>
    </row>
    <row r="1036" spans="2:11" x14ac:dyDescent="0.25">
      <c r="B1036" s="3">
        <v>1143</v>
      </c>
      <c r="C1036" s="3" t="s">
        <v>7</v>
      </c>
      <c r="D1036" s="3" t="s">
        <v>10</v>
      </c>
      <c r="E1036" s="4">
        <v>43078</v>
      </c>
      <c r="F1036" s="4"/>
      <c r="G1036" s="3" t="s">
        <v>29</v>
      </c>
      <c r="H1036" s="5">
        <v>45199</v>
      </c>
      <c r="I1036" s="3" t="str">
        <f>VLOOKUP(Tabela1[[#This Row],[Advogado]],Tabela2[],2,FALSE)</f>
        <v>Caio Brito</v>
      </c>
      <c r="J1036" s="17">
        <f>IF(Tabela1[[#This Row],[Data de conclusão]]="",NETWORKDAYS(Tabela1[[#This Row],[Data de entrada]],$J$2),NETWORKDAYS(Tabela1[[#This Row],[Data de entrada]],Tabela1[[#This Row],[Data de conclusão]]))</f>
        <v>112</v>
      </c>
      <c r="K1036" s="1"/>
    </row>
    <row r="1037" spans="2:11" x14ac:dyDescent="0.25">
      <c r="B1037" s="3">
        <v>1144</v>
      </c>
      <c r="C1037" s="3" t="s">
        <v>8</v>
      </c>
      <c r="D1037" s="3" t="s">
        <v>11</v>
      </c>
      <c r="E1037" s="4">
        <v>42563</v>
      </c>
      <c r="F1037" s="4"/>
      <c r="G1037" s="3" t="s">
        <v>29</v>
      </c>
      <c r="H1037" s="5">
        <v>51080</v>
      </c>
      <c r="I1037" s="3" t="str">
        <f>VLOOKUP(Tabela1[[#This Row],[Advogado]],Tabela2[],2,FALSE)</f>
        <v>Caio Brito</v>
      </c>
      <c r="J1037" s="17">
        <f>IF(Tabela1[[#This Row],[Data de conclusão]]="",NETWORKDAYS(Tabela1[[#This Row],[Data de entrada]],$J$2),NETWORKDAYS(Tabela1[[#This Row],[Data de entrada]],Tabela1[[#This Row],[Data de conclusão]]))</f>
        <v>481</v>
      </c>
      <c r="K1037" s="1"/>
    </row>
    <row r="1038" spans="2:11" x14ac:dyDescent="0.25">
      <c r="B1038" s="3">
        <v>1145</v>
      </c>
      <c r="C1038" s="3" t="s">
        <v>9</v>
      </c>
      <c r="D1038" s="3" t="s">
        <v>12</v>
      </c>
      <c r="E1038" s="4">
        <v>42943</v>
      </c>
      <c r="F1038" s="4"/>
      <c r="G1038" s="3" t="s">
        <v>29</v>
      </c>
      <c r="H1038" s="5">
        <v>23685</v>
      </c>
      <c r="I1038" s="3" t="str">
        <f>VLOOKUP(Tabela1[[#This Row],[Advogado]],Tabela2[],2,FALSE)</f>
        <v>Caio Brito</v>
      </c>
      <c r="J1038" s="17">
        <f>IF(Tabela1[[#This Row],[Data de conclusão]]="",NETWORKDAYS(Tabela1[[#This Row],[Data de entrada]],$J$2),NETWORKDAYS(Tabela1[[#This Row],[Data de entrada]],Tabela1[[#This Row],[Data de conclusão]]))</f>
        <v>209</v>
      </c>
      <c r="K1038" s="1"/>
    </row>
    <row r="1039" spans="2:11" x14ac:dyDescent="0.25">
      <c r="B1039" s="3">
        <v>1146</v>
      </c>
      <c r="C1039" s="3" t="s">
        <v>7</v>
      </c>
      <c r="D1039" s="3" t="s">
        <v>13</v>
      </c>
      <c r="E1039" s="4">
        <v>42451</v>
      </c>
      <c r="F1039" s="4"/>
      <c r="G1039" s="3" t="s">
        <v>29</v>
      </c>
      <c r="H1039" s="5">
        <v>36069</v>
      </c>
      <c r="I1039" s="3" t="str">
        <f>VLOOKUP(Tabela1[[#This Row],[Advogado]],Tabela2[],2,FALSE)</f>
        <v>Caio Brito</v>
      </c>
      <c r="J1039" s="17">
        <f>IF(Tabela1[[#This Row],[Data de conclusão]]="",NETWORKDAYS(Tabela1[[#This Row],[Data de entrada]],$J$2),NETWORKDAYS(Tabela1[[#This Row],[Data de entrada]],Tabela1[[#This Row],[Data de conclusão]]))</f>
        <v>561</v>
      </c>
      <c r="K1039" s="1"/>
    </row>
    <row r="1040" spans="2:11" x14ac:dyDescent="0.25">
      <c r="B1040" s="3">
        <v>1147</v>
      </c>
      <c r="C1040" s="3" t="s">
        <v>8</v>
      </c>
      <c r="D1040" s="3" t="s">
        <v>14</v>
      </c>
      <c r="E1040" s="4">
        <v>42639</v>
      </c>
      <c r="F1040" s="4"/>
      <c r="G1040" s="3" t="s">
        <v>29</v>
      </c>
      <c r="H1040" s="5">
        <v>35797</v>
      </c>
      <c r="I1040" s="3" t="str">
        <f>VLOOKUP(Tabela1[[#This Row],[Advogado]],Tabela2[],2,FALSE)</f>
        <v>Renê Amaranto</v>
      </c>
      <c r="J1040" s="17">
        <f>IF(Tabela1[[#This Row],[Data de conclusão]]="",NETWORKDAYS(Tabela1[[#This Row],[Data de entrada]],$J$2),NETWORKDAYS(Tabela1[[#This Row],[Data de entrada]],Tabela1[[#This Row],[Data de conclusão]]))</f>
        <v>427</v>
      </c>
      <c r="K1040" s="1"/>
    </row>
    <row r="1041" spans="2:11" x14ac:dyDescent="0.25">
      <c r="B1041" s="3">
        <v>1148</v>
      </c>
      <c r="C1041" s="3" t="s">
        <v>9</v>
      </c>
      <c r="D1041" s="3" t="s">
        <v>15</v>
      </c>
      <c r="E1041" s="4">
        <v>42752</v>
      </c>
      <c r="F1041" s="4"/>
      <c r="G1041" s="3" t="s">
        <v>29</v>
      </c>
      <c r="H1041" s="5">
        <v>14720</v>
      </c>
      <c r="I1041" s="3" t="str">
        <f>VLOOKUP(Tabela1[[#This Row],[Advogado]],Tabela2[],2,FALSE)</f>
        <v>Renê Amaranto</v>
      </c>
      <c r="J1041" s="17">
        <f>IF(Tabela1[[#This Row],[Data de conclusão]]="",NETWORKDAYS(Tabela1[[#This Row],[Data de entrada]],$J$2),NETWORKDAYS(Tabela1[[#This Row],[Data de entrada]],Tabela1[[#This Row],[Data de conclusão]]))</f>
        <v>346</v>
      </c>
      <c r="K1041" s="1"/>
    </row>
    <row r="1042" spans="2:11" x14ac:dyDescent="0.25">
      <c r="B1042" s="3">
        <v>1149</v>
      </c>
      <c r="C1042" s="3" t="s">
        <v>7</v>
      </c>
      <c r="D1042" s="3" t="s">
        <v>16</v>
      </c>
      <c r="E1042" s="4">
        <v>42756</v>
      </c>
      <c r="F1042" s="4">
        <v>42790</v>
      </c>
      <c r="G1042" s="3" t="s">
        <v>28</v>
      </c>
      <c r="H1042" s="5">
        <v>54456</v>
      </c>
      <c r="I1042" s="3" t="str">
        <f>VLOOKUP(Tabela1[[#This Row],[Advogado]],Tabela2[],2,FALSE)</f>
        <v>Renê Amaranto</v>
      </c>
      <c r="J1042" s="17">
        <f>IF(Tabela1[[#This Row],[Data de conclusão]]="",NETWORKDAYS(Tabela1[[#This Row],[Data de entrada]],$J$2),NETWORKDAYS(Tabela1[[#This Row],[Data de entrada]],Tabela1[[#This Row],[Data de conclusão]]))</f>
        <v>25</v>
      </c>
      <c r="K1042" s="1"/>
    </row>
    <row r="1043" spans="2:11" x14ac:dyDescent="0.25">
      <c r="B1043" s="3">
        <v>1150</v>
      </c>
      <c r="C1043" s="3" t="s">
        <v>8</v>
      </c>
      <c r="D1043" s="3" t="s">
        <v>17</v>
      </c>
      <c r="E1043" s="4">
        <v>42887</v>
      </c>
      <c r="F1043" s="4"/>
      <c r="G1043" s="3" t="s">
        <v>27</v>
      </c>
      <c r="H1043" s="5">
        <v>58954</v>
      </c>
      <c r="I1043" s="3" t="str">
        <f>VLOOKUP(Tabela1[[#This Row],[Advogado]],Tabela2[],2,FALSE)</f>
        <v>Renê Amaranto</v>
      </c>
      <c r="J1043" s="17">
        <f>IF(Tabela1[[#This Row],[Data de conclusão]]="",NETWORKDAYS(Tabela1[[#This Row],[Data de entrada]],$J$2),NETWORKDAYS(Tabela1[[#This Row],[Data de entrada]],Tabela1[[#This Row],[Data de conclusão]]))</f>
        <v>249</v>
      </c>
      <c r="K1043" s="1"/>
    </row>
    <row r="1044" spans="2:11" x14ac:dyDescent="0.25">
      <c r="B1044" s="3">
        <v>1151</v>
      </c>
      <c r="C1044" s="3" t="s">
        <v>9</v>
      </c>
      <c r="D1044" s="3" t="s">
        <v>10</v>
      </c>
      <c r="E1044" s="4">
        <v>42496</v>
      </c>
      <c r="F1044" s="4"/>
      <c r="G1044" s="3" t="s">
        <v>29</v>
      </c>
      <c r="H1044" s="5">
        <v>24220</v>
      </c>
      <c r="I1044" s="3" t="str">
        <f>VLOOKUP(Tabela1[[#This Row],[Advogado]],Tabela2[],2,FALSE)</f>
        <v>Caio Brito</v>
      </c>
      <c r="J1044" s="17">
        <f>IF(Tabela1[[#This Row],[Data de conclusão]]="",NETWORKDAYS(Tabela1[[#This Row],[Data de entrada]],$J$2),NETWORKDAYS(Tabela1[[#This Row],[Data de entrada]],Tabela1[[#This Row],[Data de conclusão]]))</f>
        <v>528</v>
      </c>
      <c r="K1044" s="1"/>
    </row>
    <row r="1045" spans="2:11" x14ac:dyDescent="0.25">
      <c r="B1045" s="3">
        <v>1152</v>
      </c>
      <c r="C1045" s="3" t="s">
        <v>7</v>
      </c>
      <c r="D1045" s="3" t="s">
        <v>11</v>
      </c>
      <c r="E1045" s="4">
        <v>42667</v>
      </c>
      <c r="F1045" s="4"/>
      <c r="G1045" s="3" t="s">
        <v>29</v>
      </c>
      <c r="H1045" s="5">
        <v>47063</v>
      </c>
      <c r="I1045" s="3" t="str">
        <f>VLOOKUP(Tabela1[[#This Row],[Advogado]],Tabela2[],2,FALSE)</f>
        <v>Caio Brito</v>
      </c>
      <c r="J1045" s="17">
        <f>IF(Tabela1[[#This Row],[Data de conclusão]]="",NETWORKDAYS(Tabela1[[#This Row],[Data de entrada]],$J$2),NETWORKDAYS(Tabela1[[#This Row],[Data de entrada]],Tabela1[[#This Row],[Data de conclusão]]))</f>
        <v>407</v>
      </c>
      <c r="K1045" s="1"/>
    </row>
    <row r="1046" spans="2:11" x14ac:dyDescent="0.25">
      <c r="B1046" s="3">
        <v>1153</v>
      </c>
      <c r="C1046" s="3" t="s">
        <v>8</v>
      </c>
      <c r="D1046" s="3" t="s">
        <v>12</v>
      </c>
      <c r="E1046" s="4">
        <v>42548</v>
      </c>
      <c r="F1046" s="4"/>
      <c r="G1046" s="3" t="s">
        <v>29</v>
      </c>
      <c r="H1046" s="5">
        <v>59321</v>
      </c>
      <c r="I1046" s="3" t="str">
        <f>VLOOKUP(Tabela1[[#This Row],[Advogado]],Tabela2[],2,FALSE)</f>
        <v>Caio Brito</v>
      </c>
      <c r="J1046" s="17">
        <f>IF(Tabela1[[#This Row],[Data de conclusão]]="",NETWORKDAYS(Tabela1[[#This Row],[Data de entrada]],$J$2),NETWORKDAYS(Tabela1[[#This Row],[Data de entrada]],Tabela1[[#This Row],[Data de conclusão]]))</f>
        <v>492</v>
      </c>
      <c r="K1046" s="1"/>
    </row>
    <row r="1047" spans="2:11" x14ac:dyDescent="0.25">
      <c r="B1047" s="3">
        <v>1154</v>
      </c>
      <c r="C1047" s="3" t="s">
        <v>9</v>
      </c>
      <c r="D1047" s="3" t="s">
        <v>13</v>
      </c>
      <c r="E1047" s="4">
        <v>42617</v>
      </c>
      <c r="F1047" s="4"/>
      <c r="G1047" s="3" t="s">
        <v>29</v>
      </c>
      <c r="H1047" s="5">
        <v>15366</v>
      </c>
      <c r="I1047" s="3" t="str">
        <f>VLOOKUP(Tabela1[[#This Row],[Advogado]],Tabela2[],2,FALSE)</f>
        <v>Caio Brito</v>
      </c>
      <c r="J1047" s="17">
        <f>IF(Tabela1[[#This Row],[Data de conclusão]]="",NETWORKDAYS(Tabela1[[#This Row],[Data de entrada]],$J$2),NETWORKDAYS(Tabela1[[#This Row],[Data de entrada]],Tabela1[[#This Row],[Data de conclusão]]))</f>
        <v>442</v>
      </c>
      <c r="K1047" s="1"/>
    </row>
    <row r="1048" spans="2:11" x14ac:dyDescent="0.25">
      <c r="B1048" s="3">
        <v>1155</v>
      </c>
      <c r="C1048" s="3" t="s">
        <v>7</v>
      </c>
      <c r="D1048" s="3" t="s">
        <v>14</v>
      </c>
      <c r="E1048" s="4">
        <v>42398</v>
      </c>
      <c r="F1048" s="4"/>
      <c r="G1048" s="3" t="s">
        <v>29</v>
      </c>
      <c r="H1048" s="5">
        <v>41939</v>
      </c>
      <c r="I1048" s="3" t="str">
        <f>VLOOKUP(Tabela1[[#This Row],[Advogado]],Tabela2[],2,FALSE)</f>
        <v>Renê Amaranto</v>
      </c>
      <c r="J1048" s="17">
        <f>IF(Tabela1[[#This Row],[Data de conclusão]]="",NETWORKDAYS(Tabela1[[#This Row],[Data de entrada]],$J$2),NETWORKDAYS(Tabela1[[#This Row],[Data de entrada]],Tabela1[[#This Row],[Data de conclusão]]))</f>
        <v>598</v>
      </c>
      <c r="K1048" s="1"/>
    </row>
    <row r="1049" spans="2:11" x14ac:dyDescent="0.25">
      <c r="B1049" s="3">
        <v>1156</v>
      </c>
      <c r="C1049" s="3" t="s">
        <v>8</v>
      </c>
      <c r="D1049" s="3" t="s">
        <v>15</v>
      </c>
      <c r="E1049" s="4">
        <v>42572</v>
      </c>
      <c r="F1049" s="4"/>
      <c r="G1049" s="3" t="s">
        <v>29</v>
      </c>
      <c r="H1049" s="5">
        <v>55435</v>
      </c>
      <c r="I1049" s="3" t="str">
        <f>VLOOKUP(Tabela1[[#This Row],[Advogado]],Tabela2[],2,FALSE)</f>
        <v>Renê Amaranto</v>
      </c>
      <c r="J1049" s="17">
        <f>IF(Tabela1[[#This Row],[Data de conclusão]]="",NETWORKDAYS(Tabela1[[#This Row],[Data de entrada]],$J$2),NETWORKDAYS(Tabela1[[#This Row],[Data de entrada]],Tabela1[[#This Row],[Data de conclusão]]))</f>
        <v>474</v>
      </c>
      <c r="K1049" s="1"/>
    </row>
    <row r="1050" spans="2:11" x14ac:dyDescent="0.25">
      <c r="B1050" s="3">
        <v>1157</v>
      </c>
      <c r="C1050" s="3" t="s">
        <v>9</v>
      </c>
      <c r="D1050" s="3" t="s">
        <v>16</v>
      </c>
      <c r="E1050" s="4">
        <v>42567</v>
      </c>
      <c r="F1050" s="4"/>
      <c r="G1050" s="3" t="s">
        <v>29</v>
      </c>
      <c r="H1050" s="5">
        <v>10408</v>
      </c>
      <c r="I1050" s="3" t="str">
        <f>VLOOKUP(Tabela1[[#This Row],[Advogado]],Tabela2[],2,FALSE)</f>
        <v>Renê Amaranto</v>
      </c>
      <c r="J1050" s="17">
        <f>IF(Tabela1[[#This Row],[Data de conclusão]]="",NETWORKDAYS(Tabela1[[#This Row],[Data de entrada]],$J$2),NETWORKDAYS(Tabela1[[#This Row],[Data de entrada]],Tabela1[[#This Row],[Data de conclusão]]))</f>
        <v>477</v>
      </c>
      <c r="K1050" s="1"/>
    </row>
    <row r="1051" spans="2:11" x14ac:dyDescent="0.25">
      <c r="B1051" s="3">
        <v>1158</v>
      </c>
      <c r="C1051" s="3" t="s">
        <v>7</v>
      </c>
      <c r="D1051" s="3" t="s">
        <v>17</v>
      </c>
      <c r="E1051" s="4">
        <v>42905</v>
      </c>
      <c r="F1051" s="4"/>
      <c r="G1051" s="3" t="s">
        <v>29</v>
      </c>
      <c r="H1051" s="5">
        <v>10821</v>
      </c>
      <c r="I1051" s="3" t="str">
        <f>VLOOKUP(Tabela1[[#This Row],[Advogado]],Tabela2[],2,FALSE)</f>
        <v>Renê Amaranto</v>
      </c>
      <c r="J1051" s="17">
        <f>IF(Tabela1[[#This Row],[Data de conclusão]]="",NETWORKDAYS(Tabela1[[#This Row],[Data de entrada]],$J$2),NETWORKDAYS(Tabela1[[#This Row],[Data de entrada]],Tabela1[[#This Row],[Data de conclusão]]))</f>
        <v>237</v>
      </c>
      <c r="K1051" s="1"/>
    </row>
    <row r="1052" spans="2:11" x14ac:dyDescent="0.25">
      <c r="B1052" s="3">
        <v>1159</v>
      </c>
      <c r="C1052" s="3" t="s">
        <v>8</v>
      </c>
      <c r="D1052" s="3" t="s">
        <v>10</v>
      </c>
      <c r="E1052" s="4">
        <v>42497</v>
      </c>
      <c r="F1052" s="4"/>
      <c r="G1052" s="3" t="s">
        <v>29</v>
      </c>
      <c r="H1052" s="5">
        <v>26921</v>
      </c>
      <c r="I1052" s="3" t="str">
        <f>VLOOKUP(Tabela1[[#This Row],[Advogado]],Tabela2[],2,FALSE)</f>
        <v>Caio Brito</v>
      </c>
      <c r="J1052" s="17">
        <f>IF(Tabela1[[#This Row],[Data de conclusão]]="",NETWORKDAYS(Tabela1[[#This Row],[Data de entrada]],$J$2),NETWORKDAYS(Tabela1[[#This Row],[Data de entrada]],Tabela1[[#This Row],[Data de conclusão]]))</f>
        <v>527</v>
      </c>
      <c r="K1052" s="1"/>
    </row>
    <row r="1053" spans="2:11" x14ac:dyDescent="0.25">
      <c r="B1053" s="3">
        <v>1160</v>
      </c>
      <c r="C1053" s="3" t="s">
        <v>9</v>
      </c>
      <c r="D1053" s="3" t="s">
        <v>11</v>
      </c>
      <c r="E1053" s="4">
        <v>42658</v>
      </c>
      <c r="F1053" s="4"/>
      <c r="G1053" s="3" t="s">
        <v>29</v>
      </c>
      <c r="H1053" s="5">
        <v>12044</v>
      </c>
      <c r="I1053" s="3" t="str">
        <f>VLOOKUP(Tabela1[[#This Row],[Advogado]],Tabela2[],2,FALSE)</f>
        <v>Caio Brito</v>
      </c>
      <c r="J1053" s="17">
        <f>IF(Tabela1[[#This Row],[Data de conclusão]]="",NETWORKDAYS(Tabela1[[#This Row],[Data de entrada]],$J$2),NETWORKDAYS(Tabela1[[#This Row],[Data de entrada]],Tabela1[[#This Row],[Data de conclusão]]))</f>
        <v>412</v>
      </c>
      <c r="K1053" s="1"/>
    </row>
    <row r="1054" spans="2:11" x14ac:dyDescent="0.25">
      <c r="B1054" s="3">
        <v>1161</v>
      </c>
      <c r="C1054" s="3" t="s">
        <v>7</v>
      </c>
      <c r="D1054" s="3" t="s">
        <v>12</v>
      </c>
      <c r="E1054" s="4">
        <v>42490</v>
      </c>
      <c r="F1054" s="4"/>
      <c r="G1054" s="3" t="s">
        <v>29</v>
      </c>
      <c r="H1054" s="5">
        <v>8252</v>
      </c>
      <c r="I1054" s="3" t="str">
        <f>VLOOKUP(Tabela1[[#This Row],[Advogado]],Tabela2[],2,FALSE)</f>
        <v>Caio Brito</v>
      </c>
      <c r="J1054" s="17">
        <f>IF(Tabela1[[#This Row],[Data de conclusão]]="",NETWORKDAYS(Tabela1[[#This Row],[Data de entrada]],$J$2),NETWORKDAYS(Tabela1[[#This Row],[Data de entrada]],Tabela1[[#This Row],[Data de conclusão]]))</f>
        <v>532</v>
      </c>
      <c r="K1054" s="1"/>
    </row>
    <row r="1055" spans="2:11" x14ac:dyDescent="0.25">
      <c r="B1055" s="3">
        <v>1162</v>
      </c>
      <c r="C1055" s="3" t="s">
        <v>8</v>
      </c>
      <c r="D1055" s="3" t="s">
        <v>13</v>
      </c>
      <c r="E1055" s="4">
        <v>42782</v>
      </c>
      <c r="F1055" s="4">
        <v>42826</v>
      </c>
      <c r="G1055" s="3" t="s">
        <v>28</v>
      </c>
      <c r="H1055" s="5">
        <v>5940</v>
      </c>
      <c r="I1055" s="3" t="str">
        <f>VLOOKUP(Tabela1[[#This Row],[Advogado]],Tabela2[],2,FALSE)</f>
        <v>Caio Brito</v>
      </c>
      <c r="J1055" s="17">
        <f>IF(Tabela1[[#This Row],[Data de conclusão]]="",NETWORKDAYS(Tabela1[[#This Row],[Data de entrada]],$J$2),NETWORKDAYS(Tabela1[[#This Row],[Data de entrada]],Tabela1[[#This Row],[Data de conclusão]]))</f>
        <v>32</v>
      </c>
      <c r="K1055" s="1"/>
    </row>
    <row r="1056" spans="2:11" x14ac:dyDescent="0.25">
      <c r="B1056" s="3">
        <v>1163</v>
      </c>
      <c r="C1056" s="3" t="s">
        <v>9</v>
      </c>
      <c r="D1056" s="3" t="s">
        <v>14</v>
      </c>
      <c r="E1056" s="4">
        <v>43021</v>
      </c>
      <c r="F1056" s="4"/>
      <c r="G1056" s="3" t="s">
        <v>27</v>
      </c>
      <c r="H1056" s="5">
        <v>25251</v>
      </c>
      <c r="I1056" s="3" t="str">
        <f>VLOOKUP(Tabela1[[#This Row],[Advogado]],Tabela2[],2,FALSE)</f>
        <v>Renê Amaranto</v>
      </c>
      <c r="J1056" s="17">
        <f>IF(Tabela1[[#This Row],[Data de conclusão]]="",NETWORKDAYS(Tabela1[[#This Row],[Data de entrada]],$J$2),NETWORKDAYS(Tabela1[[#This Row],[Data de entrada]],Tabela1[[#This Row],[Data de conclusão]]))</f>
        <v>153</v>
      </c>
      <c r="K1056" s="1"/>
    </row>
    <row r="1057" spans="2:11" x14ac:dyDescent="0.25">
      <c r="B1057" s="3">
        <v>1164</v>
      </c>
      <c r="C1057" s="3" t="s">
        <v>7</v>
      </c>
      <c r="D1057" s="3" t="s">
        <v>15</v>
      </c>
      <c r="E1057" s="4">
        <v>42828</v>
      </c>
      <c r="F1057" s="4"/>
      <c r="G1057" s="3" t="s">
        <v>29</v>
      </c>
      <c r="H1057" s="5">
        <v>5270</v>
      </c>
      <c r="I1057" s="3" t="str">
        <f>VLOOKUP(Tabela1[[#This Row],[Advogado]],Tabela2[],2,FALSE)</f>
        <v>Renê Amaranto</v>
      </c>
      <c r="J1057" s="17">
        <f>IF(Tabela1[[#This Row],[Data de conclusão]]="",NETWORKDAYS(Tabela1[[#This Row],[Data de entrada]],$J$2),NETWORKDAYS(Tabela1[[#This Row],[Data de entrada]],Tabela1[[#This Row],[Data de conclusão]]))</f>
        <v>292</v>
      </c>
      <c r="K1057" s="1"/>
    </row>
    <row r="1058" spans="2:11" x14ac:dyDescent="0.25">
      <c r="B1058" s="3">
        <v>1165</v>
      </c>
      <c r="C1058" s="3" t="s">
        <v>8</v>
      </c>
      <c r="D1058" s="3" t="s">
        <v>16</v>
      </c>
      <c r="E1058" s="4">
        <v>42862</v>
      </c>
      <c r="F1058" s="4"/>
      <c r="G1058" s="3" t="s">
        <v>29</v>
      </c>
      <c r="H1058" s="5">
        <v>33992</v>
      </c>
      <c r="I1058" s="3" t="str">
        <f>VLOOKUP(Tabela1[[#This Row],[Advogado]],Tabela2[],2,FALSE)</f>
        <v>Renê Amaranto</v>
      </c>
      <c r="J1058" s="17">
        <f>IF(Tabela1[[#This Row],[Data de conclusão]]="",NETWORKDAYS(Tabela1[[#This Row],[Data de entrada]],$J$2),NETWORKDAYS(Tabela1[[#This Row],[Data de entrada]],Tabela1[[#This Row],[Data de conclusão]]))</f>
        <v>267</v>
      </c>
      <c r="K1058" s="1"/>
    </row>
    <row r="1059" spans="2:11" x14ac:dyDescent="0.25">
      <c r="B1059" s="3">
        <v>1166</v>
      </c>
      <c r="C1059" s="3" t="s">
        <v>9</v>
      </c>
      <c r="D1059" s="3" t="s">
        <v>17</v>
      </c>
      <c r="E1059" s="4">
        <v>43063</v>
      </c>
      <c r="F1059" s="4"/>
      <c r="G1059" s="3" t="s">
        <v>29</v>
      </c>
      <c r="H1059" s="5">
        <v>29089</v>
      </c>
      <c r="I1059" s="3" t="str">
        <f>VLOOKUP(Tabela1[[#This Row],[Advogado]],Tabela2[],2,FALSE)</f>
        <v>Renê Amaranto</v>
      </c>
      <c r="J1059" s="17">
        <f>IF(Tabela1[[#This Row],[Data de conclusão]]="",NETWORKDAYS(Tabela1[[#This Row],[Data de entrada]],$J$2),NETWORKDAYS(Tabela1[[#This Row],[Data de entrada]],Tabela1[[#This Row],[Data de conclusão]]))</f>
        <v>123</v>
      </c>
      <c r="K1059" s="1"/>
    </row>
    <row r="1060" spans="2:11" x14ac:dyDescent="0.25">
      <c r="B1060" s="3">
        <v>1167</v>
      </c>
      <c r="C1060" s="3" t="s">
        <v>7</v>
      </c>
      <c r="D1060" s="3" t="s">
        <v>10</v>
      </c>
      <c r="E1060" s="4">
        <v>42467</v>
      </c>
      <c r="F1060" s="4"/>
      <c r="G1060" s="3" t="s">
        <v>29</v>
      </c>
      <c r="H1060" s="5">
        <v>23478</v>
      </c>
      <c r="I1060" s="3" t="str">
        <f>VLOOKUP(Tabela1[[#This Row],[Advogado]],Tabela2[],2,FALSE)</f>
        <v>Caio Brito</v>
      </c>
      <c r="J1060" s="17">
        <f>IF(Tabela1[[#This Row],[Data de conclusão]]="",NETWORKDAYS(Tabela1[[#This Row],[Data de entrada]],$J$2),NETWORKDAYS(Tabela1[[#This Row],[Data de entrada]],Tabela1[[#This Row],[Data de conclusão]]))</f>
        <v>549</v>
      </c>
      <c r="K1060" s="1"/>
    </row>
    <row r="1061" spans="2:11" x14ac:dyDescent="0.25">
      <c r="B1061" s="3">
        <v>1168</v>
      </c>
      <c r="C1061" s="3" t="s">
        <v>8</v>
      </c>
      <c r="D1061" s="3" t="s">
        <v>11</v>
      </c>
      <c r="E1061" s="4">
        <v>42699</v>
      </c>
      <c r="F1061" s="4"/>
      <c r="G1061" s="3" t="s">
        <v>29</v>
      </c>
      <c r="H1061" s="5">
        <v>10615</v>
      </c>
      <c r="I1061" s="3" t="str">
        <f>VLOOKUP(Tabela1[[#This Row],[Advogado]],Tabela2[],2,FALSE)</f>
        <v>Caio Brito</v>
      </c>
      <c r="J1061" s="17">
        <f>IF(Tabela1[[#This Row],[Data de conclusão]]="",NETWORKDAYS(Tabela1[[#This Row],[Data de entrada]],$J$2),NETWORKDAYS(Tabela1[[#This Row],[Data de entrada]],Tabela1[[#This Row],[Data de conclusão]]))</f>
        <v>383</v>
      </c>
      <c r="K1061" s="1"/>
    </row>
    <row r="1062" spans="2:11" x14ac:dyDescent="0.25">
      <c r="B1062" s="3">
        <v>1169</v>
      </c>
      <c r="C1062" s="3" t="s">
        <v>9</v>
      </c>
      <c r="D1062" s="3" t="s">
        <v>12</v>
      </c>
      <c r="E1062" s="4">
        <v>42484</v>
      </c>
      <c r="F1062" s="4"/>
      <c r="G1062" s="3" t="s">
        <v>29</v>
      </c>
      <c r="H1062" s="5">
        <v>30959</v>
      </c>
      <c r="I1062" s="3" t="str">
        <f>VLOOKUP(Tabela1[[#This Row],[Advogado]],Tabela2[],2,FALSE)</f>
        <v>Caio Brito</v>
      </c>
      <c r="J1062" s="17">
        <f>IF(Tabela1[[#This Row],[Data de conclusão]]="",NETWORKDAYS(Tabela1[[#This Row],[Data de entrada]],$J$2),NETWORKDAYS(Tabela1[[#This Row],[Data de entrada]],Tabela1[[#This Row],[Data de conclusão]]))</f>
        <v>537</v>
      </c>
      <c r="K1062" s="1"/>
    </row>
    <row r="1063" spans="2:11" x14ac:dyDescent="0.25">
      <c r="B1063" s="3">
        <v>1170</v>
      </c>
      <c r="C1063" s="3" t="s">
        <v>7</v>
      </c>
      <c r="D1063" s="3" t="s">
        <v>13</v>
      </c>
      <c r="E1063" s="4">
        <v>42764</v>
      </c>
      <c r="F1063" s="4"/>
      <c r="G1063" s="3" t="s">
        <v>29</v>
      </c>
      <c r="H1063" s="5">
        <v>42013</v>
      </c>
      <c r="I1063" s="3" t="str">
        <f>VLOOKUP(Tabela1[[#This Row],[Advogado]],Tabela2[],2,FALSE)</f>
        <v>Caio Brito</v>
      </c>
      <c r="J1063" s="17">
        <f>IF(Tabela1[[#This Row],[Data de conclusão]]="",NETWORKDAYS(Tabela1[[#This Row],[Data de entrada]],$J$2),NETWORKDAYS(Tabela1[[#This Row],[Data de entrada]],Tabela1[[#This Row],[Data de conclusão]]))</f>
        <v>337</v>
      </c>
      <c r="K1063" s="1"/>
    </row>
    <row r="1064" spans="2:11" x14ac:dyDescent="0.25">
      <c r="B1064" s="3">
        <v>1171</v>
      </c>
      <c r="C1064" s="3" t="s">
        <v>8</v>
      </c>
      <c r="D1064" s="3" t="s">
        <v>14</v>
      </c>
      <c r="E1064" s="4">
        <v>42945</v>
      </c>
      <c r="F1064" s="4"/>
      <c r="G1064" s="3" t="s">
        <v>29</v>
      </c>
      <c r="H1064" s="5">
        <v>59471</v>
      </c>
      <c r="I1064" s="3" t="str">
        <f>VLOOKUP(Tabela1[[#This Row],[Advogado]],Tabela2[],2,FALSE)</f>
        <v>Renê Amaranto</v>
      </c>
      <c r="J1064" s="17">
        <f>IF(Tabela1[[#This Row],[Data de conclusão]]="",NETWORKDAYS(Tabela1[[#This Row],[Data de entrada]],$J$2),NETWORKDAYS(Tabela1[[#This Row],[Data de entrada]],Tabela1[[#This Row],[Data de conclusão]]))</f>
        <v>207</v>
      </c>
      <c r="K1064" s="1"/>
    </row>
    <row r="1065" spans="2:11" x14ac:dyDescent="0.25">
      <c r="B1065" s="3">
        <v>1172</v>
      </c>
      <c r="C1065" s="3" t="s">
        <v>9</v>
      </c>
      <c r="D1065" s="3" t="s">
        <v>15</v>
      </c>
      <c r="E1065" s="4">
        <v>42744</v>
      </c>
      <c r="F1065" s="4"/>
      <c r="G1065" s="3" t="s">
        <v>29</v>
      </c>
      <c r="H1065" s="5">
        <v>10654</v>
      </c>
      <c r="I1065" s="3" t="str">
        <f>VLOOKUP(Tabela1[[#This Row],[Advogado]],Tabela2[],2,FALSE)</f>
        <v>Renê Amaranto</v>
      </c>
      <c r="J1065" s="17">
        <f>IF(Tabela1[[#This Row],[Data de conclusão]]="",NETWORKDAYS(Tabela1[[#This Row],[Data de entrada]],$J$2),NETWORKDAYS(Tabela1[[#This Row],[Data de entrada]],Tabela1[[#This Row],[Data de conclusão]]))</f>
        <v>352</v>
      </c>
      <c r="K1065" s="1"/>
    </row>
    <row r="1066" spans="2:11" x14ac:dyDescent="0.25">
      <c r="B1066" s="3">
        <v>1173</v>
      </c>
      <c r="C1066" s="3" t="s">
        <v>7</v>
      </c>
      <c r="D1066" s="3" t="s">
        <v>16</v>
      </c>
      <c r="E1066" s="4">
        <v>42763</v>
      </c>
      <c r="F1066" s="4"/>
      <c r="G1066" s="3" t="s">
        <v>29</v>
      </c>
      <c r="H1066" s="5">
        <v>12599</v>
      </c>
      <c r="I1066" s="3" t="str">
        <f>VLOOKUP(Tabela1[[#This Row],[Advogado]],Tabela2[],2,FALSE)</f>
        <v>Renê Amaranto</v>
      </c>
      <c r="J1066" s="17">
        <f>IF(Tabela1[[#This Row],[Data de conclusão]]="",NETWORKDAYS(Tabela1[[#This Row],[Data de entrada]],$J$2),NETWORKDAYS(Tabela1[[#This Row],[Data de entrada]],Tabela1[[#This Row],[Data de conclusão]]))</f>
        <v>337</v>
      </c>
      <c r="K1066" s="1"/>
    </row>
    <row r="1067" spans="2:11" x14ac:dyDescent="0.25">
      <c r="B1067" s="3">
        <v>1174</v>
      </c>
      <c r="C1067" s="3" t="s">
        <v>8</v>
      </c>
      <c r="D1067" s="3" t="s">
        <v>17</v>
      </c>
      <c r="E1067" s="4">
        <v>42389</v>
      </c>
      <c r="F1067" s="4"/>
      <c r="G1067" s="3" t="s">
        <v>29</v>
      </c>
      <c r="H1067" s="5">
        <v>38861</v>
      </c>
      <c r="I1067" s="3" t="str">
        <f>VLOOKUP(Tabela1[[#This Row],[Advogado]],Tabela2[],2,FALSE)</f>
        <v>Renê Amaranto</v>
      </c>
      <c r="J1067" s="17">
        <f>IF(Tabela1[[#This Row],[Data de conclusão]]="",NETWORKDAYS(Tabela1[[#This Row],[Data de entrada]],$J$2),NETWORKDAYS(Tabela1[[#This Row],[Data de entrada]],Tabela1[[#This Row],[Data de conclusão]]))</f>
        <v>605</v>
      </c>
      <c r="K1067" s="1"/>
    </row>
    <row r="1068" spans="2:11" x14ac:dyDescent="0.25">
      <c r="B1068" s="3">
        <v>1175</v>
      </c>
      <c r="C1068" s="3" t="s">
        <v>9</v>
      </c>
      <c r="D1068" s="3" t="s">
        <v>10</v>
      </c>
      <c r="E1068" s="4">
        <v>43053</v>
      </c>
      <c r="F1068" s="4">
        <v>43122</v>
      </c>
      <c r="G1068" s="3" t="s">
        <v>28</v>
      </c>
      <c r="H1068" s="5">
        <v>27847</v>
      </c>
      <c r="I1068" s="3" t="str">
        <f>VLOOKUP(Tabela1[[#This Row],[Advogado]],Tabela2[],2,FALSE)</f>
        <v>Caio Brito</v>
      </c>
      <c r="J1068" s="17">
        <f>IF(Tabela1[[#This Row],[Data de conclusão]]="",NETWORKDAYS(Tabela1[[#This Row],[Data de entrada]],$J$2),NETWORKDAYS(Tabela1[[#This Row],[Data de entrada]],Tabela1[[#This Row],[Data de conclusão]]))</f>
        <v>50</v>
      </c>
      <c r="K1068" s="1"/>
    </row>
    <row r="1069" spans="2:11" x14ac:dyDescent="0.25">
      <c r="B1069" s="3">
        <v>1176</v>
      </c>
      <c r="C1069" s="3" t="s">
        <v>7</v>
      </c>
      <c r="D1069" s="3" t="s">
        <v>11</v>
      </c>
      <c r="E1069" s="4">
        <v>42724</v>
      </c>
      <c r="F1069" s="4"/>
      <c r="G1069" s="3" t="s">
        <v>27</v>
      </c>
      <c r="H1069" s="5">
        <v>7237</v>
      </c>
      <c r="I1069" s="3" t="str">
        <f>VLOOKUP(Tabela1[[#This Row],[Advogado]],Tabela2[],2,FALSE)</f>
        <v>Caio Brito</v>
      </c>
      <c r="J1069" s="17">
        <f>IF(Tabela1[[#This Row],[Data de conclusão]]="",NETWORKDAYS(Tabela1[[#This Row],[Data de entrada]],$J$2),NETWORKDAYS(Tabela1[[#This Row],[Data de entrada]],Tabela1[[#This Row],[Data de conclusão]]))</f>
        <v>366</v>
      </c>
      <c r="K1069" s="1"/>
    </row>
    <row r="1070" spans="2:11" x14ac:dyDescent="0.25">
      <c r="B1070" s="3">
        <v>1177</v>
      </c>
      <c r="C1070" s="3" t="s">
        <v>8</v>
      </c>
      <c r="D1070" s="3" t="s">
        <v>12</v>
      </c>
      <c r="E1070" s="4">
        <v>42506</v>
      </c>
      <c r="F1070" s="4"/>
      <c r="G1070" s="3" t="s">
        <v>29</v>
      </c>
      <c r="H1070" s="5">
        <v>27342</v>
      </c>
      <c r="I1070" s="3" t="str">
        <f>VLOOKUP(Tabela1[[#This Row],[Advogado]],Tabela2[],2,FALSE)</f>
        <v>Caio Brito</v>
      </c>
      <c r="J1070" s="17">
        <f>IF(Tabela1[[#This Row],[Data de conclusão]]="",NETWORKDAYS(Tabela1[[#This Row],[Data de entrada]],$J$2),NETWORKDAYS(Tabela1[[#This Row],[Data de entrada]],Tabela1[[#This Row],[Data de conclusão]]))</f>
        <v>522</v>
      </c>
      <c r="K1070" s="1"/>
    </row>
    <row r="1071" spans="2:11" x14ac:dyDescent="0.25">
      <c r="B1071" s="3">
        <v>1178</v>
      </c>
      <c r="C1071" s="3" t="s">
        <v>9</v>
      </c>
      <c r="D1071" s="3" t="s">
        <v>13</v>
      </c>
      <c r="E1071" s="4">
        <v>42518</v>
      </c>
      <c r="F1071" s="4"/>
      <c r="G1071" s="3" t="s">
        <v>29</v>
      </c>
      <c r="H1071" s="5">
        <v>47963</v>
      </c>
      <c r="I1071" s="3" t="str">
        <f>VLOOKUP(Tabela1[[#This Row],[Advogado]],Tabela2[],2,FALSE)</f>
        <v>Caio Brito</v>
      </c>
      <c r="J1071" s="17">
        <f>IF(Tabela1[[#This Row],[Data de conclusão]]="",NETWORKDAYS(Tabela1[[#This Row],[Data de entrada]],$J$2),NETWORKDAYS(Tabela1[[#This Row],[Data de entrada]],Tabela1[[#This Row],[Data de conclusão]]))</f>
        <v>512</v>
      </c>
      <c r="K1071" s="1"/>
    </row>
    <row r="1072" spans="2:11" x14ac:dyDescent="0.25">
      <c r="B1072" s="3">
        <v>1179</v>
      </c>
      <c r="C1072" s="3" t="s">
        <v>7</v>
      </c>
      <c r="D1072" s="3" t="s">
        <v>14</v>
      </c>
      <c r="E1072" s="4">
        <v>42742</v>
      </c>
      <c r="F1072" s="4"/>
      <c r="G1072" s="3" t="s">
        <v>29</v>
      </c>
      <c r="H1072" s="5">
        <v>55241</v>
      </c>
      <c r="I1072" s="3" t="str">
        <f>VLOOKUP(Tabela1[[#This Row],[Advogado]],Tabela2[],2,FALSE)</f>
        <v>Renê Amaranto</v>
      </c>
      <c r="J1072" s="17">
        <f>IF(Tabela1[[#This Row],[Data de conclusão]]="",NETWORKDAYS(Tabela1[[#This Row],[Data de entrada]],$J$2),NETWORKDAYS(Tabela1[[#This Row],[Data de entrada]],Tabela1[[#This Row],[Data de conclusão]]))</f>
        <v>352</v>
      </c>
      <c r="K1072" s="1"/>
    </row>
    <row r="1073" spans="2:11" x14ac:dyDescent="0.25">
      <c r="B1073" s="3">
        <v>1180</v>
      </c>
      <c r="C1073" s="3" t="s">
        <v>8</v>
      </c>
      <c r="D1073" s="3" t="s">
        <v>15</v>
      </c>
      <c r="E1073" s="4">
        <v>42661</v>
      </c>
      <c r="F1073" s="4"/>
      <c r="G1073" s="3" t="s">
        <v>29</v>
      </c>
      <c r="H1073" s="5">
        <v>44208</v>
      </c>
      <c r="I1073" s="3" t="str">
        <f>VLOOKUP(Tabela1[[#This Row],[Advogado]],Tabela2[],2,FALSE)</f>
        <v>Renê Amaranto</v>
      </c>
      <c r="J1073" s="17">
        <f>IF(Tabela1[[#This Row],[Data de conclusão]]="",NETWORKDAYS(Tabela1[[#This Row],[Data de entrada]],$J$2),NETWORKDAYS(Tabela1[[#This Row],[Data de entrada]],Tabela1[[#This Row],[Data de conclusão]]))</f>
        <v>411</v>
      </c>
      <c r="K1073" s="1"/>
    </row>
    <row r="1074" spans="2:11" x14ac:dyDescent="0.25">
      <c r="B1074" s="3">
        <v>1181</v>
      </c>
      <c r="C1074" s="3" t="s">
        <v>9</v>
      </c>
      <c r="D1074" s="3" t="s">
        <v>16</v>
      </c>
      <c r="E1074" s="4">
        <v>42581</v>
      </c>
      <c r="F1074" s="4"/>
      <c r="G1074" s="3" t="s">
        <v>29</v>
      </c>
      <c r="H1074" s="5">
        <v>5351</v>
      </c>
      <c r="I1074" s="3" t="str">
        <f>VLOOKUP(Tabela1[[#This Row],[Advogado]],Tabela2[],2,FALSE)</f>
        <v>Renê Amaranto</v>
      </c>
      <c r="J1074" s="17">
        <f>IF(Tabela1[[#This Row],[Data de conclusão]]="",NETWORKDAYS(Tabela1[[#This Row],[Data de entrada]],$J$2),NETWORKDAYS(Tabela1[[#This Row],[Data de entrada]],Tabela1[[#This Row],[Data de conclusão]]))</f>
        <v>467</v>
      </c>
      <c r="K1074" s="1"/>
    </row>
    <row r="1075" spans="2:11" x14ac:dyDescent="0.25">
      <c r="B1075" s="3">
        <v>1182</v>
      </c>
      <c r="C1075" s="3" t="s">
        <v>7</v>
      </c>
      <c r="D1075" s="3" t="s">
        <v>17</v>
      </c>
      <c r="E1075" s="4">
        <v>42783</v>
      </c>
      <c r="F1075" s="4"/>
      <c r="G1075" s="3" t="s">
        <v>29</v>
      </c>
      <c r="H1075" s="5">
        <v>18026</v>
      </c>
      <c r="I1075" s="3" t="str">
        <f>VLOOKUP(Tabela1[[#This Row],[Advogado]],Tabela2[],2,FALSE)</f>
        <v>Renê Amaranto</v>
      </c>
      <c r="J1075" s="17">
        <f>IF(Tabela1[[#This Row],[Data de conclusão]]="",NETWORKDAYS(Tabela1[[#This Row],[Data de entrada]],$J$2),NETWORKDAYS(Tabela1[[#This Row],[Data de entrada]],Tabela1[[#This Row],[Data de conclusão]]))</f>
        <v>323</v>
      </c>
      <c r="K1075" s="1"/>
    </row>
    <row r="1076" spans="2:11" x14ac:dyDescent="0.25">
      <c r="B1076" s="3">
        <v>1183</v>
      </c>
      <c r="C1076" s="3" t="s">
        <v>8</v>
      </c>
      <c r="D1076" s="3" t="s">
        <v>10</v>
      </c>
      <c r="E1076" s="4">
        <v>42624</v>
      </c>
      <c r="F1076" s="4"/>
      <c r="G1076" s="3" t="s">
        <v>29</v>
      </c>
      <c r="H1076" s="5">
        <v>47004</v>
      </c>
      <c r="I1076" s="3" t="str">
        <f>VLOOKUP(Tabela1[[#This Row],[Advogado]],Tabela2[],2,FALSE)</f>
        <v>Caio Brito</v>
      </c>
      <c r="J1076" s="17">
        <f>IF(Tabela1[[#This Row],[Data de conclusão]]="",NETWORKDAYS(Tabela1[[#This Row],[Data de entrada]],$J$2),NETWORKDAYS(Tabela1[[#This Row],[Data de entrada]],Tabela1[[#This Row],[Data de conclusão]]))</f>
        <v>437</v>
      </c>
      <c r="K1076" s="1"/>
    </row>
    <row r="1077" spans="2:11" x14ac:dyDescent="0.25">
      <c r="B1077" s="3">
        <v>1184</v>
      </c>
      <c r="C1077" s="3" t="s">
        <v>9</v>
      </c>
      <c r="D1077" s="3" t="s">
        <v>11</v>
      </c>
      <c r="E1077" s="4">
        <v>42723</v>
      </c>
      <c r="F1077" s="4"/>
      <c r="G1077" s="3" t="s">
        <v>29</v>
      </c>
      <c r="H1077" s="5">
        <v>9672</v>
      </c>
      <c r="I1077" s="3" t="str">
        <f>VLOOKUP(Tabela1[[#This Row],[Advogado]],Tabela2[],2,FALSE)</f>
        <v>Caio Brito</v>
      </c>
      <c r="J1077" s="17">
        <f>IF(Tabela1[[#This Row],[Data de conclusão]]="",NETWORKDAYS(Tabela1[[#This Row],[Data de entrada]],$J$2),NETWORKDAYS(Tabela1[[#This Row],[Data de entrada]],Tabela1[[#This Row],[Data de conclusão]]))</f>
        <v>367</v>
      </c>
      <c r="K1077" s="1"/>
    </row>
    <row r="1078" spans="2:11" x14ac:dyDescent="0.25">
      <c r="B1078" s="3">
        <v>1185</v>
      </c>
      <c r="C1078" s="3" t="s">
        <v>7</v>
      </c>
      <c r="D1078" s="3" t="s">
        <v>12</v>
      </c>
      <c r="E1078" s="4">
        <v>43076</v>
      </c>
      <c r="F1078" s="4"/>
      <c r="G1078" s="3" t="s">
        <v>29</v>
      </c>
      <c r="H1078" s="5">
        <v>22742</v>
      </c>
      <c r="I1078" s="3" t="str">
        <f>VLOOKUP(Tabela1[[#This Row],[Advogado]],Tabela2[],2,FALSE)</f>
        <v>Caio Brito</v>
      </c>
      <c r="J1078" s="17">
        <f>IF(Tabela1[[#This Row],[Data de conclusão]]="",NETWORKDAYS(Tabela1[[#This Row],[Data de entrada]],$J$2),NETWORKDAYS(Tabela1[[#This Row],[Data de entrada]],Tabela1[[#This Row],[Data de conclusão]]))</f>
        <v>114</v>
      </c>
      <c r="K1078" s="1"/>
    </row>
    <row r="1079" spans="2:11" x14ac:dyDescent="0.25">
      <c r="B1079" s="3">
        <v>1186</v>
      </c>
      <c r="C1079" s="3" t="s">
        <v>8</v>
      </c>
      <c r="D1079" s="3" t="s">
        <v>13</v>
      </c>
      <c r="E1079" s="4">
        <v>42623</v>
      </c>
      <c r="F1079" s="4"/>
      <c r="G1079" s="3" t="s">
        <v>29</v>
      </c>
      <c r="H1079" s="5">
        <v>14585</v>
      </c>
      <c r="I1079" s="3" t="str">
        <f>VLOOKUP(Tabela1[[#This Row],[Advogado]],Tabela2[],2,FALSE)</f>
        <v>Caio Brito</v>
      </c>
      <c r="J1079" s="17">
        <f>IF(Tabela1[[#This Row],[Data de conclusão]]="",NETWORKDAYS(Tabela1[[#This Row],[Data de entrada]],$J$2),NETWORKDAYS(Tabela1[[#This Row],[Data de entrada]],Tabela1[[#This Row],[Data de conclusão]]))</f>
        <v>437</v>
      </c>
      <c r="K1079" s="1"/>
    </row>
    <row r="1080" spans="2:11" x14ac:dyDescent="0.25">
      <c r="B1080" s="3">
        <v>1187</v>
      </c>
      <c r="C1080" s="3" t="s">
        <v>9</v>
      </c>
      <c r="D1080" s="3" t="s">
        <v>14</v>
      </c>
      <c r="E1080" s="4">
        <v>42452</v>
      </c>
      <c r="F1080" s="4"/>
      <c r="G1080" s="3" t="s">
        <v>29</v>
      </c>
      <c r="H1080" s="5">
        <v>1670</v>
      </c>
      <c r="I1080" s="3" t="str">
        <f>VLOOKUP(Tabela1[[#This Row],[Advogado]],Tabela2[],2,FALSE)</f>
        <v>Renê Amaranto</v>
      </c>
      <c r="J1080" s="17">
        <f>IF(Tabela1[[#This Row],[Data de conclusão]]="",NETWORKDAYS(Tabela1[[#This Row],[Data de entrada]],$J$2),NETWORKDAYS(Tabela1[[#This Row],[Data de entrada]],Tabela1[[#This Row],[Data de conclusão]]))</f>
        <v>560</v>
      </c>
      <c r="K1080" s="1"/>
    </row>
    <row r="1081" spans="2:11" x14ac:dyDescent="0.25">
      <c r="B1081" s="3">
        <v>1188</v>
      </c>
      <c r="C1081" s="3" t="s">
        <v>7</v>
      </c>
      <c r="D1081" s="3" t="s">
        <v>15</v>
      </c>
      <c r="E1081" s="4">
        <v>42749</v>
      </c>
      <c r="F1081" s="4">
        <v>42806</v>
      </c>
      <c r="G1081" s="3" t="s">
        <v>28</v>
      </c>
      <c r="H1081" s="5">
        <v>14366</v>
      </c>
      <c r="I1081" s="3" t="str">
        <f>VLOOKUP(Tabela1[[#This Row],[Advogado]],Tabela2[],2,FALSE)</f>
        <v>Renê Amaranto</v>
      </c>
      <c r="J1081" s="17">
        <f>IF(Tabela1[[#This Row],[Data de conclusão]]="",NETWORKDAYS(Tabela1[[#This Row],[Data de entrada]],$J$2),NETWORKDAYS(Tabela1[[#This Row],[Data de entrada]],Tabela1[[#This Row],[Data de conclusão]]))</f>
        <v>40</v>
      </c>
      <c r="K1081" s="1"/>
    </row>
    <row r="1082" spans="2:11" x14ac:dyDescent="0.25">
      <c r="B1082" s="3">
        <v>1189</v>
      </c>
      <c r="C1082" s="3" t="s">
        <v>8</v>
      </c>
      <c r="D1082" s="3" t="s">
        <v>16</v>
      </c>
      <c r="E1082" s="4">
        <v>42625</v>
      </c>
      <c r="F1082" s="4"/>
      <c r="G1082" s="3" t="s">
        <v>27</v>
      </c>
      <c r="H1082" s="5">
        <v>56164</v>
      </c>
      <c r="I1082" s="3" t="str">
        <f>VLOOKUP(Tabela1[[#This Row],[Advogado]],Tabela2[],2,FALSE)</f>
        <v>Renê Amaranto</v>
      </c>
      <c r="J1082" s="17">
        <f>IF(Tabela1[[#This Row],[Data de conclusão]]="",NETWORKDAYS(Tabela1[[#This Row],[Data de entrada]],$J$2),NETWORKDAYS(Tabela1[[#This Row],[Data de entrada]],Tabela1[[#This Row],[Data de conclusão]]))</f>
        <v>437</v>
      </c>
      <c r="K1082" s="1"/>
    </row>
    <row r="1083" spans="2:11" x14ac:dyDescent="0.25">
      <c r="B1083" s="3">
        <v>1190</v>
      </c>
      <c r="C1083" s="3" t="s">
        <v>9</v>
      </c>
      <c r="D1083" s="3" t="s">
        <v>17</v>
      </c>
      <c r="E1083" s="4">
        <v>42894</v>
      </c>
      <c r="F1083" s="4"/>
      <c r="G1083" s="3" t="s">
        <v>29</v>
      </c>
      <c r="H1083" s="5">
        <v>15842</v>
      </c>
      <c r="I1083" s="3" t="str">
        <f>VLOOKUP(Tabela1[[#This Row],[Advogado]],Tabela2[],2,FALSE)</f>
        <v>Renê Amaranto</v>
      </c>
      <c r="J1083" s="17">
        <f>IF(Tabela1[[#This Row],[Data de conclusão]]="",NETWORKDAYS(Tabela1[[#This Row],[Data de entrada]],$J$2),NETWORKDAYS(Tabela1[[#This Row],[Data de entrada]],Tabela1[[#This Row],[Data de conclusão]]))</f>
        <v>244</v>
      </c>
      <c r="K1083" s="1"/>
    </row>
    <row r="1084" spans="2:11" x14ac:dyDescent="0.25">
      <c r="B1084" s="3">
        <v>1191</v>
      </c>
      <c r="C1084" s="3" t="s">
        <v>7</v>
      </c>
      <c r="D1084" s="3" t="s">
        <v>10</v>
      </c>
      <c r="E1084" s="4">
        <v>42476</v>
      </c>
      <c r="F1084" s="4"/>
      <c r="G1084" s="3" t="s">
        <v>29</v>
      </c>
      <c r="H1084" s="5">
        <v>42319</v>
      </c>
      <c r="I1084" s="3" t="str">
        <f>VLOOKUP(Tabela1[[#This Row],[Advogado]],Tabela2[],2,FALSE)</f>
        <v>Caio Brito</v>
      </c>
      <c r="J1084" s="17">
        <f>IF(Tabela1[[#This Row],[Data de conclusão]]="",NETWORKDAYS(Tabela1[[#This Row],[Data de entrada]],$J$2),NETWORKDAYS(Tabela1[[#This Row],[Data de entrada]],Tabela1[[#This Row],[Data de conclusão]]))</f>
        <v>542</v>
      </c>
      <c r="K1084" s="1"/>
    </row>
    <row r="1085" spans="2:11" x14ac:dyDescent="0.25">
      <c r="B1085" s="3">
        <v>1192</v>
      </c>
      <c r="C1085" s="3" t="s">
        <v>8</v>
      </c>
      <c r="D1085" s="3" t="s">
        <v>11</v>
      </c>
      <c r="E1085" s="4">
        <v>43089</v>
      </c>
      <c r="F1085" s="4"/>
      <c r="G1085" s="3" t="s">
        <v>29</v>
      </c>
      <c r="H1085" s="5">
        <v>20783</v>
      </c>
      <c r="I1085" s="3" t="str">
        <f>VLOOKUP(Tabela1[[#This Row],[Advogado]],Tabela2[],2,FALSE)</f>
        <v>Caio Brito</v>
      </c>
      <c r="J1085" s="17">
        <f>IF(Tabela1[[#This Row],[Data de conclusão]]="",NETWORKDAYS(Tabela1[[#This Row],[Data de entrada]],$J$2),NETWORKDAYS(Tabela1[[#This Row],[Data de entrada]],Tabela1[[#This Row],[Data de conclusão]]))</f>
        <v>105</v>
      </c>
      <c r="K1085" s="1"/>
    </row>
    <row r="1086" spans="2:11" x14ac:dyDescent="0.25">
      <c r="B1086" s="3">
        <v>1193</v>
      </c>
      <c r="C1086" s="3" t="s">
        <v>9</v>
      </c>
      <c r="D1086" s="3" t="s">
        <v>12</v>
      </c>
      <c r="E1086" s="4">
        <v>42945</v>
      </c>
      <c r="F1086" s="4"/>
      <c r="G1086" s="3" t="s">
        <v>29</v>
      </c>
      <c r="H1086" s="5">
        <v>29441</v>
      </c>
      <c r="I1086" s="3" t="str">
        <f>VLOOKUP(Tabela1[[#This Row],[Advogado]],Tabela2[],2,FALSE)</f>
        <v>Caio Brito</v>
      </c>
      <c r="J1086" s="17">
        <f>IF(Tabela1[[#This Row],[Data de conclusão]]="",NETWORKDAYS(Tabela1[[#This Row],[Data de entrada]],$J$2),NETWORKDAYS(Tabela1[[#This Row],[Data de entrada]],Tabela1[[#This Row],[Data de conclusão]]))</f>
        <v>207</v>
      </c>
      <c r="K1086" s="1"/>
    </row>
    <row r="1087" spans="2:11" x14ac:dyDescent="0.25">
      <c r="B1087" s="3">
        <v>1194</v>
      </c>
      <c r="C1087" s="3" t="s">
        <v>7</v>
      </c>
      <c r="D1087" s="3" t="s">
        <v>13</v>
      </c>
      <c r="E1087" s="4">
        <v>43090</v>
      </c>
      <c r="F1087" s="4"/>
      <c r="G1087" s="3" t="s">
        <v>29</v>
      </c>
      <c r="H1087" s="5">
        <v>22472</v>
      </c>
      <c r="I1087" s="3" t="str">
        <f>VLOOKUP(Tabela1[[#This Row],[Advogado]],Tabela2[],2,FALSE)</f>
        <v>Caio Brito</v>
      </c>
      <c r="J1087" s="17">
        <f>IF(Tabela1[[#This Row],[Data de conclusão]]="",NETWORKDAYS(Tabela1[[#This Row],[Data de entrada]],$J$2),NETWORKDAYS(Tabela1[[#This Row],[Data de entrada]],Tabela1[[#This Row],[Data de conclusão]]))</f>
        <v>104</v>
      </c>
      <c r="K1087" s="1"/>
    </row>
    <row r="1088" spans="2:11" x14ac:dyDescent="0.25">
      <c r="B1088" s="3">
        <v>1195</v>
      </c>
      <c r="C1088" s="3" t="s">
        <v>8</v>
      </c>
      <c r="D1088" s="3" t="s">
        <v>14</v>
      </c>
      <c r="E1088" s="4">
        <v>42613</v>
      </c>
      <c r="F1088" s="4"/>
      <c r="G1088" s="3" t="s">
        <v>29</v>
      </c>
      <c r="H1088" s="5">
        <v>54856</v>
      </c>
      <c r="I1088" s="3" t="str">
        <f>VLOOKUP(Tabela1[[#This Row],[Advogado]],Tabela2[],2,FALSE)</f>
        <v>Renê Amaranto</v>
      </c>
      <c r="J1088" s="17">
        <f>IF(Tabela1[[#This Row],[Data de conclusão]]="",NETWORKDAYS(Tabela1[[#This Row],[Data de entrada]],$J$2),NETWORKDAYS(Tabela1[[#This Row],[Data de entrada]],Tabela1[[#This Row],[Data de conclusão]]))</f>
        <v>445</v>
      </c>
      <c r="K1088" s="1"/>
    </row>
    <row r="1089" spans="2:11" x14ac:dyDescent="0.25">
      <c r="B1089" s="3">
        <v>1196</v>
      </c>
      <c r="C1089" s="3" t="s">
        <v>9</v>
      </c>
      <c r="D1089" s="3" t="s">
        <v>15</v>
      </c>
      <c r="E1089" s="4">
        <v>42846</v>
      </c>
      <c r="F1089" s="4"/>
      <c r="G1089" s="3" t="s">
        <v>29</v>
      </c>
      <c r="H1089" s="5">
        <v>44739</v>
      </c>
      <c r="I1089" s="3" t="str">
        <f>VLOOKUP(Tabela1[[#This Row],[Advogado]],Tabela2[],2,FALSE)</f>
        <v>Renê Amaranto</v>
      </c>
      <c r="J1089" s="17">
        <f>IF(Tabela1[[#This Row],[Data de conclusão]]="",NETWORKDAYS(Tabela1[[#This Row],[Data de entrada]],$J$2),NETWORKDAYS(Tabela1[[#This Row],[Data de entrada]],Tabela1[[#This Row],[Data de conclusão]]))</f>
        <v>278</v>
      </c>
      <c r="K1089" s="1"/>
    </row>
    <row r="1090" spans="2:11" x14ac:dyDescent="0.25">
      <c r="B1090" s="3">
        <v>1197</v>
      </c>
      <c r="C1090" s="3" t="s">
        <v>7</v>
      </c>
      <c r="D1090" s="3" t="s">
        <v>16</v>
      </c>
      <c r="E1090" s="4">
        <v>42544</v>
      </c>
      <c r="F1090" s="4"/>
      <c r="G1090" s="3" t="s">
        <v>29</v>
      </c>
      <c r="H1090" s="5">
        <v>20956</v>
      </c>
      <c r="I1090" s="3" t="str">
        <f>VLOOKUP(Tabela1[[#This Row],[Advogado]],Tabela2[],2,FALSE)</f>
        <v>Renê Amaranto</v>
      </c>
      <c r="J1090" s="17">
        <f>IF(Tabela1[[#This Row],[Data de conclusão]]="",NETWORKDAYS(Tabela1[[#This Row],[Data de entrada]],$J$2),NETWORKDAYS(Tabela1[[#This Row],[Data de entrada]],Tabela1[[#This Row],[Data de conclusão]]))</f>
        <v>494</v>
      </c>
      <c r="K1090" s="1"/>
    </row>
    <row r="1091" spans="2:11" x14ac:dyDescent="0.25">
      <c r="B1091" s="3">
        <v>1198</v>
      </c>
      <c r="C1091" s="3" t="s">
        <v>8</v>
      </c>
      <c r="D1091" s="3" t="s">
        <v>17</v>
      </c>
      <c r="E1091" s="4">
        <v>42744</v>
      </c>
      <c r="F1091" s="4"/>
      <c r="G1091" s="3" t="s">
        <v>29</v>
      </c>
      <c r="H1091" s="5">
        <v>16370</v>
      </c>
      <c r="I1091" s="3" t="str">
        <f>VLOOKUP(Tabela1[[#This Row],[Advogado]],Tabela2[],2,FALSE)</f>
        <v>Renê Amaranto</v>
      </c>
      <c r="J1091" s="17">
        <f>IF(Tabela1[[#This Row],[Data de conclusão]]="",NETWORKDAYS(Tabela1[[#This Row],[Data de entrada]],$J$2),NETWORKDAYS(Tabela1[[#This Row],[Data de entrada]],Tabela1[[#This Row],[Data de conclusão]]))</f>
        <v>352</v>
      </c>
      <c r="K1091" s="1"/>
    </row>
    <row r="1092" spans="2:11" x14ac:dyDescent="0.25">
      <c r="B1092" s="3">
        <v>1199</v>
      </c>
      <c r="C1092" s="3" t="s">
        <v>9</v>
      </c>
      <c r="D1092" s="3" t="s">
        <v>10</v>
      </c>
      <c r="E1092" s="4">
        <v>42636</v>
      </c>
      <c r="F1092" s="4"/>
      <c r="G1092" s="3" t="s">
        <v>29</v>
      </c>
      <c r="H1092" s="5">
        <v>52177</v>
      </c>
      <c r="I1092" s="3" t="str">
        <f>VLOOKUP(Tabela1[[#This Row],[Advogado]],Tabela2[],2,FALSE)</f>
        <v>Caio Brito</v>
      </c>
      <c r="J1092" s="17">
        <f>IF(Tabela1[[#This Row],[Data de conclusão]]="",NETWORKDAYS(Tabela1[[#This Row],[Data de entrada]],$J$2),NETWORKDAYS(Tabela1[[#This Row],[Data de entrada]],Tabela1[[#This Row],[Data de conclusão]]))</f>
        <v>428</v>
      </c>
      <c r="K1092" s="1"/>
    </row>
    <row r="1093" spans="2:11" x14ac:dyDescent="0.25">
      <c r="B1093" s="3">
        <v>1200</v>
      </c>
      <c r="C1093" s="3" t="s">
        <v>7</v>
      </c>
      <c r="D1093" s="3" t="s">
        <v>11</v>
      </c>
      <c r="E1093" s="4">
        <v>42796</v>
      </c>
      <c r="F1093" s="4"/>
      <c r="G1093" s="3" t="s">
        <v>29</v>
      </c>
      <c r="H1093" s="5">
        <v>49143</v>
      </c>
      <c r="I1093" s="3" t="str">
        <f>VLOOKUP(Tabela1[[#This Row],[Advogado]],Tabela2[],2,FALSE)</f>
        <v>Caio Brito</v>
      </c>
      <c r="J1093" s="17">
        <f>IF(Tabela1[[#This Row],[Data de conclusão]]="",NETWORKDAYS(Tabela1[[#This Row],[Data de entrada]],$J$2),NETWORKDAYS(Tabela1[[#This Row],[Data de entrada]],Tabela1[[#This Row],[Data de conclusão]]))</f>
        <v>314</v>
      </c>
      <c r="K1093" s="1"/>
    </row>
    <row r="1094" spans="2:11" x14ac:dyDescent="0.25">
      <c r="B1094" s="3">
        <v>1201</v>
      </c>
      <c r="C1094" s="3" t="s">
        <v>8</v>
      </c>
      <c r="D1094" s="3" t="s">
        <v>12</v>
      </c>
      <c r="E1094" s="4">
        <v>42746</v>
      </c>
      <c r="F1094" s="4">
        <v>42810</v>
      </c>
      <c r="G1094" s="3" t="s">
        <v>28</v>
      </c>
      <c r="H1094" s="5">
        <v>54441</v>
      </c>
      <c r="I1094" s="3" t="str">
        <f>VLOOKUP(Tabela1[[#This Row],[Advogado]],Tabela2[],2,FALSE)</f>
        <v>Caio Brito</v>
      </c>
      <c r="J1094" s="17">
        <f>IF(Tabela1[[#This Row],[Data de conclusão]]="",NETWORKDAYS(Tabela1[[#This Row],[Data de entrada]],$J$2),NETWORKDAYS(Tabela1[[#This Row],[Data de entrada]],Tabela1[[#This Row],[Data de conclusão]]))</f>
        <v>47</v>
      </c>
      <c r="K1094" s="1"/>
    </row>
    <row r="1095" spans="2:11" x14ac:dyDescent="0.25">
      <c r="B1095" s="3">
        <v>1202</v>
      </c>
      <c r="C1095" s="3" t="s">
        <v>9</v>
      </c>
      <c r="D1095" s="3" t="s">
        <v>13</v>
      </c>
      <c r="E1095" s="4">
        <v>42411</v>
      </c>
      <c r="F1095" s="4"/>
      <c r="G1095" s="3" t="s">
        <v>27</v>
      </c>
      <c r="H1095" s="5">
        <v>33985</v>
      </c>
      <c r="I1095" s="3" t="str">
        <f>VLOOKUP(Tabela1[[#This Row],[Advogado]],Tabela2[],2,FALSE)</f>
        <v>Caio Brito</v>
      </c>
      <c r="J1095" s="17">
        <f>IF(Tabela1[[#This Row],[Data de conclusão]]="",NETWORKDAYS(Tabela1[[#This Row],[Data de entrada]],$J$2),NETWORKDAYS(Tabela1[[#This Row],[Data de entrada]],Tabela1[[#This Row],[Data de conclusão]]))</f>
        <v>589</v>
      </c>
      <c r="K1095" s="1"/>
    </row>
    <row r="1096" spans="2:11" x14ac:dyDescent="0.25">
      <c r="B1096" s="3">
        <v>1203</v>
      </c>
      <c r="C1096" s="3" t="s">
        <v>7</v>
      </c>
      <c r="D1096" s="3" t="s">
        <v>14</v>
      </c>
      <c r="E1096" s="4">
        <v>43076</v>
      </c>
      <c r="F1096" s="4"/>
      <c r="G1096" s="3" t="s">
        <v>29</v>
      </c>
      <c r="H1096" s="5">
        <v>53082</v>
      </c>
      <c r="I1096" s="3" t="str">
        <f>VLOOKUP(Tabela1[[#This Row],[Advogado]],Tabela2[],2,FALSE)</f>
        <v>Renê Amaranto</v>
      </c>
      <c r="J1096" s="17">
        <f>IF(Tabela1[[#This Row],[Data de conclusão]]="",NETWORKDAYS(Tabela1[[#This Row],[Data de entrada]],$J$2),NETWORKDAYS(Tabela1[[#This Row],[Data de entrada]],Tabela1[[#This Row],[Data de conclusão]]))</f>
        <v>114</v>
      </c>
      <c r="K1096" s="1"/>
    </row>
    <row r="1097" spans="2:11" x14ac:dyDescent="0.25">
      <c r="B1097" s="3">
        <v>1204</v>
      </c>
      <c r="C1097" s="3" t="s">
        <v>8</v>
      </c>
      <c r="D1097" s="3" t="s">
        <v>15</v>
      </c>
      <c r="E1097" s="4">
        <v>42866</v>
      </c>
      <c r="F1097" s="4"/>
      <c r="G1097" s="3" t="s">
        <v>29</v>
      </c>
      <c r="H1097" s="5">
        <v>6504</v>
      </c>
      <c r="I1097" s="3" t="str">
        <f>VLOOKUP(Tabela1[[#This Row],[Advogado]],Tabela2[],2,FALSE)</f>
        <v>Renê Amaranto</v>
      </c>
      <c r="J1097" s="17">
        <f>IF(Tabela1[[#This Row],[Data de conclusão]]="",NETWORKDAYS(Tabela1[[#This Row],[Data de entrada]],$J$2),NETWORKDAYS(Tabela1[[#This Row],[Data de entrada]],Tabela1[[#This Row],[Data de conclusão]]))</f>
        <v>264</v>
      </c>
      <c r="K1097" s="1"/>
    </row>
    <row r="1098" spans="2:11" x14ac:dyDescent="0.25">
      <c r="B1098" s="3">
        <v>1205</v>
      </c>
      <c r="C1098" s="3" t="s">
        <v>9</v>
      </c>
      <c r="D1098" s="3" t="s">
        <v>16</v>
      </c>
      <c r="E1098" s="4">
        <v>42773</v>
      </c>
      <c r="F1098" s="4"/>
      <c r="G1098" s="3" t="s">
        <v>29</v>
      </c>
      <c r="H1098" s="5">
        <v>49467</v>
      </c>
      <c r="I1098" s="3" t="str">
        <f>VLOOKUP(Tabela1[[#This Row],[Advogado]],Tabela2[],2,FALSE)</f>
        <v>Renê Amaranto</v>
      </c>
      <c r="J1098" s="17">
        <f>IF(Tabela1[[#This Row],[Data de conclusão]]="",NETWORKDAYS(Tabela1[[#This Row],[Data de entrada]],$J$2),NETWORKDAYS(Tabela1[[#This Row],[Data de entrada]],Tabela1[[#This Row],[Data de conclusão]]))</f>
        <v>331</v>
      </c>
      <c r="K1098" s="1"/>
    </row>
    <row r="1099" spans="2:11" x14ac:dyDescent="0.25">
      <c r="B1099" s="3">
        <v>1206</v>
      </c>
      <c r="C1099" s="3" t="s">
        <v>7</v>
      </c>
      <c r="D1099" s="3" t="s">
        <v>17</v>
      </c>
      <c r="E1099" s="4">
        <v>42826</v>
      </c>
      <c r="F1099" s="4"/>
      <c r="G1099" s="3" t="s">
        <v>29</v>
      </c>
      <c r="H1099" s="5">
        <v>43205</v>
      </c>
      <c r="I1099" s="3" t="str">
        <f>VLOOKUP(Tabela1[[#This Row],[Advogado]],Tabela2[],2,FALSE)</f>
        <v>Renê Amaranto</v>
      </c>
      <c r="J1099" s="17">
        <f>IF(Tabela1[[#This Row],[Data de conclusão]]="",NETWORKDAYS(Tabela1[[#This Row],[Data de entrada]],$J$2),NETWORKDAYS(Tabela1[[#This Row],[Data de entrada]],Tabela1[[#This Row],[Data de conclusão]]))</f>
        <v>292</v>
      </c>
      <c r="K1099" s="1"/>
    </row>
    <row r="1100" spans="2:11" x14ac:dyDescent="0.25">
      <c r="B1100" s="3">
        <v>1207</v>
      </c>
      <c r="C1100" s="3" t="s">
        <v>8</v>
      </c>
      <c r="D1100" s="3" t="s">
        <v>10</v>
      </c>
      <c r="E1100" s="4">
        <v>42738</v>
      </c>
      <c r="F1100" s="4"/>
      <c r="G1100" s="3" t="s">
        <v>29</v>
      </c>
      <c r="H1100" s="5">
        <v>47861</v>
      </c>
      <c r="I1100" s="3" t="str">
        <f>VLOOKUP(Tabela1[[#This Row],[Advogado]],Tabela2[],2,FALSE)</f>
        <v>Caio Brito</v>
      </c>
      <c r="J1100" s="17">
        <f>IF(Tabela1[[#This Row],[Data de conclusão]]="",NETWORKDAYS(Tabela1[[#This Row],[Data de entrada]],$J$2),NETWORKDAYS(Tabela1[[#This Row],[Data de entrada]],Tabela1[[#This Row],[Data de conclusão]]))</f>
        <v>356</v>
      </c>
      <c r="K1100" s="1"/>
    </row>
    <row r="1101" spans="2:11" x14ac:dyDescent="0.25">
      <c r="B1101" s="3">
        <v>1208</v>
      </c>
      <c r="C1101" s="3" t="s">
        <v>9</v>
      </c>
      <c r="D1101" s="3" t="s">
        <v>11</v>
      </c>
      <c r="E1101" s="4">
        <v>42939</v>
      </c>
      <c r="F1101" s="4"/>
      <c r="G1101" s="3" t="s">
        <v>29</v>
      </c>
      <c r="H1101" s="5">
        <v>5530</v>
      </c>
      <c r="I1101" s="3" t="str">
        <f>VLOOKUP(Tabela1[[#This Row],[Advogado]],Tabela2[],2,FALSE)</f>
        <v>Caio Brito</v>
      </c>
      <c r="J1101" s="17">
        <f>IF(Tabela1[[#This Row],[Data de conclusão]]="",NETWORKDAYS(Tabela1[[#This Row],[Data de entrada]],$J$2),NETWORKDAYS(Tabela1[[#This Row],[Data de entrada]],Tabela1[[#This Row],[Data de conclusão]]))</f>
        <v>212</v>
      </c>
      <c r="K1101" s="1"/>
    </row>
    <row r="1102" spans="2:11" x14ac:dyDescent="0.25">
      <c r="B1102" s="3">
        <v>1209</v>
      </c>
      <c r="C1102" s="3" t="s">
        <v>7</v>
      </c>
      <c r="D1102" s="3" t="s">
        <v>12</v>
      </c>
      <c r="E1102" s="4">
        <v>42481</v>
      </c>
      <c r="F1102" s="4"/>
      <c r="G1102" s="3" t="s">
        <v>29</v>
      </c>
      <c r="H1102" s="5">
        <v>4740</v>
      </c>
      <c r="I1102" s="3" t="str">
        <f>VLOOKUP(Tabela1[[#This Row],[Advogado]],Tabela2[],2,FALSE)</f>
        <v>Caio Brito</v>
      </c>
      <c r="J1102" s="17">
        <f>IF(Tabela1[[#This Row],[Data de conclusão]]="",NETWORKDAYS(Tabela1[[#This Row],[Data de entrada]],$J$2),NETWORKDAYS(Tabela1[[#This Row],[Data de entrada]],Tabela1[[#This Row],[Data de conclusão]]))</f>
        <v>539</v>
      </c>
      <c r="K1102" s="1"/>
    </row>
    <row r="1103" spans="2:11" x14ac:dyDescent="0.25">
      <c r="B1103" s="3">
        <v>1210</v>
      </c>
      <c r="C1103" s="3" t="s">
        <v>8</v>
      </c>
      <c r="D1103" s="3" t="s">
        <v>13</v>
      </c>
      <c r="E1103" s="4">
        <v>42900</v>
      </c>
      <c r="F1103" s="4"/>
      <c r="G1103" s="3" t="s">
        <v>29</v>
      </c>
      <c r="H1103" s="5">
        <v>39707</v>
      </c>
      <c r="I1103" s="3" t="str">
        <f>VLOOKUP(Tabela1[[#This Row],[Advogado]],Tabela2[],2,FALSE)</f>
        <v>Caio Brito</v>
      </c>
      <c r="J1103" s="17">
        <f>IF(Tabela1[[#This Row],[Data de conclusão]]="",NETWORKDAYS(Tabela1[[#This Row],[Data de entrada]],$J$2),NETWORKDAYS(Tabela1[[#This Row],[Data de entrada]],Tabela1[[#This Row],[Data de conclusão]]))</f>
        <v>240</v>
      </c>
      <c r="K1103" s="1"/>
    </row>
    <row r="1104" spans="2:11" x14ac:dyDescent="0.25">
      <c r="B1104" s="3">
        <v>1211</v>
      </c>
      <c r="C1104" s="3" t="s">
        <v>9</v>
      </c>
      <c r="D1104" s="3" t="s">
        <v>14</v>
      </c>
      <c r="E1104" s="4">
        <v>42496</v>
      </c>
      <c r="F1104" s="4"/>
      <c r="G1104" s="3" t="s">
        <v>29</v>
      </c>
      <c r="H1104" s="5">
        <v>45058</v>
      </c>
      <c r="I1104" s="3" t="str">
        <f>VLOOKUP(Tabela1[[#This Row],[Advogado]],Tabela2[],2,FALSE)</f>
        <v>Renê Amaranto</v>
      </c>
      <c r="J1104" s="17">
        <f>IF(Tabela1[[#This Row],[Data de conclusão]]="",NETWORKDAYS(Tabela1[[#This Row],[Data de entrada]],$J$2),NETWORKDAYS(Tabela1[[#This Row],[Data de entrada]],Tabela1[[#This Row],[Data de conclusão]]))</f>
        <v>528</v>
      </c>
      <c r="K1104" s="1"/>
    </row>
    <row r="1105" spans="2:11" x14ac:dyDescent="0.25">
      <c r="B1105" s="3">
        <v>1212</v>
      </c>
      <c r="C1105" s="3" t="s">
        <v>7</v>
      </c>
      <c r="D1105" s="3" t="s">
        <v>15</v>
      </c>
      <c r="E1105" s="4">
        <v>42581</v>
      </c>
      <c r="F1105" s="4"/>
      <c r="G1105" s="3" t="s">
        <v>29</v>
      </c>
      <c r="H1105" s="5">
        <v>25567</v>
      </c>
      <c r="I1105" s="3" t="str">
        <f>VLOOKUP(Tabela1[[#This Row],[Advogado]],Tabela2[],2,FALSE)</f>
        <v>Renê Amaranto</v>
      </c>
      <c r="J1105" s="17">
        <f>IF(Tabela1[[#This Row],[Data de conclusão]]="",NETWORKDAYS(Tabela1[[#This Row],[Data de entrada]],$J$2),NETWORKDAYS(Tabela1[[#This Row],[Data de entrada]],Tabela1[[#This Row],[Data de conclusão]]))</f>
        <v>467</v>
      </c>
      <c r="K1105" s="1"/>
    </row>
    <row r="1106" spans="2:11" x14ac:dyDescent="0.25">
      <c r="B1106" s="3">
        <v>1213</v>
      </c>
      <c r="C1106" s="3" t="s">
        <v>8</v>
      </c>
      <c r="D1106" s="3" t="s">
        <v>16</v>
      </c>
      <c r="E1106" s="4">
        <v>42572</v>
      </c>
      <c r="F1106" s="4"/>
      <c r="G1106" s="3" t="s">
        <v>29</v>
      </c>
      <c r="H1106" s="5">
        <v>9114</v>
      </c>
      <c r="I1106" s="3" t="str">
        <f>VLOOKUP(Tabela1[[#This Row],[Advogado]],Tabela2[],2,FALSE)</f>
        <v>Renê Amaranto</v>
      </c>
      <c r="J1106" s="17">
        <f>IF(Tabela1[[#This Row],[Data de conclusão]]="",NETWORKDAYS(Tabela1[[#This Row],[Data de entrada]],$J$2),NETWORKDAYS(Tabela1[[#This Row],[Data de entrada]],Tabela1[[#This Row],[Data de conclusão]]))</f>
        <v>474</v>
      </c>
      <c r="K1106" s="1"/>
    </row>
    <row r="1107" spans="2:11" x14ac:dyDescent="0.25">
      <c r="B1107" s="3">
        <v>1214</v>
      </c>
      <c r="C1107" s="3" t="s">
        <v>9</v>
      </c>
      <c r="D1107" s="3" t="s">
        <v>17</v>
      </c>
      <c r="E1107" s="4">
        <v>42682</v>
      </c>
      <c r="F1107" s="4">
        <v>42813</v>
      </c>
      <c r="G1107" s="3" t="s">
        <v>28</v>
      </c>
      <c r="H1107" s="5">
        <v>657</v>
      </c>
      <c r="I1107" s="3" t="str">
        <f>VLOOKUP(Tabela1[[#This Row],[Advogado]],Tabela2[],2,FALSE)</f>
        <v>Renê Amaranto</v>
      </c>
      <c r="J1107" s="17">
        <f>IF(Tabela1[[#This Row],[Data de conclusão]]="",NETWORKDAYS(Tabela1[[#This Row],[Data de entrada]],$J$2),NETWORKDAYS(Tabela1[[#This Row],[Data de entrada]],Tabela1[[#This Row],[Data de conclusão]]))</f>
        <v>94</v>
      </c>
      <c r="K1107" s="1"/>
    </row>
    <row r="1108" spans="2:11" x14ac:dyDescent="0.25">
      <c r="B1108" s="3">
        <v>1215</v>
      </c>
      <c r="C1108" s="3" t="s">
        <v>7</v>
      </c>
      <c r="D1108" s="3" t="s">
        <v>10</v>
      </c>
      <c r="E1108" s="4">
        <v>42539</v>
      </c>
      <c r="F1108" s="4"/>
      <c r="G1108" s="3" t="s">
        <v>27</v>
      </c>
      <c r="H1108" s="5">
        <v>59415</v>
      </c>
      <c r="I1108" s="3" t="str">
        <f>VLOOKUP(Tabela1[[#This Row],[Advogado]],Tabela2[],2,FALSE)</f>
        <v>Caio Brito</v>
      </c>
      <c r="J1108" s="17">
        <f>IF(Tabela1[[#This Row],[Data de conclusão]]="",NETWORKDAYS(Tabela1[[#This Row],[Data de entrada]],$J$2),NETWORKDAYS(Tabela1[[#This Row],[Data de entrada]],Tabela1[[#This Row],[Data de conclusão]]))</f>
        <v>497</v>
      </c>
      <c r="K1108" s="1"/>
    </row>
    <row r="1109" spans="2:11" x14ac:dyDescent="0.25">
      <c r="B1109" s="3">
        <v>1216</v>
      </c>
      <c r="C1109" s="3" t="s">
        <v>8</v>
      </c>
      <c r="D1109" s="3" t="s">
        <v>11</v>
      </c>
      <c r="E1109" s="4">
        <v>42670</v>
      </c>
      <c r="F1109" s="4"/>
      <c r="G1109" s="3" t="s">
        <v>29</v>
      </c>
      <c r="H1109" s="5">
        <v>14165</v>
      </c>
      <c r="I1109" s="3" t="str">
        <f>VLOOKUP(Tabela1[[#This Row],[Advogado]],Tabela2[],2,FALSE)</f>
        <v>Caio Brito</v>
      </c>
      <c r="J1109" s="17">
        <f>IF(Tabela1[[#This Row],[Data de conclusão]]="",NETWORKDAYS(Tabela1[[#This Row],[Data de entrada]],$J$2),NETWORKDAYS(Tabela1[[#This Row],[Data de entrada]],Tabela1[[#This Row],[Data de conclusão]]))</f>
        <v>404</v>
      </c>
      <c r="K1109" s="1"/>
    </row>
    <row r="1110" spans="2:11" x14ac:dyDescent="0.25">
      <c r="B1110" s="3">
        <v>1217</v>
      </c>
      <c r="C1110" s="3" t="s">
        <v>9</v>
      </c>
      <c r="D1110" s="3" t="s">
        <v>12</v>
      </c>
      <c r="E1110" s="4">
        <v>43018</v>
      </c>
      <c r="F1110" s="4"/>
      <c r="G1110" s="3" t="s">
        <v>29</v>
      </c>
      <c r="H1110" s="5">
        <v>27162</v>
      </c>
      <c r="I1110" s="3" t="str">
        <f>VLOOKUP(Tabela1[[#This Row],[Advogado]],Tabela2[],2,FALSE)</f>
        <v>Caio Brito</v>
      </c>
      <c r="J1110" s="17">
        <f>IF(Tabela1[[#This Row],[Data de conclusão]]="",NETWORKDAYS(Tabela1[[#This Row],[Data de entrada]],$J$2),NETWORKDAYS(Tabela1[[#This Row],[Data de entrada]],Tabela1[[#This Row],[Data de conclusão]]))</f>
        <v>156</v>
      </c>
      <c r="K1110" s="1"/>
    </row>
    <row r="1111" spans="2:11" x14ac:dyDescent="0.25">
      <c r="B1111" s="3">
        <v>1218</v>
      </c>
      <c r="C1111" s="3" t="s">
        <v>7</v>
      </c>
      <c r="D1111" s="3" t="s">
        <v>13</v>
      </c>
      <c r="E1111" s="4">
        <v>42912</v>
      </c>
      <c r="F1111" s="4"/>
      <c r="G1111" s="3" t="s">
        <v>29</v>
      </c>
      <c r="H1111" s="5">
        <v>33635</v>
      </c>
      <c r="I1111" s="3" t="str">
        <f>VLOOKUP(Tabela1[[#This Row],[Advogado]],Tabela2[],2,FALSE)</f>
        <v>Caio Brito</v>
      </c>
      <c r="J1111" s="17">
        <f>IF(Tabela1[[#This Row],[Data de conclusão]]="",NETWORKDAYS(Tabela1[[#This Row],[Data de entrada]],$J$2),NETWORKDAYS(Tabela1[[#This Row],[Data de entrada]],Tabela1[[#This Row],[Data de conclusão]]))</f>
        <v>232</v>
      </c>
      <c r="K1111" s="1"/>
    </row>
    <row r="1112" spans="2:11" x14ac:dyDescent="0.25">
      <c r="B1112" s="3">
        <v>1219</v>
      </c>
      <c r="C1112" s="3" t="s">
        <v>8</v>
      </c>
      <c r="D1112" s="3" t="s">
        <v>14</v>
      </c>
      <c r="E1112" s="4">
        <v>43066</v>
      </c>
      <c r="F1112" s="4"/>
      <c r="G1112" s="3" t="s">
        <v>29</v>
      </c>
      <c r="H1112" s="5">
        <v>32663</v>
      </c>
      <c r="I1112" s="3" t="str">
        <f>VLOOKUP(Tabela1[[#This Row],[Advogado]],Tabela2[],2,FALSE)</f>
        <v>Renê Amaranto</v>
      </c>
      <c r="J1112" s="17">
        <f>IF(Tabela1[[#This Row],[Data de conclusão]]="",NETWORKDAYS(Tabela1[[#This Row],[Data de entrada]],$J$2),NETWORKDAYS(Tabela1[[#This Row],[Data de entrada]],Tabela1[[#This Row],[Data de conclusão]]))</f>
        <v>122</v>
      </c>
      <c r="K1112" s="1"/>
    </row>
    <row r="1113" spans="2:11" x14ac:dyDescent="0.25">
      <c r="B1113" s="3">
        <v>1220</v>
      </c>
      <c r="C1113" s="3" t="s">
        <v>9</v>
      </c>
      <c r="D1113" s="3" t="s">
        <v>15</v>
      </c>
      <c r="E1113" s="4">
        <v>42934</v>
      </c>
      <c r="F1113" s="4"/>
      <c r="G1113" s="3" t="s">
        <v>29</v>
      </c>
      <c r="H1113" s="5">
        <v>31167</v>
      </c>
      <c r="I1113" s="3" t="str">
        <f>VLOOKUP(Tabela1[[#This Row],[Advogado]],Tabela2[],2,FALSE)</f>
        <v>Renê Amaranto</v>
      </c>
      <c r="J1113" s="17">
        <f>IF(Tabela1[[#This Row],[Data de conclusão]]="",NETWORKDAYS(Tabela1[[#This Row],[Data de entrada]],$J$2),NETWORKDAYS(Tabela1[[#This Row],[Data de entrada]],Tabela1[[#This Row],[Data de conclusão]]))</f>
        <v>216</v>
      </c>
      <c r="K1113" s="1"/>
    </row>
    <row r="1114" spans="2:11" x14ac:dyDescent="0.25">
      <c r="B1114" s="3">
        <v>1221</v>
      </c>
      <c r="C1114" s="3" t="s">
        <v>7</v>
      </c>
      <c r="D1114" s="3" t="s">
        <v>16</v>
      </c>
      <c r="E1114" s="4">
        <v>42717</v>
      </c>
      <c r="F1114" s="4"/>
      <c r="G1114" s="3" t="s">
        <v>29</v>
      </c>
      <c r="H1114" s="5">
        <v>26643</v>
      </c>
      <c r="I1114" s="3" t="str">
        <f>VLOOKUP(Tabela1[[#This Row],[Advogado]],Tabela2[],2,FALSE)</f>
        <v>Renê Amaranto</v>
      </c>
      <c r="J1114" s="17">
        <f>IF(Tabela1[[#This Row],[Data de conclusão]]="",NETWORKDAYS(Tabela1[[#This Row],[Data de entrada]],$J$2),NETWORKDAYS(Tabela1[[#This Row],[Data de entrada]],Tabela1[[#This Row],[Data de conclusão]]))</f>
        <v>371</v>
      </c>
      <c r="K1114" s="1"/>
    </row>
    <row r="1115" spans="2:11" x14ac:dyDescent="0.25">
      <c r="B1115" s="3">
        <v>1222</v>
      </c>
      <c r="C1115" s="3" t="s">
        <v>8</v>
      </c>
      <c r="D1115" s="3" t="s">
        <v>17</v>
      </c>
      <c r="E1115" s="4">
        <v>42581</v>
      </c>
      <c r="F1115" s="4"/>
      <c r="G1115" s="3" t="s">
        <v>29</v>
      </c>
      <c r="H1115" s="5">
        <v>32426</v>
      </c>
      <c r="I1115" s="3" t="str">
        <f>VLOOKUP(Tabela1[[#This Row],[Advogado]],Tabela2[],2,FALSE)</f>
        <v>Renê Amaranto</v>
      </c>
      <c r="J1115" s="17">
        <f>IF(Tabela1[[#This Row],[Data de conclusão]]="",NETWORKDAYS(Tabela1[[#This Row],[Data de entrada]],$J$2),NETWORKDAYS(Tabela1[[#This Row],[Data de entrada]],Tabela1[[#This Row],[Data de conclusão]]))</f>
        <v>467</v>
      </c>
      <c r="K1115" s="1"/>
    </row>
    <row r="1116" spans="2:11" x14ac:dyDescent="0.25">
      <c r="B1116" s="3">
        <v>1223</v>
      </c>
      <c r="C1116" s="3" t="s">
        <v>9</v>
      </c>
      <c r="D1116" s="3" t="s">
        <v>10</v>
      </c>
      <c r="E1116" s="4">
        <v>42776</v>
      </c>
      <c r="F1116" s="4"/>
      <c r="G1116" s="3" t="s">
        <v>29</v>
      </c>
      <c r="H1116" s="5">
        <v>19660</v>
      </c>
      <c r="I1116" s="3" t="str">
        <f>VLOOKUP(Tabela1[[#This Row],[Advogado]],Tabela2[],2,FALSE)</f>
        <v>Caio Brito</v>
      </c>
      <c r="J1116" s="17">
        <f>IF(Tabela1[[#This Row],[Data de conclusão]]="",NETWORKDAYS(Tabela1[[#This Row],[Data de entrada]],$J$2),NETWORKDAYS(Tabela1[[#This Row],[Data de entrada]],Tabela1[[#This Row],[Data de conclusão]]))</f>
        <v>328</v>
      </c>
      <c r="K1116" s="1"/>
    </row>
    <row r="1117" spans="2:11" x14ac:dyDescent="0.25">
      <c r="B1117" s="3">
        <v>1224</v>
      </c>
      <c r="C1117" s="3" t="s">
        <v>7</v>
      </c>
      <c r="D1117" s="3" t="s">
        <v>11</v>
      </c>
      <c r="E1117" s="4">
        <v>42584</v>
      </c>
      <c r="F1117" s="4"/>
      <c r="G1117" s="3" t="s">
        <v>29</v>
      </c>
      <c r="H1117" s="5">
        <v>54470</v>
      </c>
      <c r="I1117" s="3" t="str">
        <f>VLOOKUP(Tabela1[[#This Row],[Advogado]],Tabela2[],2,FALSE)</f>
        <v>Caio Brito</v>
      </c>
      <c r="J1117" s="17">
        <f>IF(Tabela1[[#This Row],[Data de conclusão]]="",NETWORKDAYS(Tabela1[[#This Row],[Data de entrada]],$J$2),NETWORKDAYS(Tabela1[[#This Row],[Data de entrada]],Tabela1[[#This Row],[Data de conclusão]]))</f>
        <v>466</v>
      </c>
      <c r="K1117" s="1"/>
    </row>
    <row r="1118" spans="2:11" x14ac:dyDescent="0.25">
      <c r="B1118" s="3">
        <v>1225</v>
      </c>
      <c r="C1118" s="3" t="s">
        <v>8</v>
      </c>
      <c r="D1118" s="3" t="s">
        <v>12</v>
      </c>
      <c r="E1118" s="4">
        <v>42811</v>
      </c>
      <c r="F1118" s="4"/>
      <c r="G1118" s="3" t="s">
        <v>29</v>
      </c>
      <c r="H1118" s="5">
        <v>12196</v>
      </c>
      <c r="I1118" s="3" t="str">
        <f>VLOOKUP(Tabela1[[#This Row],[Advogado]],Tabela2[],2,FALSE)</f>
        <v>Caio Brito</v>
      </c>
      <c r="J1118" s="17">
        <f>IF(Tabela1[[#This Row],[Data de conclusão]]="",NETWORKDAYS(Tabela1[[#This Row],[Data de entrada]],$J$2),NETWORKDAYS(Tabela1[[#This Row],[Data de entrada]],Tabela1[[#This Row],[Data de conclusão]]))</f>
        <v>303</v>
      </c>
      <c r="K1118" s="1"/>
    </row>
    <row r="1119" spans="2:11" x14ac:dyDescent="0.25">
      <c r="B1119" s="3">
        <v>1226</v>
      </c>
      <c r="C1119" s="3" t="s">
        <v>9</v>
      </c>
      <c r="D1119" s="3" t="s">
        <v>13</v>
      </c>
      <c r="E1119" s="4">
        <v>43064</v>
      </c>
      <c r="F1119" s="4"/>
      <c r="G1119" s="3" t="s">
        <v>29</v>
      </c>
      <c r="H1119" s="5">
        <v>12248</v>
      </c>
      <c r="I1119" s="3" t="str">
        <f>VLOOKUP(Tabela1[[#This Row],[Advogado]],Tabela2[],2,FALSE)</f>
        <v>Caio Brito</v>
      </c>
      <c r="J1119" s="17">
        <f>IF(Tabela1[[#This Row],[Data de conclusão]]="",NETWORKDAYS(Tabela1[[#This Row],[Data de entrada]],$J$2),NETWORKDAYS(Tabela1[[#This Row],[Data de entrada]],Tabela1[[#This Row],[Data de conclusão]]))</f>
        <v>122</v>
      </c>
      <c r="K1119" s="1"/>
    </row>
    <row r="1120" spans="2:11" x14ac:dyDescent="0.25">
      <c r="B1120" s="3">
        <v>1227</v>
      </c>
      <c r="C1120" s="3" t="s">
        <v>7</v>
      </c>
      <c r="D1120" s="3" t="s">
        <v>14</v>
      </c>
      <c r="E1120" s="4">
        <v>42807</v>
      </c>
      <c r="F1120" s="4">
        <v>42961</v>
      </c>
      <c r="G1120" s="3" t="s">
        <v>28</v>
      </c>
      <c r="H1120" s="5">
        <v>19463</v>
      </c>
      <c r="I1120" s="3" t="str">
        <f>VLOOKUP(Tabela1[[#This Row],[Advogado]],Tabela2[],2,FALSE)</f>
        <v>Renê Amaranto</v>
      </c>
      <c r="J1120" s="17">
        <f>IF(Tabela1[[#This Row],[Data de conclusão]]="",NETWORKDAYS(Tabela1[[#This Row],[Data de entrada]],$J$2),NETWORKDAYS(Tabela1[[#This Row],[Data de entrada]],Tabela1[[#This Row],[Data de conclusão]]))</f>
        <v>111</v>
      </c>
      <c r="K1120" s="1"/>
    </row>
    <row r="1121" spans="2:11" x14ac:dyDescent="0.25">
      <c r="B1121" s="3">
        <v>1228</v>
      </c>
      <c r="C1121" s="3" t="s">
        <v>8</v>
      </c>
      <c r="D1121" s="3" t="s">
        <v>15</v>
      </c>
      <c r="E1121" s="4">
        <v>42675</v>
      </c>
      <c r="F1121" s="4"/>
      <c r="G1121" s="3" t="s">
        <v>27</v>
      </c>
      <c r="H1121" s="5">
        <v>30685</v>
      </c>
      <c r="I1121" s="3" t="str">
        <f>VLOOKUP(Tabela1[[#This Row],[Advogado]],Tabela2[],2,FALSE)</f>
        <v>Renê Amaranto</v>
      </c>
      <c r="J1121" s="17">
        <f>IF(Tabela1[[#This Row],[Data de conclusão]]="",NETWORKDAYS(Tabela1[[#This Row],[Data de entrada]],$J$2),NETWORKDAYS(Tabela1[[#This Row],[Data de entrada]],Tabela1[[#This Row],[Data de conclusão]]))</f>
        <v>401</v>
      </c>
      <c r="K1121" s="1"/>
    </row>
    <row r="1122" spans="2:11" x14ac:dyDescent="0.25">
      <c r="B1122" s="3">
        <v>1229</v>
      </c>
      <c r="C1122" s="3" t="s">
        <v>9</v>
      </c>
      <c r="D1122" s="3" t="s">
        <v>16</v>
      </c>
      <c r="E1122" s="4">
        <v>42505</v>
      </c>
      <c r="F1122" s="4"/>
      <c r="G1122" s="3" t="s">
        <v>29</v>
      </c>
      <c r="H1122" s="5">
        <v>22772</v>
      </c>
      <c r="I1122" s="3" t="str">
        <f>VLOOKUP(Tabela1[[#This Row],[Advogado]],Tabela2[],2,FALSE)</f>
        <v>Renê Amaranto</v>
      </c>
      <c r="J1122" s="17">
        <f>IF(Tabela1[[#This Row],[Data de conclusão]]="",NETWORKDAYS(Tabela1[[#This Row],[Data de entrada]],$J$2),NETWORKDAYS(Tabela1[[#This Row],[Data de entrada]],Tabela1[[#This Row],[Data de conclusão]]))</f>
        <v>522</v>
      </c>
      <c r="K1122" s="1"/>
    </row>
    <row r="1123" spans="2:11" x14ac:dyDescent="0.25">
      <c r="B1123" s="3">
        <v>1230</v>
      </c>
      <c r="C1123" s="3" t="s">
        <v>7</v>
      </c>
      <c r="D1123" s="3" t="s">
        <v>17</v>
      </c>
      <c r="E1123" s="4">
        <v>42884</v>
      </c>
      <c r="F1123" s="4"/>
      <c r="G1123" s="3" t="s">
        <v>29</v>
      </c>
      <c r="H1123" s="5">
        <v>45474</v>
      </c>
      <c r="I1123" s="3" t="str">
        <f>VLOOKUP(Tabela1[[#This Row],[Advogado]],Tabela2[],2,FALSE)</f>
        <v>Renê Amaranto</v>
      </c>
      <c r="J1123" s="17">
        <f>IF(Tabela1[[#This Row],[Data de conclusão]]="",NETWORKDAYS(Tabela1[[#This Row],[Data de entrada]],$J$2),NETWORKDAYS(Tabela1[[#This Row],[Data de entrada]],Tabela1[[#This Row],[Data de conclusão]]))</f>
        <v>252</v>
      </c>
      <c r="K1123" s="1"/>
    </row>
    <row r="1124" spans="2:11" x14ac:dyDescent="0.25">
      <c r="B1124" s="3">
        <v>1231</v>
      </c>
      <c r="C1124" s="3" t="s">
        <v>8</v>
      </c>
      <c r="D1124" s="3" t="s">
        <v>10</v>
      </c>
      <c r="E1124" s="4">
        <v>42381</v>
      </c>
      <c r="F1124" s="4"/>
      <c r="G1124" s="3" t="s">
        <v>29</v>
      </c>
      <c r="H1124" s="5">
        <v>28966</v>
      </c>
      <c r="I1124" s="3" t="str">
        <f>VLOOKUP(Tabela1[[#This Row],[Advogado]],Tabela2[],2,FALSE)</f>
        <v>Caio Brito</v>
      </c>
      <c r="J1124" s="17">
        <f>IF(Tabela1[[#This Row],[Data de conclusão]]="",NETWORKDAYS(Tabela1[[#This Row],[Data de entrada]],$J$2),NETWORKDAYS(Tabela1[[#This Row],[Data de entrada]],Tabela1[[#This Row],[Data de conclusão]]))</f>
        <v>611</v>
      </c>
      <c r="K1124" s="1"/>
    </row>
    <row r="1125" spans="2:11" x14ac:dyDescent="0.25">
      <c r="B1125" s="3">
        <v>1232</v>
      </c>
      <c r="C1125" s="3" t="s">
        <v>9</v>
      </c>
      <c r="D1125" s="3" t="s">
        <v>11</v>
      </c>
      <c r="E1125" s="4">
        <v>42606</v>
      </c>
      <c r="F1125" s="4"/>
      <c r="G1125" s="3" t="s">
        <v>29</v>
      </c>
      <c r="H1125" s="5">
        <v>15752</v>
      </c>
      <c r="I1125" s="3" t="str">
        <f>VLOOKUP(Tabela1[[#This Row],[Advogado]],Tabela2[],2,FALSE)</f>
        <v>Caio Brito</v>
      </c>
      <c r="J1125" s="17">
        <f>IF(Tabela1[[#This Row],[Data de conclusão]]="",NETWORKDAYS(Tabela1[[#This Row],[Data de entrada]],$J$2),NETWORKDAYS(Tabela1[[#This Row],[Data de entrada]],Tabela1[[#This Row],[Data de conclusão]]))</f>
        <v>450</v>
      </c>
      <c r="K1125" s="1"/>
    </row>
    <row r="1126" spans="2:11" x14ac:dyDescent="0.25">
      <c r="B1126" s="3">
        <v>1233</v>
      </c>
      <c r="C1126" s="3" t="s">
        <v>7</v>
      </c>
      <c r="D1126" s="3" t="s">
        <v>12</v>
      </c>
      <c r="E1126" s="4">
        <v>42461</v>
      </c>
      <c r="F1126" s="4"/>
      <c r="G1126" s="3" t="s">
        <v>29</v>
      </c>
      <c r="H1126" s="5">
        <v>45600</v>
      </c>
      <c r="I1126" s="3" t="str">
        <f>VLOOKUP(Tabela1[[#This Row],[Advogado]],Tabela2[],2,FALSE)</f>
        <v>Caio Brito</v>
      </c>
      <c r="J1126" s="17">
        <f>IF(Tabela1[[#This Row],[Data de conclusão]]="",NETWORKDAYS(Tabela1[[#This Row],[Data de entrada]],$J$2),NETWORKDAYS(Tabela1[[#This Row],[Data de entrada]],Tabela1[[#This Row],[Data de conclusão]]))</f>
        <v>553</v>
      </c>
      <c r="K1126" s="1"/>
    </row>
    <row r="1127" spans="2:11" x14ac:dyDescent="0.25">
      <c r="B1127" s="3">
        <v>1234</v>
      </c>
      <c r="C1127" s="3" t="s">
        <v>8</v>
      </c>
      <c r="D1127" s="3" t="s">
        <v>13</v>
      </c>
      <c r="E1127" s="4">
        <v>43070</v>
      </c>
      <c r="F1127" s="4"/>
      <c r="G1127" s="3" t="s">
        <v>29</v>
      </c>
      <c r="H1127" s="5">
        <v>40202</v>
      </c>
      <c r="I1127" s="3" t="str">
        <f>VLOOKUP(Tabela1[[#This Row],[Advogado]],Tabela2[],2,FALSE)</f>
        <v>Caio Brito</v>
      </c>
      <c r="J1127" s="17">
        <f>IF(Tabela1[[#This Row],[Data de conclusão]]="",NETWORKDAYS(Tabela1[[#This Row],[Data de entrada]],$J$2),NETWORKDAYS(Tabela1[[#This Row],[Data de entrada]],Tabela1[[#This Row],[Data de conclusão]]))</f>
        <v>118</v>
      </c>
      <c r="K1127" s="1"/>
    </row>
    <row r="1128" spans="2:11" x14ac:dyDescent="0.25">
      <c r="B1128" s="3">
        <v>1235</v>
      </c>
      <c r="C1128" s="3" t="s">
        <v>9</v>
      </c>
      <c r="D1128" s="3" t="s">
        <v>14</v>
      </c>
      <c r="E1128" s="4">
        <v>42460</v>
      </c>
      <c r="F1128" s="4"/>
      <c r="G1128" s="3" t="s">
        <v>29</v>
      </c>
      <c r="H1128" s="5">
        <v>56362</v>
      </c>
      <c r="I1128" s="3" t="str">
        <f>VLOOKUP(Tabela1[[#This Row],[Advogado]],Tabela2[],2,FALSE)</f>
        <v>Renê Amaranto</v>
      </c>
      <c r="J1128" s="17">
        <f>IF(Tabela1[[#This Row],[Data de conclusão]]="",NETWORKDAYS(Tabela1[[#This Row],[Data de entrada]],$J$2),NETWORKDAYS(Tabela1[[#This Row],[Data de entrada]],Tabela1[[#This Row],[Data de conclusão]]))</f>
        <v>554</v>
      </c>
      <c r="K1128" s="1"/>
    </row>
    <row r="1129" spans="2:11" x14ac:dyDescent="0.25">
      <c r="B1129" s="3">
        <v>1236</v>
      </c>
      <c r="C1129" s="3" t="s">
        <v>7</v>
      </c>
      <c r="D1129" s="3" t="s">
        <v>15</v>
      </c>
      <c r="E1129" s="4">
        <v>42660</v>
      </c>
      <c r="F1129" s="4"/>
      <c r="G1129" s="3" t="s">
        <v>29</v>
      </c>
      <c r="H1129" s="5">
        <v>11385</v>
      </c>
      <c r="I1129" s="3" t="str">
        <f>VLOOKUP(Tabela1[[#This Row],[Advogado]],Tabela2[],2,FALSE)</f>
        <v>Renê Amaranto</v>
      </c>
      <c r="J1129" s="17">
        <f>IF(Tabela1[[#This Row],[Data de conclusão]]="",NETWORKDAYS(Tabela1[[#This Row],[Data de entrada]],$J$2),NETWORKDAYS(Tabela1[[#This Row],[Data de entrada]],Tabela1[[#This Row],[Data de conclusão]]))</f>
        <v>412</v>
      </c>
      <c r="K1129" s="1"/>
    </row>
    <row r="1130" spans="2:11" x14ac:dyDescent="0.25">
      <c r="B1130" s="3">
        <v>1237</v>
      </c>
      <c r="C1130" s="3" t="s">
        <v>8</v>
      </c>
      <c r="D1130" s="3" t="s">
        <v>16</v>
      </c>
      <c r="E1130" s="4">
        <v>42585</v>
      </c>
      <c r="F1130" s="4"/>
      <c r="G1130" s="3" t="s">
        <v>29</v>
      </c>
      <c r="H1130" s="5">
        <v>51839</v>
      </c>
      <c r="I1130" s="3" t="str">
        <f>VLOOKUP(Tabela1[[#This Row],[Advogado]],Tabela2[],2,FALSE)</f>
        <v>Renê Amaranto</v>
      </c>
      <c r="J1130" s="17">
        <f>IF(Tabela1[[#This Row],[Data de conclusão]]="",NETWORKDAYS(Tabela1[[#This Row],[Data de entrada]],$J$2),NETWORKDAYS(Tabela1[[#This Row],[Data de entrada]],Tabela1[[#This Row],[Data de conclusão]]))</f>
        <v>465</v>
      </c>
      <c r="K1130" s="1"/>
    </row>
    <row r="1131" spans="2:11" x14ac:dyDescent="0.25">
      <c r="B1131" s="3">
        <v>1238</v>
      </c>
      <c r="C1131" s="3" t="s">
        <v>9</v>
      </c>
      <c r="D1131" s="3" t="s">
        <v>17</v>
      </c>
      <c r="E1131" s="4">
        <v>42670</v>
      </c>
      <c r="F1131" s="4"/>
      <c r="G1131" s="3" t="s">
        <v>29</v>
      </c>
      <c r="H1131" s="5">
        <v>52734</v>
      </c>
      <c r="I1131" s="3" t="str">
        <f>VLOOKUP(Tabela1[[#This Row],[Advogado]],Tabela2[],2,FALSE)</f>
        <v>Renê Amaranto</v>
      </c>
      <c r="J1131" s="17">
        <f>IF(Tabela1[[#This Row],[Data de conclusão]]="",NETWORKDAYS(Tabela1[[#This Row],[Data de entrada]],$J$2),NETWORKDAYS(Tabela1[[#This Row],[Data de entrada]],Tabela1[[#This Row],[Data de conclusão]]))</f>
        <v>404</v>
      </c>
      <c r="K1131" s="1"/>
    </row>
    <row r="1132" spans="2:11" x14ac:dyDescent="0.25">
      <c r="B1132" s="3">
        <v>1239</v>
      </c>
      <c r="C1132" s="3" t="s">
        <v>7</v>
      </c>
      <c r="D1132" s="3" t="s">
        <v>10</v>
      </c>
      <c r="E1132" s="4">
        <v>43025</v>
      </c>
      <c r="F1132" s="4"/>
      <c r="G1132" s="3" t="s">
        <v>29</v>
      </c>
      <c r="H1132" s="5">
        <v>8807</v>
      </c>
      <c r="I1132" s="3" t="str">
        <f>VLOOKUP(Tabela1[[#This Row],[Advogado]],Tabela2[],2,FALSE)</f>
        <v>Caio Brito</v>
      </c>
      <c r="J1132" s="17">
        <f>IF(Tabela1[[#This Row],[Data de conclusão]]="",NETWORKDAYS(Tabela1[[#This Row],[Data de entrada]],$J$2),NETWORKDAYS(Tabela1[[#This Row],[Data de entrada]],Tabela1[[#This Row],[Data de conclusão]]))</f>
        <v>151</v>
      </c>
      <c r="K1132" s="1"/>
    </row>
    <row r="1133" spans="2:11" x14ac:dyDescent="0.25">
      <c r="B1133" s="3">
        <v>1240</v>
      </c>
      <c r="C1133" s="3" t="s">
        <v>8</v>
      </c>
      <c r="D1133" s="3" t="s">
        <v>11</v>
      </c>
      <c r="E1133" s="4">
        <v>42700</v>
      </c>
      <c r="F1133" s="4">
        <v>42788</v>
      </c>
      <c r="G1133" s="3" t="s">
        <v>28</v>
      </c>
      <c r="H1133" s="5">
        <v>5408</v>
      </c>
      <c r="I1133" s="3" t="str">
        <f>VLOOKUP(Tabela1[[#This Row],[Advogado]],Tabela2[],2,FALSE)</f>
        <v>Caio Brito</v>
      </c>
      <c r="J1133" s="17">
        <f>IF(Tabela1[[#This Row],[Data de conclusão]]="",NETWORKDAYS(Tabela1[[#This Row],[Data de entrada]],$J$2),NETWORKDAYS(Tabela1[[#This Row],[Data de entrada]],Tabela1[[#This Row],[Data de conclusão]]))</f>
        <v>63</v>
      </c>
      <c r="K1133" s="1"/>
    </row>
    <row r="1134" spans="2:11" x14ac:dyDescent="0.25">
      <c r="B1134" s="3">
        <v>1241</v>
      </c>
      <c r="C1134" s="3" t="s">
        <v>9</v>
      </c>
      <c r="D1134" s="3" t="s">
        <v>12</v>
      </c>
      <c r="E1134" s="4">
        <v>42513</v>
      </c>
      <c r="F1134" s="4"/>
      <c r="G1134" s="3" t="s">
        <v>27</v>
      </c>
      <c r="H1134" s="5">
        <v>54752</v>
      </c>
      <c r="I1134" s="3" t="str">
        <f>VLOOKUP(Tabela1[[#This Row],[Advogado]],Tabela2[],2,FALSE)</f>
        <v>Caio Brito</v>
      </c>
      <c r="J1134" s="17">
        <f>IF(Tabela1[[#This Row],[Data de conclusão]]="",NETWORKDAYS(Tabela1[[#This Row],[Data de entrada]],$J$2),NETWORKDAYS(Tabela1[[#This Row],[Data de entrada]],Tabela1[[#This Row],[Data de conclusão]]))</f>
        <v>517</v>
      </c>
      <c r="K1134" s="1"/>
    </row>
    <row r="1135" spans="2:11" x14ac:dyDescent="0.25">
      <c r="B1135" s="3">
        <v>1242</v>
      </c>
      <c r="C1135" s="3" t="s">
        <v>7</v>
      </c>
      <c r="D1135" s="3" t="s">
        <v>13</v>
      </c>
      <c r="E1135" s="4">
        <v>42404</v>
      </c>
      <c r="F1135" s="4"/>
      <c r="G1135" s="3" t="s">
        <v>29</v>
      </c>
      <c r="H1135" s="5">
        <v>46108</v>
      </c>
      <c r="I1135" s="3" t="str">
        <f>VLOOKUP(Tabela1[[#This Row],[Advogado]],Tabela2[],2,FALSE)</f>
        <v>Caio Brito</v>
      </c>
      <c r="J1135" s="17">
        <f>IF(Tabela1[[#This Row],[Data de conclusão]]="",NETWORKDAYS(Tabela1[[#This Row],[Data de entrada]],$J$2),NETWORKDAYS(Tabela1[[#This Row],[Data de entrada]],Tabela1[[#This Row],[Data de conclusão]]))</f>
        <v>594</v>
      </c>
      <c r="K1135" s="1"/>
    </row>
    <row r="1136" spans="2:11" x14ac:dyDescent="0.25">
      <c r="B1136" s="3">
        <v>1243</v>
      </c>
      <c r="C1136" s="3" t="s">
        <v>8</v>
      </c>
      <c r="D1136" s="3" t="s">
        <v>14</v>
      </c>
      <c r="E1136" s="4">
        <v>42399</v>
      </c>
      <c r="F1136" s="4"/>
      <c r="G1136" s="3" t="s">
        <v>29</v>
      </c>
      <c r="H1136" s="5">
        <v>20761</v>
      </c>
      <c r="I1136" s="3" t="str">
        <f>VLOOKUP(Tabela1[[#This Row],[Advogado]],Tabela2[],2,FALSE)</f>
        <v>Renê Amaranto</v>
      </c>
      <c r="J1136" s="17">
        <f>IF(Tabela1[[#This Row],[Data de conclusão]]="",NETWORKDAYS(Tabela1[[#This Row],[Data de entrada]],$J$2),NETWORKDAYS(Tabela1[[#This Row],[Data de entrada]],Tabela1[[#This Row],[Data de conclusão]]))</f>
        <v>597</v>
      </c>
      <c r="K1136" s="1"/>
    </row>
    <row r="1137" spans="2:11" x14ac:dyDescent="0.25">
      <c r="B1137" s="3">
        <v>1244</v>
      </c>
      <c r="C1137" s="3" t="s">
        <v>9</v>
      </c>
      <c r="D1137" s="3" t="s">
        <v>15</v>
      </c>
      <c r="E1137" s="4">
        <v>42463</v>
      </c>
      <c r="F1137" s="4"/>
      <c r="G1137" s="3" t="s">
        <v>29</v>
      </c>
      <c r="H1137" s="5">
        <v>47762</v>
      </c>
      <c r="I1137" s="3" t="str">
        <f>VLOOKUP(Tabela1[[#This Row],[Advogado]],Tabela2[],2,FALSE)</f>
        <v>Renê Amaranto</v>
      </c>
      <c r="J1137" s="17">
        <f>IF(Tabela1[[#This Row],[Data de conclusão]]="",NETWORKDAYS(Tabela1[[#This Row],[Data de entrada]],$J$2),NETWORKDAYS(Tabela1[[#This Row],[Data de entrada]],Tabela1[[#This Row],[Data de conclusão]]))</f>
        <v>552</v>
      </c>
      <c r="K1137" s="1"/>
    </row>
    <row r="1138" spans="2:11" x14ac:dyDescent="0.25">
      <c r="B1138" s="3">
        <v>1245</v>
      </c>
      <c r="C1138" s="3" t="s">
        <v>7</v>
      </c>
      <c r="D1138" s="3" t="s">
        <v>16</v>
      </c>
      <c r="E1138" s="4">
        <v>42397</v>
      </c>
      <c r="F1138" s="4"/>
      <c r="G1138" s="3" t="s">
        <v>29</v>
      </c>
      <c r="H1138" s="5">
        <v>41187</v>
      </c>
      <c r="I1138" s="3" t="str">
        <f>VLOOKUP(Tabela1[[#This Row],[Advogado]],Tabela2[],2,FALSE)</f>
        <v>Renê Amaranto</v>
      </c>
      <c r="J1138" s="17">
        <f>IF(Tabela1[[#This Row],[Data de conclusão]]="",NETWORKDAYS(Tabela1[[#This Row],[Data de entrada]],$J$2),NETWORKDAYS(Tabela1[[#This Row],[Data de entrada]],Tabela1[[#This Row],[Data de conclusão]]))</f>
        <v>599</v>
      </c>
      <c r="K1138" s="1"/>
    </row>
    <row r="1139" spans="2:11" x14ac:dyDescent="0.25">
      <c r="B1139" s="3">
        <v>1246</v>
      </c>
      <c r="C1139" s="3" t="s">
        <v>8</v>
      </c>
      <c r="D1139" s="3" t="s">
        <v>17</v>
      </c>
      <c r="E1139" s="4">
        <v>42673</v>
      </c>
      <c r="F1139" s="4"/>
      <c r="G1139" s="3" t="s">
        <v>29</v>
      </c>
      <c r="H1139" s="5">
        <v>11360</v>
      </c>
      <c r="I1139" s="3" t="str">
        <f>VLOOKUP(Tabela1[[#This Row],[Advogado]],Tabela2[],2,FALSE)</f>
        <v>Renê Amaranto</v>
      </c>
      <c r="J1139" s="17">
        <f>IF(Tabela1[[#This Row],[Data de conclusão]]="",NETWORKDAYS(Tabela1[[#This Row],[Data de entrada]],$J$2),NETWORKDAYS(Tabela1[[#This Row],[Data de entrada]],Tabela1[[#This Row],[Data de conclusão]]))</f>
        <v>402</v>
      </c>
      <c r="K1139" s="1"/>
    </row>
    <row r="1140" spans="2:11" x14ac:dyDescent="0.25">
      <c r="B1140" s="3">
        <v>1247</v>
      </c>
      <c r="C1140" s="3" t="s">
        <v>9</v>
      </c>
      <c r="D1140" s="3" t="s">
        <v>10</v>
      </c>
      <c r="E1140" s="4">
        <v>42555</v>
      </c>
      <c r="F1140" s="4"/>
      <c r="G1140" s="3" t="s">
        <v>29</v>
      </c>
      <c r="H1140" s="5">
        <v>31808</v>
      </c>
      <c r="I1140" s="3" t="str">
        <f>VLOOKUP(Tabela1[[#This Row],[Advogado]],Tabela2[],2,FALSE)</f>
        <v>Caio Brito</v>
      </c>
      <c r="J1140" s="17">
        <f>IF(Tabela1[[#This Row],[Data de conclusão]]="",NETWORKDAYS(Tabela1[[#This Row],[Data de entrada]],$J$2),NETWORKDAYS(Tabela1[[#This Row],[Data de entrada]],Tabela1[[#This Row],[Data de conclusão]]))</f>
        <v>487</v>
      </c>
      <c r="K1140" s="1"/>
    </row>
    <row r="1141" spans="2:11" x14ac:dyDescent="0.25">
      <c r="B1141" s="3">
        <v>1248</v>
      </c>
      <c r="C1141" s="3" t="s">
        <v>7</v>
      </c>
      <c r="D1141" s="3" t="s">
        <v>11</v>
      </c>
      <c r="E1141" s="4">
        <v>43012</v>
      </c>
      <c r="F1141" s="4"/>
      <c r="G1141" s="3" t="s">
        <v>29</v>
      </c>
      <c r="H1141" s="5">
        <v>24410</v>
      </c>
      <c r="I1141" s="3" t="str">
        <f>VLOOKUP(Tabela1[[#This Row],[Advogado]],Tabela2[],2,FALSE)</f>
        <v>Caio Brito</v>
      </c>
      <c r="J1141" s="17">
        <f>IF(Tabela1[[#This Row],[Data de conclusão]]="",NETWORKDAYS(Tabela1[[#This Row],[Data de entrada]],$J$2),NETWORKDAYS(Tabela1[[#This Row],[Data de entrada]],Tabela1[[#This Row],[Data de conclusão]]))</f>
        <v>160</v>
      </c>
      <c r="K1141" s="1"/>
    </row>
    <row r="1142" spans="2:11" x14ac:dyDescent="0.25">
      <c r="B1142" s="3">
        <v>1249</v>
      </c>
      <c r="C1142" s="3" t="s">
        <v>8</v>
      </c>
      <c r="D1142" s="3" t="s">
        <v>12</v>
      </c>
      <c r="E1142" s="4">
        <v>42578</v>
      </c>
      <c r="F1142" s="4"/>
      <c r="G1142" s="3" t="s">
        <v>29</v>
      </c>
      <c r="H1142" s="5">
        <v>50970</v>
      </c>
      <c r="I1142" s="3" t="str">
        <f>VLOOKUP(Tabela1[[#This Row],[Advogado]],Tabela2[],2,FALSE)</f>
        <v>Caio Brito</v>
      </c>
      <c r="J1142" s="17">
        <f>IF(Tabela1[[#This Row],[Data de conclusão]]="",NETWORKDAYS(Tabela1[[#This Row],[Data de entrada]],$J$2),NETWORKDAYS(Tabela1[[#This Row],[Data de entrada]],Tabela1[[#This Row],[Data de conclusão]]))</f>
        <v>470</v>
      </c>
      <c r="K1142" s="1"/>
    </row>
    <row r="1143" spans="2:11" x14ac:dyDescent="0.25">
      <c r="B1143" s="3">
        <v>1250</v>
      </c>
      <c r="C1143" s="3" t="s">
        <v>9</v>
      </c>
      <c r="D1143" s="3" t="s">
        <v>13</v>
      </c>
      <c r="E1143" s="4">
        <v>42424</v>
      </c>
      <c r="F1143" s="4"/>
      <c r="G1143" s="3" t="s">
        <v>29</v>
      </c>
      <c r="H1143" s="5">
        <v>47786</v>
      </c>
      <c r="I1143" s="3" t="str">
        <f>VLOOKUP(Tabela1[[#This Row],[Advogado]],Tabela2[],2,FALSE)</f>
        <v>Caio Brito</v>
      </c>
      <c r="J1143" s="17">
        <f>IF(Tabela1[[#This Row],[Data de conclusão]]="",NETWORKDAYS(Tabela1[[#This Row],[Data de entrada]],$J$2),NETWORKDAYS(Tabela1[[#This Row],[Data de entrada]],Tabela1[[#This Row],[Data de conclusão]]))</f>
        <v>580</v>
      </c>
      <c r="K1143" s="1"/>
    </row>
    <row r="1144" spans="2:11" x14ac:dyDescent="0.25">
      <c r="B1144" s="3">
        <v>1251</v>
      </c>
      <c r="C1144" s="3" t="s">
        <v>7</v>
      </c>
      <c r="D1144" s="3" t="s">
        <v>14</v>
      </c>
      <c r="E1144" s="4">
        <v>42943</v>
      </c>
      <c r="F1144" s="4"/>
      <c r="G1144" s="3" t="s">
        <v>29</v>
      </c>
      <c r="H1144" s="5">
        <v>40090</v>
      </c>
      <c r="I1144" s="3" t="str">
        <f>VLOOKUP(Tabela1[[#This Row],[Advogado]],Tabela2[],2,FALSE)</f>
        <v>Renê Amaranto</v>
      </c>
      <c r="J1144" s="17">
        <f>IF(Tabela1[[#This Row],[Data de conclusão]]="",NETWORKDAYS(Tabela1[[#This Row],[Data de entrada]],$J$2),NETWORKDAYS(Tabela1[[#This Row],[Data de entrada]],Tabela1[[#This Row],[Data de conclusão]]))</f>
        <v>209</v>
      </c>
      <c r="K1144" s="1"/>
    </row>
    <row r="1145" spans="2:11" x14ac:dyDescent="0.25">
      <c r="B1145" s="3">
        <v>1252</v>
      </c>
      <c r="C1145" s="3" t="s">
        <v>8</v>
      </c>
      <c r="D1145" s="3" t="s">
        <v>15</v>
      </c>
      <c r="E1145" s="4">
        <v>42783</v>
      </c>
      <c r="F1145" s="4"/>
      <c r="G1145" s="3" t="s">
        <v>29</v>
      </c>
      <c r="H1145" s="5">
        <v>20695</v>
      </c>
      <c r="I1145" s="3" t="str">
        <f>VLOOKUP(Tabela1[[#This Row],[Advogado]],Tabela2[],2,FALSE)</f>
        <v>Renê Amaranto</v>
      </c>
      <c r="J1145" s="17">
        <f>IF(Tabela1[[#This Row],[Data de conclusão]]="",NETWORKDAYS(Tabela1[[#This Row],[Data de entrada]],$J$2),NETWORKDAYS(Tabela1[[#This Row],[Data de entrada]],Tabela1[[#This Row],[Data de conclusão]]))</f>
        <v>323</v>
      </c>
      <c r="K1145" s="1"/>
    </row>
    <row r="1146" spans="2:11" x14ac:dyDescent="0.25">
      <c r="B1146" s="3">
        <v>1253</v>
      </c>
      <c r="C1146" s="3" t="s">
        <v>9</v>
      </c>
      <c r="D1146" s="3" t="s">
        <v>16</v>
      </c>
      <c r="E1146" s="4">
        <v>42443</v>
      </c>
      <c r="F1146" s="4">
        <v>42499</v>
      </c>
      <c r="G1146" s="3" t="s">
        <v>28</v>
      </c>
      <c r="H1146" s="5">
        <v>42524</v>
      </c>
      <c r="I1146" s="3" t="str">
        <f>VLOOKUP(Tabela1[[#This Row],[Advogado]],Tabela2[],2,FALSE)</f>
        <v>Renê Amaranto</v>
      </c>
      <c r="J1146" s="17">
        <f>IF(Tabela1[[#This Row],[Data de conclusão]]="",NETWORKDAYS(Tabela1[[#This Row],[Data de entrada]],$J$2),NETWORKDAYS(Tabela1[[#This Row],[Data de entrada]],Tabela1[[#This Row],[Data de conclusão]]))</f>
        <v>41</v>
      </c>
      <c r="K1146" s="1"/>
    </row>
    <row r="1147" spans="2:11" x14ac:dyDescent="0.25">
      <c r="B1147" s="3">
        <v>1254</v>
      </c>
      <c r="C1147" s="3" t="s">
        <v>7</v>
      </c>
      <c r="D1147" s="3" t="s">
        <v>17</v>
      </c>
      <c r="E1147" s="4">
        <v>43022</v>
      </c>
      <c r="F1147" s="4"/>
      <c r="G1147" s="3" t="s">
        <v>27</v>
      </c>
      <c r="H1147" s="5">
        <v>41951</v>
      </c>
      <c r="I1147" s="3" t="str">
        <f>VLOOKUP(Tabela1[[#This Row],[Advogado]],Tabela2[],2,FALSE)</f>
        <v>Renê Amaranto</v>
      </c>
      <c r="J1147" s="17">
        <f>IF(Tabela1[[#This Row],[Data de conclusão]]="",NETWORKDAYS(Tabela1[[#This Row],[Data de entrada]],$J$2),NETWORKDAYS(Tabela1[[#This Row],[Data de entrada]],Tabela1[[#This Row],[Data de conclusão]]))</f>
        <v>152</v>
      </c>
      <c r="K1147" s="1"/>
    </row>
    <row r="1148" spans="2:11" x14ac:dyDescent="0.25">
      <c r="B1148" s="3">
        <v>1255</v>
      </c>
      <c r="C1148" s="3" t="s">
        <v>8</v>
      </c>
      <c r="D1148" s="3" t="s">
        <v>10</v>
      </c>
      <c r="E1148" s="4">
        <v>42771</v>
      </c>
      <c r="F1148" s="4"/>
      <c r="G1148" s="3" t="s">
        <v>29</v>
      </c>
      <c r="H1148" s="5">
        <v>37250</v>
      </c>
      <c r="I1148" s="3" t="str">
        <f>VLOOKUP(Tabela1[[#This Row],[Advogado]],Tabela2[],2,FALSE)</f>
        <v>Caio Brito</v>
      </c>
      <c r="J1148" s="17">
        <f>IF(Tabela1[[#This Row],[Data de conclusão]]="",NETWORKDAYS(Tabela1[[#This Row],[Data de entrada]],$J$2),NETWORKDAYS(Tabela1[[#This Row],[Data de entrada]],Tabela1[[#This Row],[Data de conclusão]]))</f>
        <v>332</v>
      </c>
      <c r="K1148" s="1"/>
    </row>
    <row r="1149" spans="2:11" x14ac:dyDescent="0.25">
      <c r="B1149" s="3">
        <v>1256</v>
      </c>
      <c r="C1149" s="3" t="s">
        <v>9</v>
      </c>
      <c r="D1149" s="3" t="s">
        <v>11</v>
      </c>
      <c r="E1149" s="4">
        <v>42884</v>
      </c>
      <c r="F1149" s="4"/>
      <c r="G1149" s="3" t="s">
        <v>29</v>
      </c>
      <c r="H1149" s="5">
        <v>34492</v>
      </c>
      <c r="I1149" s="3" t="str">
        <f>VLOOKUP(Tabela1[[#This Row],[Advogado]],Tabela2[],2,FALSE)</f>
        <v>Caio Brito</v>
      </c>
      <c r="J1149" s="17">
        <f>IF(Tabela1[[#This Row],[Data de conclusão]]="",NETWORKDAYS(Tabela1[[#This Row],[Data de entrada]],$J$2),NETWORKDAYS(Tabela1[[#This Row],[Data de entrada]],Tabela1[[#This Row],[Data de conclusão]]))</f>
        <v>252</v>
      </c>
      <c r="K1149" s="1"/>
    </row>
    <row r="1150" spans="2:11" x14ac:dyDescent="0.25">
      <c r="B1150" s="3">
        <v>1257</v>
      </c>
      <c r="C1150" s="3" t="s">
        <v>7</v>
      </c>
      <c r="D1150" s="3" t="s">
        <v>12</v>
      </c>
      <c r="E1150" s="4">
        <v>42622</v>
      </c>
      <c r="F1150" s="4"/>
      <c r="G1150" s="3" t="s">
        <v>29</v>
      </c>
      <c r="H1150" s="5">
        <v>41448</v>
      </c>
      <c r="I1150" s="3" t="str">
        <f>VLOOKUP(Tabela1[[#This Row],[Advogado]],Tabela2[],2,FALSE)</f>
        <v>Caio Brito</v>
      </c>
      <c r="J1150" s="17">
        <f>IF(Tabela1[[#This Row],[Data de conclusão]]="",NETWORKDAYS(Tabela1[[#This Row],[Data de entrada]],$J$2),NETWORKDAYS(Tabela1[[#This Row],[Data de entrada]],Tabela1[[#This Row],[Data de conclusão]]))</f>
        <v>438</v>
      </c>
      <c r="K1150" s="1"/>
    </row>
    <row r="1151" spans="2:11" x14ac:dyDescent="0.25">
      <c r="B1151" s="3">
        <v>1258</v>
      </c>
      <c r="C1151" s="3" t="s">
        <v>8</v>
      </c>
      <c r="D1151" s="3" t="s">
        <v>13</v>
      </c>
      <c r="E1151" s="4">
        <v>42497</v>
      </c>
      <c r="F1151" s="4"/>
      <c r="G1151" s="3" t="s">
        <v>29</v>
      </c>
      <c r="H1151" s="5">
        <v>15550</v>
      </c>
      <c r="I1151" s="3" t="str">
        <f>VLOOKUP(Tabela1[[#This Row],[Advogado]],Tabela2[],2,FALSE)</f>
        <v>Caio Brito</v>
      </c>
      <c r="J1151" s="17">
        <f>IF(Tabela1[[#This Row],[Data de conclusão]]="",NETWORKDAYS(Tabela1[[#This Row],[Data de entrada]],$J$2),NETWORKDAYS(Tabela1[[#This Row],[Data de entrada]],Tabela1[[#This Row],[Data de conclusão]]))</f>
        <v>527</v>
      </c>
      <c r="K1151" s="1"/>
    </row>
    <row r="1152" spans="2:11" x14ac:dyDescent="0.25">
      <c r="B1152" s="3">
        <v>1259</v>
      </c>
      <c r="C1152" s="3" t="s">
        <v>9</v>
      </c>
      <c r="D1152" s="3" t="s">
        <v>14</v>
      </c>
      <c r="E1152" s="4">
        <v>43044</v>
      </c>
      <c r="F1152" s="4"/>
      <c r="G1152" s="3" t="s">
        <v>29</v>
      </c>
      <c r="H1152" s="5">
        <v>28344</v>
      </c>
      <c r="I1152" s="3" t="str">
        <f>VLOOKUP(Tabela1[[#This Row],[Advogado]],Tabela2[],2,FALSE)</f>
        <v>Renê Amaranto</v>
      </c>
      <c r="J1152" s="17">
        <f>IF(Tabela1[[#This Row],[Data de conclusão]]="",NETWORKDAYS(Tabela1[[#This Row],[Data de entrada]],$J$2),NETWORKDAYS(Tabela1[[#This Row],[Data de entrada]],Tabela1[[#This Row],[Data de conclusão]]))</f>
        <v>137</v>
      </c>
      <c r="K1152" s="1"/>
    </row>
    <row r="1153" spans="2:11" x14ac:dyDescent="0.25">
      <c r="B1153" s="3">
        <v>1260</v>
      </c>
      <c r="C1153" s="3" t="s">
        <v>7</v>
      </c>
      <c r="D1153" s="3" t="s">
        <v>15</v>
      </c>
      <c r="E1153" s="4">
        <v>42943</v>
      </c>
      <c r="F1153" s="4"/>
      <c r="G1153" s="3" t="s">
        <v>29</v>
      </c>
      <c r="H1153" s="5">
        <v>30858</v>
      </c>
      <c r="I1153" s="3" t="str">
        <f>VLOOKUP(Tabela1[[#This Row],[Advogado]],Tabela2[],2,FALSE)</f>
        <v>Renê Amaranto</v>
      </c>
      <c r="J1153" s="17">
        <f>IF(Tabela1[[#This Row],[Data de conclusão]]="",NETWORKDAYS(Tabela1[[#This Row],[Data de entrada]],$J$2),NETWORKDAYS(Tabela1[[#This Row],[Data de entrada]],Tabela1[[#This Row],[Data de conclusão]]))</f>
        <v>209</v>
      </c>
      <c r="K1153" s="1"/>
    </row>
    <row r="1154" spans="2:11" x14ac:dyDescent="0.25">
      <c r="B1154" s="3">
        <v>1261</v>
      </c>
      <c r="C1154" s="3" t="s">
        <v>8</v>
      </c>
      <c r="D1154" s="3" t="s">
        <v>16</v>
      </c>
      <c r="E1154" s="4">
        <v>43066</v>
      </c>
      <c r="F1154" s="4"/>
      <c r="G1154" s="3" t="s">
        <v>29</v>
      </c>
      <c r="H1154" s="5">
        <v>41284</v>
      </c>
      <c r="I1154" s="3" t="str">
        <f>VLOOKUP(Tabela1[[#This Row],[Advogado]],Tabela2[],2,FALSE)</f>
        <v>Renê Amaranto</v>
      </c>
      <c r="J1154" s="17">
        <f>IF(Tabela1[[#This Row],[Data de conclusão]]="",NETWORKDAYS(Tabela1[[#This Row],[Data de entrada]],$J$2),NETWORKDAYS(Tabela1[[#This Row],[Data de entrada]],Tabela1[[#This Row],[Data de conclusão]]))</f>
        <v>122</v>
      </c>
      <c r="K1154" s="1"/>
    </row>
    <row r="1155" spans="2:11" x14ac:dyDescent="0.25">
      <c r="B1155" s="3">
        <v>1262</v>
      </c>
      <c r="C1155" s="3" t="s">
        <v>9</v>
      </c>
      <c r="D1155" s="3" t="s">
        <v>17</v>
      </c>
      <c r="E1155" s="4">
        <v>42754</v>
      </c>
      <c r="F1155" s="4"/>
      <c r="G1155" s="3" t="s">
        <v>29</v>
      </c>
      <c r="H1155" s="5">
        <v>26884</v>
      </c>
      <c r="I1155" s="3" t="str">
        <f>VLOOKUP(Tabela1[[#This Row],[Advogado]],Tabela2[],2,FALSE)</f>
        <v>Renê Amaranto</v>
      </c>
      <c r="J1155" s="17">
        <f>IF(Tabela1[[#This Row],[Data de conclusão]]="",NETWORKDAYS(Tabela1[[#This Row],[Data de entrada]],$J$2),NETWORKDAYS(Tabela1[[#This Row],[Data de entrada]],Tabela1[[#This Row],[Data de conclusão]]))</f>
        <v>344</v>
      </c>
      <c r="K1155" s="1"/>
    </row>
    <row r="1156" spans="2:11" x14ac:dyDescent="0.25">
      <c r="B1156" s="3">
        <v>1263</v>
      </c>
      <c r="C1156" s="3" t="s">
        <v>7</v>
      </c>
      <c r="D1156" s="3" t="s">
        <v>10</v>
      </c>
      <c r="E1156" s="4">
        <v>42848</v>
      </c>
      <c r="F1156" s="4"/>
      <c r="G1156" s="3" t="s">
        <v>29</v>
      </c>
      <c r="H1156" s="5">
        <v>58740</v>
      </c>
      <c r="I1156" s="3" t="str">
        <f>VLOOKUP(Tabela1[[#This Row],[Advogado]],Tabela2[],2,FALSE)</f>
        <v>Caio Brito</v>
      </c>
      <c r="J1156" s="17">
        <f>IF(Tabela1[[#This Row],[Data de conclusão]]="",NETWORKDAYS(Tabela1[[#This Row],[Data de entrada]],$J$2),NETWORKDAYS(Tabela1[[#This Row],[Data de entrada]],Tabela1[[#This Row],[Data de conclusão]]))</f>
        <v>277</v>
      </c>
      <c r="K1156" s="1"/>
    </row>
    <row r="1157" spans="2:11" x14ac:dyDescent="0.25">
      <c r="B1157" s="3">
        <v>1264</v>
      </c>
      <c r="C1157" s="3" t="s">
        <v>8</v>
      </c>
      <c r="D1157" s="3" t="s">
        <v>11</v>
      </c>
      <c r="E1157" s="4">
        <v>42397</v>
      </c>
      <c r="F1157" s="4"/>
      <c r="G1157" s="3" t="s">
        <v>29</v>
      </c>
      <c r="H1157" s="5">
        <v>41794</v>
      </c>
      <c r="I1157" s="3" t="str">
        <f>VLOOKUP(Tabela1[[#This Row],[Advogado]],Tabela2[],2,FALSE)</f>
        <v>Caio Brito</v>
      </c>
      <c r="J1157" s="17">
        <f>IF(Tabela1[[#This Row],[Data de conclusão]]="",NETWORKDAYS(Tabela1[[#This Row],[Data de entrada]],$J$2),NETWORKDAYS(Tabela1[[#This Row],[Data de entrada]],Tabela1[[#This Row],[Data de conclusão]]))</f>
        <v>599</v>
      </c>
      <c r="K1157" s="1"/>
    </row>
    <row r="1158" spans="2:11" x14ac:dyDescent="0.25">
      <c r="B1158" s="3">
        <v>1265</v>
      </c>
      <c r="C1158" s="3" t="s">
        <v>9</v>
      </c>
      <c r="D1158" s="3" t="s">
        <v>12</v>
      </c>
      <c r="E1158" s="4">
        <v>42487</v>
      </c>
      <c r="F1158" s="4"/>
      <c r="G1158" s="3" t="s">
        <v>29</v>
      </c>
      <c r="H1158" s="5">
        <v>43480</v>
      </c>
      <c r="I1158" s="3" t="str">
        <f>VLOOKUP(Tabela1[[#This Row],[Advogado]],Tabela2[],2,FALSE)</f>
        <v>Caio Brito</v>
      </c>
      <c r="J1158" s="17">
        <f>IF(Tabela1[[#This Row],[Data de conclusão]]="",NETWORKDAYS(Tabela1[[#This Row],[Data de entrada]],$J$2),NETWORKDAYS(Tabela1[[#This Row],[Data de entrada]],Tabela1[[#This Row],[Data de conclusão]]))</f>
        <v>535</v>
      </c>
      <c r="K1158" s="1"/>
    </row>
    <row r="1159" spans="2:11" x14ac:dyDescent="0.25">
      <c r="B1159" s="3">
        <v>1266</v>
      </c>
      <c r="C1159" s="3" t="s">
        <v>7</v>
      </c>
      <c r="D1159" s="3" t="s">
        <v>13</v>
      </c>
      <c r="E1159" s="4">
        <v>42779</v>
      </c>
      <c r="F1159" s="4">
        <v>42864</v>
      </c>
      <c r="G1159" s="3" t="s">
        <v>28</v>
      </c>
      <c r="H1159" s="5">
        <v>39665</v>
      </c>
      <c r="I1159" s="3" t="str">
        <f>VLOOKUP(Tabela1[[#This Row],[Advogado]],Tabela2[],2,FALSE)</f>
        <v>Caio Brito</v>
      </c>
      <c r="J1159" s="17">
        <f>IF(Tabela1[[#This Row],[Data de conclusão]]="",NETWORKDAYS(Tabela1[[#This Row],[Data de entrada]],$J$2),NETWORKDAYS(Tabela1[[#This Row],[Data de entrada]],Tabela1[[#This Row],[Data de conclusão]]))</f>
        <v>62</v>
      </c>
      <c r="K1159" s="1"/>
    </row>
    <row r="1160" spans="2:11" x14ac:dyDescent="0.25">
      <c r="B1160" s="3">
        <v>1267</v>
      </c>
      <c r="C1160" s="3" t="s">
        <v>8</v>
      </c>
      <c r="D1160" s="3" t="s">
        <v>14</v>
      </c>
      <c r="E1160" s="4">
        <v>42913</v>
      </c>
      <c r="F1160" s="4"/>
      <c r="G1160" s="3" t="s">
        <v>27</v>
      </c>
      <c r="H1160" s="5">
        <v>825</v>
      </c>
      <c r="I1160" s="3" t="str">
        <f>VLOOKUP(Tabela1[[#This Row],[Advogado]],Tabela2[],2,FALSE)</f>
        <v>Renê Amaranto</v>
      </c>
      <c r="J1160" s="17">
        <f>IF(Tabela1[[#This Row],[Data de conclusão]]="",NETWORKDAYS(Tabela1[[#This Row],[Data de entrada]],$J$2),NETWORKDAYS(Tabela1[[#This Row],[Data de entrada]],Tabela1[[#This Row],[Data de conclusão]]))</f>
        <v>231</v>
      </c>
      <c r="K1160" s="1"/>
    </row>
    <row r="1161" spans="2:11" x14ac:dyDescent="0.25">
      <c r="B1161" s="3">
        <v>1268</v>
      </c>
      <c r="C1161" s="3" t="s">
        <v>9</v>
      </c>
      <c r="D1161" s="3" t="s">
        <v>15</v>
      </c>
      <c r="E1161" s="4">
        <v>42637</v>
      </c>
      <c r="F1161" s="4"/>
      <c r="G1161" s="3" t="s">
        <v>29</v>
      </c>
      <c r="H1161" s="5">
        <v>56947</v>
      </c>
      <c r="I1161" s="3" t="str">
        <f>VLOOKUP(Tabela1[[#This Row],[Advogado]],Tabela2[],2,FALSE)</f>
        <v>Renê Amaranto</v>
      </c>
      <c r="J1161" s="17">
        <f>IF(Tabela1[[#This Row],[Data de conclusão]]="",NETWORKDAYS(Tabela1[[#This Row],[Data de entrada]],$J$2),NETWORKDAYS(Tabela1[[#This Row],[Data de entrada]],Tabela1[[#This Row],[Data de conclusão]]))</f>
        <v>427</v>
      </c>
      <c r="K1161" s="1"/>
    </row>
    <row r="1162" spans="2:11" x14ac:dyDescent="0.25">
      <c r="B1162" s="3">
        <v>1269</v>
      </c>
      <c r="C1162" s="3" t="s">
        <v>7</v>
      </c>
      <c r="D1162" s="3" t="s">
        <v>16</v>
      </c>
      <c r="E1162" s="4">
        <v>42575</v>
      </c>
      <c r="F1162" s="4"/>
      <c r="G1162" s="3" t="s">
        <v>29</v>
      </c>
      <c r="H1162" s="5">
        <v>58181</v>
      </c>
      <c r="I1162" s="3" t="str">
        <f>VLOOKUP(Tabela1[[#This Row],[Advogado]],Tabela2[],2,FALSE)</f>
        <v>Renê Amaranto</v>
      </c>
      <c r="J1162" s="17">
        <f>IF(Tabela1[[#This Row],[Data de conclusão]]="",NETWORKDAYS(Tabela1[[#This Row],[Data de entrada]],$J$2),NETWORKDAYS(Tabela1[[#This Row],[Data de entrada]],Tabela1[[#This Row],[Data de conclusão]]))</f>
        <v>472</v>
      </c>
      <c r="K1162" s="1"/>
    </row>
    <row r="1163" spans="2:11" x14ac:dyDescent="0.25">
      <c r="B1163" s="3">
        <v>1270</v>
      </c>
      <c r="C1163" s="3" t="s">
        <v>8</v>
      </c>
      <c r="D1163" s="3" t="s">
        <v>17</v>
      </c>
      <c r="E1163" s="4">
        <v>42506</v>
      </c>
      <c r="F1163" s="4"/>
      <c r="G1163" s="3" t="s">
        <v>29</v>
      </c>
      <c r="H1163" s="5">
        <v>30424</v>
      </c>
      <c r="I1163" s="3" t="str">
        <f>VLOOKUP(Tabela1[[#This Row],[Advogado]],Tabela2[],2,FALSE)</f>
        <v>Renê Amaranto</v>
      </c>
      <c r="J1163" s="17">
        <f>IF(Tabela1[[#This Row],[Data de conclusão]]="",NETWORKDAYS(Tabela1[[#This Row],[Data de entrada]],$J$2),NETWORKDAYS(Tabela1[[#This Row],[Data de entrada]],Tabela1[[#This Row],[Data de conclusão]]))</f>
        <v>522</v>
      </c>
      <c r="K1163" s="1"/>
    </row>
    <row r="1164" spans="2:11" x14ac:dyDescent="0.25">
      <c r="B1164" s="3">
        <v>1271</v>
      </c>
      <c r="C1164" s="3" t="s">
        <v>9</v>
      </c>
      <c r="D1164" s="3" t="s">
        <v>10</v>
      </c>
      <c r="E1164" s="4">
        <v>43075</v>
      </c>
      <c r="F1164" s="4"/>
      <c r="G1164" s="3" t="s">
        <v>29</v>
      </c>
      <c r="H1164" s="5">
        <v>43738</v>
      </c>
      <c r="I1164" s="3" t="str">
        <f>VLOOKUP(Tabela1[[#This Row],[Advogado]],Tabela2[],2,FALSE)</f>
        <v>Caio Brito</v>
      </c>
      <c r="J1164" s="17">
        <f>IF(Tabela1[[#This Row],[Data de conclusão]]="",NETWORKDAYS(Tabela1[[#This Row],[Data de entrada]],$J$2),NETWORKDAYS(Tabela1[[#This Row],[Data de entrada]],Tabela1[[#This Row],[Data de conclusão]]))</f>
        <v>115</v>
      </c>
      <c r="K1164" s="1"/>
    </row>
    <row r="1165" spans="2:11" x14ac:dyDescent="0.25">
      <c r="B1165" s="3">
        <v>1272</v>
      </c>
      <c r="C1165" s="3" t="s">
        <v>7</v>
      </c>
      <c r="D1165" s="3" t="s">
        <v>11</v>
      </c>
      <c r="E1165" s="4">
        <v>42667</v>
      </c>
      <c r="F1165" s="4"/>
      <c r="G1165" s="3" t="s">
        <v>29</v>
      </c>
      <c r="H1165" s="5">
        <v>29279</v>
      </c>
      <c r="I1165" s="3" t="str">
        <f>VLOOKUP(Tabela1[[#This Row],[Advogado]],Tabela2[],2,FALSE)</f>
        <v>Caio Brito</v>
      </c>
      <c r="J1165" s="17">
        <f>IF(Tabela1[[#This Row],[Data de conclusão]]="",NETWORKDAYS(Tabela1[[#This Row],[Data de entrada]],$J$2),NETWORKDAYS(Tabela1[[#This Row],[Data de entrada]],Tabela1[[#This Row],[Data de conclusão]]))</f>
        <v>407</v>
      </c>
      <c r="K1165" s="1"/>
    </row>
    <row r="1166" spans="2:11" x14ac:dyDescent="0.25">
      <c r="B1166" s="3">
        <v>1273</v>
      </c>
      <c r="C1166" s="3" t="s">
        <v>8</v>
      </c>
      <c r="D1166" s="3" t="s">
        <v>12</v>
      </c>
      <c r="E1166" s="4">
        <v>42374</v>
      </c>
      <c r="F1166" s="4"/>
      <c r="G1166" s="3" t="s">
        <v>29</v>
      </c>
      <c r="H1166" s="5">
        <v>47008</v>
      </c>
      <c r="I1166" s="3" t="str">
        <f>VLOOKUP(Tabela1[[#This Row],[Advogado]],Tabela2[],2,FALSE)</f>
        <v>Caio Brito</v>
      </c>
      <c r="J1166" s="17">
        <f>IF(Tabela1[[#This Row],[Data de conclusão]]="",NETWORKDAYS(Tabela1[[#This Row],[Data de entrada]],$J$2),NETWORKDAYS(Tabela1[[#This Row],[Data de entrada]],Tabela1[[#This Row],[Data de conclusão]]))</f>
        <v>616</v>
      </c>
      <c r="K1166" s="1"/>
    </row>
    <row r="1167" spans="2:11" x14ac:dyDescent="0.25">
      <c r="B1167" s="3">
        <v>1274</v>
      </c>
      <c r="C1167" s="3" t="s">
        <v>9</v>
      </c>
      <c r="D1167" s="3" t="s">
        <v>13</v>
      </c>
      <c r="E1167" s="4">
        <v>42935</v>
      </c>
      <c r="F1167" s="4"/>
      <c r="G1167" s="3" t="s">
        <v>29</v>
      </c>
      <c r="H1167" s="5">
        <v>8253</v>
      </c>
      <c r="I1167" s="3" t="str">
        <f>VLOOKUP(Tabela1[[#This Row],[Advogado]],Tabela2[],2,FALSE)</f>
        <v>Caio Brito</v>
      </c>
      <c r="J1167" s="17">
        <f>IF(Tabela1[[#This Row],[Data de conclusão]]="",NETWORKDAYS(Tabela1[[#This Row],[Data de entrada]],$J$2),NETWORKDAYS(Tabela1[[#This Row],[Data de entrada]],Tabela1[[#This Row],[Data de conclusão]]))</f>
        <v>215</v>
      </c>
      <c r="K1167" s="1"/>
    </row>
    <row r="1168" spans="2:11" x14ac:dyDescent="0.25">
      <c r="B1168" s="3">
        <v>1275</v>
      </c>
      <c r="C1168" s="3" t="s">
        <v>7</v>
      </c>
      <c r="D1168" s="3" t="s">
        <v>14</v>
      </c>
      <c r="E1168" s="4">
        <v>42773</v>
      </c>
      <c r="F1168" s="4"/>
      <c r="G1168" s="3" t="s">
        <v>29</v>
      </c>
      <c r="H1168" s="5">
        <v>54037</v>
      </c>
      <c r="I1168" s="3" t="str">
        <f>VLOOKUP(Tabela1[[#This Row],[Advogado]],Tabela2[],2,FALSE)</f>
        <v>Renê Amaranto</v>
      </c>
      <c r="J1168" s="17">
        <f>IF(Tabela1[[#This Row],[Data de conclusão]]="",NETWORKDAYS(Tabela1[[#This Row],[Data de entrada]],$J$2),NETWORKDAYS(Tabela1[[#This Row],[Data de entrada]],Tabela1[[#This Row],[Data de conclusão]]))</f>
        <v>331</v>
      </c>
      <c r="K1168" s="1"/>
    </row>
    <row r="1169" spans="2:11" x14ac:dyDescent="0.25">
      <c r="B1169" s="3">
        <v>1276</v>
      </c>
      <c r="C1169" s="3" t="s">
        <v>8</v>
      </c>
      <c r="D1169" s="3" t="s">
        <v>15</v>
      </c>
      <c r="E1169" s="4">
        <v>42656</v>
      </c>
      <c r="F1169" s="4"/>
      <c r="G1169" s="3" t="s">
        <v>29</v>
      </c>
      <c r="H1169" s="5">
        <v>28245</v>
      </c>
      <c r="I1169" s="3" t="str">
        <f>VLOOKUP(Tabela1[[#This Row],[Advogado]],Tabela2[],2,FALSE)</f>
        <v>Renê Amaranto</v>
      </c>
      <c r="J1169" s="17">
        <f>IF(Tabela1[[#This Row],[Data de conclusão]]="",NETWORKDAYS(Tabela1[[#This Row],[Data de entrada]],$J$2),NETWORKDAYS(Tabela1[[#This Row],[Data de entrada]],Tabela1[[#This Row],[Data de conclusão]]))</f>
        <v>414</v>
      </c>
      <c r="K1169" s="1"/>
    </row>
    <row r="1170" spans="2:11" x14ac:dyDescent="0.25">
      <c r="B1170" s="3">
        <v>1277</v>
      </c>
      <c r="C1170" s="3" t="s">
        <v>9</v>
      </c>
      <c r="D1170" s="3" t="s">
        <v>16</v>
      </c>
      <c r="E1170" s="4">
        <v>42693</v>
      </c>
      <c r="F1170" s="4"/>
      <c r="G1170" s="3" t="s">
        <v>29</v>
      </c>
      <c r="H1170" s="5">
        <v>10025</v>
      </c>
      <c r="I1170" s="3" t="str">
        <f>VLOOKUP(Tabela1[[#This Row],[Advogado]],Tabela2[],2,FALSE)</f>
        <v>Renê Amaranto</v>
      </c>
      <c r="J1170" s="17">
        <f>IF(Tabela1[[#This Row],[Data de conclusão]]="",NETWORKDAYS(Tabela1[[#This Row],[Data de entrada]],$J$2),NETWORKDAYS(Tabela1[[#This Row],[Data de entrada]],Tabela1[[#This Row],[Data de conclusão]]))</f>
        <v>387</v>
      </c>
      <c r="K1170" s="1"/>
    </row>
    <row r="1171" spans="2:11" x14ac:dyDescent="0.25">
      <c r="B1171" s="3">
        <v>1278</v>
      </c>
      <c r="C1171" s="3" t="s">
        <v>7</v>
      </c>
      <c r="D1171" s="3" t="s">
        <v>17</v>
      </c>
      <c r="E1171" s="4">
        <v>43061</v>
      </c>
      <c r="F1171" s="4"/>
      <c r="G1171" s="3" t="s">
        <v>29</v>
      </c>
      <c r="H1171" s="5">
        <v>48129</v>
      </c>
      <c r="I1171" s="3" t="str">
        <f>VLOOKUP(Tabela1[[#This Row],[Advogado]],Tabela2[],2,FALSE)</f>
        <v>Renê Amaranto</v>
      </c>
      <c r="J1171" s="17">
        <f>IF(Tabela1[[#This Row],[Data de conclusão]]="",NETWORKDAYS(Tabela1[[#This Row],[Data de entrada]],$J$2),NETWORKDAYS(Tabela1[[#This Row],[Data de entrada]],Tabela1[[#This Row],[Data de conclusão]]))</f>
        <v>125</v>
      </c>
      <c r="K1171" s="1"/>
    </row>
    <row r="1172" spans="2:11" x14ac:dyDescent="0.25">
      <c r="B1172" s="3">
        <v>1279</v>
      </c>
      <c r="C1172" s="3" t="s">
        <v>8</v>
      </c>
      <c r="D1172" s="3" t="s">
        <v>10</v>
      </c>
      <c r="E1172" s="4">
        <v>43057</v>
      </c>
      <c r="F1172" s="4">
        <v>43141</v>
      </c>
      <c r="G1172" s="3" t="s">
        <v>28</v>
      </c>
      <c r="H1172" s="5">
        <v>45308</v>
      </c>
      <c r="I1172" s="3" t="str">
        <f>VLOOKUP(Tabela1[[#This Row],[Advogado]],Tabela2[],2,FALSE)</f>
        <v>Caio Brito</v>
      </c>
      <c r="J1172" s="17">
        <f>IF(Tabela1[[#This Row],[Data de conclusão]]="",NETWORKDAYS(Tabela1[[#This Row],[Data de entrada]],$J$2),NETWORKDAYS(Tabela1[[#This Row],[Data de entrada]],Tabela1[[#This Row],[Data de conclusão]]))</f>
        <v>60</v>
      </c>
      <c r="K1172" s="1"/>
    </row>
    <row r="1173" spans="2:11" x14ac:dyDescent="0.25">
      <c r="B1173" s="3">
        <v>1280</v>
      </c>
      <c r="C1173" s="3" t="s">
        <v>9</v>
      </c>
      <c r="D1173" s="3" t="s">
        <v>11</v>
      </c>
      <c r="E1173" s="4">
        <v>42646</v>
      </c>
      <c r="F1173" s="4"/>
      <c r="G1173" s="3" t="s">
        <v>27</v>
      </c>
      <c r="H1173" s="5">
        <v>50955</v>
      </c>
      <c r="I1173" s="3" t="str">
        <f>VLOOKUP(Tabela1[[#This Row],[Advogado]],Tabela2[],2,FALSE)</f>
        <v>Caio Brito</v>
      </c>
      <c r="J1173" s="17">
        <f>IF(Tabela1[[#This Row],[Data de conclusão]]="",NETWORKDAYS(Tabela1[[#This Row],[Data de entrada]],$J$2),NETWORKDAYS(Tabela1[[#This Row],[Data de entrada]],Tabela1[[#This Row],[Data de conclusão]]))</f>
        <v>422</v>
      </c>
      <c r="K1173" s="1"/>
    </row>
    <row r="1174" spans="2:11" x14ac:dyDescent="0.25">
      <c r="B1174" s="3">
        <v>1281</v>
      </c>
      <c r="C1174" s="3" t="s">
        <v>7</v>
      </c>
      <c r="D1174" s="3" t="s">
        <v>12</v>
      </c>
      <c r="E1174" s="4">
        <v>42401</v>
      </c>
      <c r="F1174" s="4"/>
      <c r="G1174" s="3" t="s">
        <v>29</v>
      </c>
      <c r="H1174" s="5">
        <v>28250</v>
      </c>
      <c r="I1174" s="3" t="str">
        <f>VLOOKUP(Tabela1[[#This Row],[Advogado]],Tabela2[],2,FALSE)</f>
        <v>Caio Brito</v>
      </c>
      <c r="J1174" s="17">
        <f>IF(Tabela1[[#This Row],[Data de conclusão]]="",NETWORKDAYS(Tabela1[[#This Row],[Data de entrada]],$J$2),NETWORKDAYS(Tabela1[[#This Row],[Data de entrada]],Tabela1[[#This Row],[Data de conclusão]]))</f>
        <v>597</v>
      </c>
      <c r="K1174" s="1"/>
    </row>
    <row r="1175" spans="2:11" x14ac:dyDescent="0.25">
      <c r="B1175" s="3">
        <v>1282</v>
      </c>
      <c r="C1175" s="3" t="s">
        <v>8</v>
      </c>
      <c r="D1175" s="3" t="s">
        <v>13</v>
      </c>
      <c r="E1175" s="4">
        <v>42616</v>
      </c>
      <c r="F1175" s="4"/>
      <c r="G1175" s="3" t="s">
        <v>29</v>
      </c>
      <c r="H1175" s="5">
        <v>30920</v>
      </c>
      <c r="I1175" s="3" t="str">
        <f>VLOOKUP(Tabela1[[#This Row],[Advogado]],Tabela2[],2,FALSE)</f>
        <v>Caio Brito</v>
      </c>
      <c r="J1175" s="17">
        <f>IF(Tabela1[[#This Row],[Data de conclusão]]="",NETWORKDAYS(Tabela1[[#This Row],[Data de entrada]],$J$2),NETWORKDAYS(Tabela1[[#This Row],[Data de entrada]],Tabela1[[#This Row],[Data de conclusão]]))</f>
        <v>442</v>
      </c>
      <c r="K1175" s="1"/>
    </row>
    <row r="1176" spans="2:11" x14ac:dyDescent="0.25">
      <c r="B1176" s="3">
        <v>1283</v>
      </c>
      <c r="C1176" s="3" t="s">
        <v>9</v>
      </c>
      <c r="D1176" s="3" t="s">
        <v>14</v>
      </c>
      <c r="E1176" s="4">
        <v>43069</v>
      </c>
      <c r="F1176" s="4"/>
      <c r="G1176" s="3" t="s">
        <v>29</v>
      </c>
      <c r="H1176" s="5">
        <v>14002</v>
      </c>
      <c r="I1176" s="3" t="str">
        <f>VLOOKUP(Tabela1[[#This Row],[Advogado]],Tabela2[],2,FALSE)</f>
        <v>Renê Amaranto</v>
      </c>
      <c r="J1176" s="17">
        <f>IF(Tabela1[[#This Row],[Data de conclusão]]="",NETWORKDAYS(Tabela1[[#This Row],[Data de entrada]],$J$2),NETWORKDAYS(Tabela1[[#This Row],[Data de entrada]],Tabela1[[#This Row],[Data de conclusão]]))</f>
        <v>119</v>
      </c>
      <c r="K1176" s="1"/>
    </row>
    <row r="1177" spans="2:11" x14ac:dyDescent="0.25">
      <c r="B1177" s="3">
        <v>1284</v>
      </c>
      <c r="C1177" s="3" t="s">
        <v>7</v>
      </c>
      <c r="D1177" s="3" t="s">
        <v>15</v>
      </c>
      <c r="E1177" s="4">
        <v>42797</v>
      </c>
      <c r="F1177" s="4"/>
      <c r="G1177" s="3" t="s">
        <v>29</v>
      </c>
      <c r="H1177" s="5">
        <v>45650</v>
      </c>
      <c r="I1177" s="3" t="str">
        <f>VLOOKUP(Tabela1[[#This Row],[Advogado]],Tabela2[],2,FALSE)</f>
        <v>Renê Amaranto</v>
      </c>
      <c r="J1177" s="17">
        <f>IF(Tabela1[[#This Row],[Data de conclusão]]="",NETWORKDAYS(Tabela1[[#This Row],[Data de entrada]],$J$2),NETWORKDAYS(Tabela1[[#This Row],[Data de entrada]],Tabela1[[#This Row],[Data de conclusão]]))</f>
        <v>313</v>
      </c>
      <c r="K1177" s="1"/>
    </row>
    <row r="1178" spans="2:11" x14ac:dyDescent="0.25">
      <c r="B1178" s="3">
        <v>1285</v>
      </c>
      <c r="C1178" s="3" t="s">
        <v>8</v>
      </c>
      <c r="D1178" s="3" t="s">
        <v>16</v>
      </c>
      <c r="E1178" s="4">
        <v>42809</v>
      </c>
      <c r="F1178" s="4"/>
      <c r="G1178" s="3" t="s">
        <v>29</v>
      </c>
      <c r="H1178" s="5">
        <v>21442</v>
      </c>
      <c r="I1178" s="3" t="str">
        <f>VLOOKUP(Tabela1[[#This Row],[Advogado]],Tabela2[],2,FALSE)</f>
        <v>Renê Amaranto</v>
      </c>
      <c r="J1178" s="17">
        <f>IF(Tabela1[[#This Row],[Data de conclusão]]="",NETWORKDAYS(Tabela1[[#This Row],[Data de entrada]],$J$2),NETWORKDAYS(Tabela1[[#This Row],[Data de entrada]],Tabela1[[#This Row],[Data de conclusão]]))</f>
        <v>305</v>
      </c>
      <c r="K1178" s="1"/>
    </row>
    <row r="1179" spans="2:11" x14ac:dyDescent="0.25">
      <c r="B1179" s="3">
        <v>1286</v>
      </c>
      <c r="C1179" s="3" t="s">
        <v>9</v>
      </c>
      <c r="D1179" s="3" t="s">
        <v>17</v>
      </c>
      <c r="E1179" s="4">
        <v>42897</v>
      </c>
      <c r="F1179" s="4"/>
      <c r="G1179" s="3" t="s">
        <v>29</v>
      </c>
      <c r="H1179" s="5">
        <v>32297</v>
      </c>
      <c r="I1179" s="3" t="str">
        <f>VLOOKUP(Tabela1[[#This Row],[Advogado]],Tabela2[],2,FALSE)</f>
        <v>Renê Amaranto</v>
      </c>
      <c r="J1179" s="17">
        <f>IF(Tabela1[[#This Row],[Data de conclusão]]="",NETWORKDAYS(Tabela1[[#This Row],[Data de entrada]],$J$2),NETWORKDAYS(Tabela1[[#This Row],[Data de entrada]],Tabela1[[#This Row],[Data de conclusão]]))</f>
        <v>242</v>
      </c>
      <c r="K1179" s="1"/>
    </row>
    <row r="1180" spans="2:11" x14ac:dyDescent="0.25">
      <c r="B1180" s="3">
        <v>1287</v>
      </c>
      <c r="C1180" s="3" t="s">
        <v>7</v>
      </c>
      <c r="D1180" s="3" t="s">
        <v>10</v>
      </c>
      <c r="E1180" s="4">
        <v>42901</v>
      </c>
      <c r="F1180" s="4"/>
      <c r="G1180" s="3" t="s">
        <v>29</v>
      </c>
      <c r="H1180" s="5">
        <v>33879</v>
      </c>
      <c r="I1180" s="3" t="str">
        <f>VLOOKUP(Tabela1[[#This Row],[Advogado]],Tabela2[],2,FALSE)</f>
        <v>Caio Brito</v>
      </c>
      <c r="J1180" s="17">
        <f>IF(Tabela1[[#This Row],[Data de conclusão]]="",NETWORKDAYS(Tabela1[[#This Row],[Data de entrada]],$J$2),NETWORKDAYS(Tabela1[[#This Row],[Data de entrada]],Tabela1[[#This Row],[Data de conclusão]]))</f>
        <v>239</v>
      </c>
      <c r="K1180" s="1"/>
    </row>
    <row r="1181" spans="2:11" x14ac:dyDescent="0.25">
      <c r="B1181" s="3">
        <v>1288</v>
      </c>
      <c r="C1181" s="3" t="s">
        <v>8</v>
      </c>
      <c r="D1181" s="3" t="s">
        <v>11</v>
      </c>
      <c r="E1181" s="4">
        <v>42627</v>
      </c>
      <c r="F1181" s="4"/>
      <c r="G1181" s="3" t="s">
        <v>29</v>
      </c>
      <c r="H1181" s="5">
        <v>4883</v>
      </c>
      <c r="I1181" s="3" t="str">
        <f>VLOOKUP(Tabela1[[#This Row],[Advogado]],Tabela2[],2,FALSE)</f>
        <v>Caio Brito</v>
      </c>
      <c r="J1181" s="17">
        <f>IF(Tabela1[[#This Row],[Data de conclusão]]="",NETWORKDAYS(Tabela1[[#This Row],[Data de entrada]],$J$2),NETWORKDAYS(Tabela1[[#This Row],[Data de entrada]],Tabela1[[#This Row],[Data de conclusão]]))</f>
        <v>435</v>
      </c>
      <c r="K1181" s="1"/>
    </row>
    <row r="1182" spans="2:11" x14ac:dyDescent="0.25">
      <c r="B1182" s="3">
        <v>1289</v>
      </c>
      <c r="C1182" s="3" t="s">
        <v>9</v>
      </c>
      <c r="D1182" s="3" t="s">
        <v>12</v>
      </c>
      <c r="E1182" s="4">
        <v>43000</v>
      </c>
      <c r="F1182" s="4"/>
      <c r="G1182" s="3" t="s">
        <v>29</v>
      </c>
      <c r="H1182" s="5">
        <v>19187</v>
      </c>
      <c r="I1182" s="3" t="str">
        <f>VLOOKUP(Tabela1[[#This Row],[Advogado]],Tabela2[],2,FALSE)</f>
        <v>Caio Brito</v>
      </c>
      <c r="J1182" s="17">
        <f>IF(Tabela1[[#This Row],[Data de conclusão]]="",NETWORKDAYS(Tabela1[[#This Row],[Data de entrada]],$J$2),NETWORKDAYS(Tabela1[[#This Row],[Data de entrada]],Tabela1[[#This Row],[Data de conclusão]]))</f>
        <v>168</v>
      </c>
      <c r="K1182" s="1"/>
    </row>
    <row r="1183" spans="2:11" x14ac:dyDescent="0.25">
      <c r="B1183" s="3">
        <v>1290</v>
      </c>
      <c r="C1183" s="3" t="s">
        <v>7</v>
      </c>
      <c r="D1183" s="3" t="s">
        <v>13</v>
      </c>
      <c r="E1183" s="4">
        <v>42864</v>
      </c>
      <c r="F1183" s="4"/>
      <c r="G1183" s="3" t="s">
        <v>29</v>
      </c>
      <c r="H1183" s="5">
        <v>54333</v>
      </c>
      <c r="I1183" s="3" t="str">
        <f>VLOOKUP(Tabela1[[#This Row],[Advogado]],Tabela2[],2,FALSE)</f>
        <v>Caio Brito</v>
      </c>
      <c r="J1183" s="17">
        <f>IF(Tabela1[[#This Row],[Data de conclusão]]="",NETWORKDAYS(Tabela1[[#This Row],[Data de entrada]],$J$2),NETWORKDAYS(Tabela1[[#This Row],[Data de entrada]],Tabela1[[#This Row],[Data de conclusão]]))</f>
        <v>266</v>
      </c>
      <c r="K1183" s="1"/>
    </row>
    <row r="1184" spans="2:11" x14ac:dyDescent="0.25">
      <c r="B1184" s="3">
        <v>1291</v>
      </c>
      <c r="C1184" s="3" t="s">
        <v>8</v>
      </c>
      <c r="D1184" s="3" t="s">
        <v>14</v>
      </c>
      <c r="E1184" s="4">
        <v>42749</v>
      </c>
      <c r="F1184" s="4"/>
      <c r="G1184" s="3" t="s">
        <v>29</v>
      </c>
      <c r="H1184" s="5">
        <v>38942</v>
      </c>
      <c r="I1184" s="3" t="str">
        <f>VLOOKUP(Tabela1[[#This Row],[Advogado]],Tabela2[],2,FALSE)</f>
        <v>Renê Amaranto</v>
      </c>
      <c r="J1184" s="17">
        <f>IF(Tabela1[[#This Row],[Data de conclusão]]="",NETWORKDAYS(Tabela1[[#This Row],[Data de entrada]],$J$2),NETWORKDAYS(Tabela1[[#This Row],[Data de entrada]],Tabela1[[#This Row],[Data de conclusão]]))</f>
        <v>347</v>
      </c>
      <c r="K1184" s="1"/>
    </row>
    <row r="1185" spans="2:11" x14ac:dyDescent="0.25">
      <c r="B1185" s="3">
        <v>1292</v>
      </c>
      <c r="C1185" s="3" t="s">
        <v>9</v>
      </c>
      <c r="D1185" s="3" t="s">
        <v>15</v>
      </c>
      <c r="E1185" s="4">
        <v>42482</v>
      </c>
      <c r="F1185" s="4">
        <v>42565</v>
      </c>
      <c r="G1185" s="3" t="s">
        <v>28</v>
      </c>
      <c r="H1185" s="5">
        <v>49810</v>
      </c>
      <c r="I1185" s="3" t="str">
        <f>VLOOKUP(Tabela1[[#This Row],[Advogado]],Tabela2[],2,FALSE)</f>
        <v>Renê Amaranto</v>
      </c>
      <c r="J1185" s="17">
        <f>IF(Tabela1[[#This Row],[Data de conclusão]]="",NETWORKDAYS(Tabela1[[#This Row],[Data de entrada]],$J$2),NETWORKDAYS(Tabela1[[#This Row],[Data de entrada]],Tabela1[[#This Row],[Data de conclusão]]))</f>
        <v>60</v>
      </c>
      <c r="K1185" s="1"/>
    </row>
    <row r="1186" spans="2:11" x14ac:dyDescent="0.25">
      <c r="B1186" s="3">
        <v>1293</v>
      </c>
      <c r="C1186" s="3" t="s">
        <v>7</v>
      </c>
      <c r="D1186" s="3" t="s">
        <v>16</v>
      </c>
      <c r="E1186" s="4">
        <v>43024</v>
      </c>
      <c r="F1186" s="4"/>
      <c r="G1186" s="3" t="s">
        <v>27</v>
      </c>
      <c r="H1186" s="5">
        <v>37081</v>
      </c>
      <c r="I1186" s="3" t="str">
        <f>VLOOKUP(Tabela1[[#This Row],[Advogado]],Tabela2[],2,FALSE)</f>
        <v>Renê Amaranto</v>
      </c>
      <c r="J1186" s="17">
        <f>IF(Tabela1[[#This Row],[Data de conclusão]]="",NETWORKDAYS(Tabela1[[#This Row],[Data de entrada]],$J$2),NETWORKDAYS(Tabela1[[#This Row],[Data de entrada]],Tabela1[[#This Row],[Data de conclusão]]))</f>
        <v>152</v>
      </c>
      <c r="K1186" s="1"/>
    </row>
    <row r="1187" spans="2:11" x14ac:dyDescent="0.25">
      <c r="B1187" s="3">
        <v>1294</v>
      </c>
      <c r="C1187" s="3" t="s">
        <v>8</v>
      </c>
      <c r="D1187" s="3" t="s">
        <v>17</v>
      </c>
      <c r="E1187" s="4">
        <v>42810</v>
      </c>
      <c r="F1187" s="4"/>
      <c r="G1187" s="3" t="s">
        <v>29</v>
      </c>
      <c r="H1187" s="5">
        <v>51687</v>
      </c>
      <c r="I1187" s="3" t="str">
        <f>VLOOKUP(Tabela1[[#This Row],[Advogado]],Tabela2[],2,FALSE)</f>
        <v>Renê Amaranto</v>
      </c>
      <c r="J1187" s="17">
        <f>IF(Tabela1[[#This Row],[Data de conclusão]]="",NETWORKDAYS(Tabela1[[#This Row],[Data de entrada]],$J$2),NETWORKDAYS(Tabela1[[#This Row],[Data de entrada]],Tabela1[[#This Row],[Data de conclusão]]))</f>
        <v>304</v>
      </c>
      <c r="K1187" s="1"/>
    </row>
    <row r="1188" spans="2:11" x14ac:dyDescent="0.25">
      <c r="B1188" s="3">
        <v>1295</v>
      </c>
      <c r="C1188" s="3" t="s">
        <v>9</v>
      </c>
      <c r="D1188" s="3" t="s">
        <v>10</v>
      </c>
      <c r="E1188" s="4">
        <v>42421</v>
      </c>
      <c r="F1188" s="4"/>
      <c r="G1188" s="3" t="s">
        <v>29</v>
      </c>
      <c r="H1188" s="5">
        <v>20041</v>
      </c>
      <c r="I1188" s="3" t="str">
        <f>VLOOKUP(Tabela1[[#This Row],[Advogado]],Tabela2[],2,FALSE)</f>
        <v>Caio Brito</v>
      </c>
      <c r="J1188" s="17">
        <f>IF(Tabela1[[#This Row],[Data de conclusão]]="",NETWORKDAYS(Tabela1[[#This Row],[Data de entrada]],$J$2),NETWORKDAYS(Tabela1[[#This Row],[Data de entrada]],Tabela1[[#This Row],[Data de conclusão]]))</f>
        <v>582</v>
      </c>
      <c r="K1188" s="1"/>
    </row>
    <row r="1189" spans="2:11" x14ac:dyDescent="0.25">
      <c r="B1189" s="3">
        <v>1296</v>
      </c>
      <c r="C1189" s="3" t="s">
        <v>7</v>
      </c>
      <c r="D1189" s="3" t="s">
        <v>11</v>
      </c>
      <c r="E1189" s="4">
        <v>43026</v>
      </c>
      <c r="F1189" s="4"/>
      <c r="G1189" s="3" t="s">
        <v>29</v>
      </c>
      <c r="H1189" s="5">
        <v>42012</v>
      </c>
      <c r="I1189" s="3" t="str">
        <f>VLOOKUP(Tabela1[[#This Row],[Advogado]],Tabela2[],2,FALSE)</f>
        <v>Caio Brito</v>
      </c>
      <c r="J1189" s="17">
        <f>IF(Tabela1[[#This Row],[Data de conclusão]]="",NETWORKDAYS(Tabela1[[#This Row],[Data de entrada]],$J$2),NETWORKDAYS(Tabela1[[#This Row],[Data de entrada]],Tabela1[[#This Row],[Data de conclusão]]))</f>
        <v>150</v>
      </c>
      <c r="K1189" s="1"/>
    </row>
    <row r="1190" spans="2:11" x14ac:dyDescent="0.25">
      <c r="B1190" s="3">
        <v>1297</v>
      </c>
      <c r="C1190" s="3" t="s">
        <v>8</v>
      </c>
      <c r="D1190" s="3" t="s">
        <v>12</v>
      </c>
      <c r="E1190" s="4">
        <v>42704</v>
      </c>
      <c r="F1190" s="4"/>
      <c r="G1190" s="3" t="s">
        <v>29</v>
      </c>
      <c r="H1190" s="5">
        <v>30172</v>
      </c>
      <c r="I1190" s="3" t="str">
        <f>VLOOKUP(Tabela1[[#This Row],[Advogado]],Tabela2[],2,FALSE)</f>
        <v>Caio Brito</v>
      </c>
      <c r="J1190" s="17">
        <f>IF(Tabela1[[#This Row],[Data de conclusão]]="",NETWORKDAYS(Tabela1[[#This Row],[Data de entrada]],$J$2),NETWORKDAYS(Tabela1[[#This Row],[Data de entrada]],Tabela1[[#This Row],[Data de conclusão]]))</f>
        <v>380</v>
      </c>
      <c r="K1190" s="1"/>
    </row>
    <row r="1191" spans="2:11" x14ac:dyDescent="0.25">
      <c r="B1191" s="3">
        <v>1298</v>
      </c>
      <c r="C1191" s="3" t="s">
        <v>9</v>
      </c>
      <c r="D1191" s="3" t="s">
        <v>13</v>
      </c>
      <c r="E1191" s="4">
        <v>42573</v>
      </c>
      <c r="F1191" s="4"/>
      <c r="G1191" s="3" t="s">
        <v>29</v>
      </c>
      <c r="H1191" s="5">
        <v>3530</v>
      </c>
      <c r="I1191" s="3" t="str">
        <f>VLOOKUP(Tabela1[[#This Row],[Advogado]],Tabela2[],2,FALSE)</f>
        <v>Caio Brito</v>
      </c>
      <c r="J1191" s="17">
        <f>IF(Tabela1[[#This Row],[Data de conclusão]]="",NETWORKDAYS(Tabela1[[#This Row],[Data de entrada]],$J$2),NETWORKDAYS(Tabela1[[#This Row],[Data de entrada]],Tabela1[[#This Row],[Data de conclusão]]))</f>
        <v>473</v>
      </c>
      <c r="K1191" s="1"/>
    </row>
    <row r="1192" spans="2:11" x14ac:dyDescent="0.25">
      <c r="B1192" s="3">
        <v>1299</v>
      </c>
      <c r="C1192" s="3" t="s">
        <v>7</v>
      </c>
      <c r="D1192" s="3" t="s">
        <v>14</v>
      </c>
      <c r="E1192" s="4">
        <v>42519</v>
      </c>
      <c r="F1192" s="4"/>
      <c r="G1192" s="3" t="s">
        <v>29</v>
      </c>
      <c r="H1192" s="5">
        <v>13594</v>
      </c>
      <c r="I1192" s="3" t="str">
        <f>VLOOKUP(Tabela1[[#This Row],[Advogado]],Tabela2[],2,FALSE)</f>
        <v>Renê Amaranto</v>
      </c>
      <c r="J1192" s="17">
        <f>IF(Tabela1[[#This Row],[Data de conclusão]]="",NETWORKDAYS(Tabela1[[#This Row],[Data de entrada]],$J$2),NETWORKDAYS(Tabela1[[#This Row],[Data de entrada]],Tabela1[[#This Row],[Data de conclusão]]))</f>
        <v>512</v>
      </c>
      <c r="K1192" s="1"/>
    </row>
    <row r="1193" spans="2:11" x14ac:dyDescent="0.25">
      <c r="B1193" s="3">
        <v>1300</v>
      </c>
      <c r="C1193" s="3" t="s">
        <v>8</v>
      </c>
      <c r="D1193" s="3" t="s">
        <v>15</v>
      </c>
      <c r="E1193" s="4">
        <v>42959</v>
      </c>
      <c r="F1193" s="4"/>
      <c r="G1193" s="3" t="s">
        <v>29</v>
      </c>
      <c r="H1193" s="5">
        <v>36671</v>
      </c>
      <c r="I1193" s="3" t="str">
        <f>VLOOKUP(Tabela1[[#This Row],[Advogado]],Tabela2[],2,FALSE)</f>
        <v>Renê Amaranto</v>
      </c>
      <c r="J1193" s="17">
        <f>IF(Tabela1[[#This Row],[Data de conclusão]]="",NETWORKDAYS(Tabela1[[#This Row],[Data de entrada]],$J$2),NETWORKDAYS(Tabela1[[#This Row],[Data de entrada]],Tabela1[[#This Row],[Data de conclusão]]))</f>
        <v>197</v>
      </c>
      <c r="K1193" s="1"/>
    </row>
    <row r="1194" spans="2:11" x14ac:dyDescent="0.25">
      <c r="B1194" s="3">
        <v>1301</v>
      </c>
      <c r="C1194" s="3" t="s">
        <v>9</v>
      </c>
      <c r="D1194" s="3" t="s">
        <v>16</v>
      </c>
      <c r="E1194" s="4">
        <v>42543</v>
      </c>
      <c r="F1194" s="4"/>
      <c r="G1194" s="3" t="s">
        <v>29</v>
      </c>
      <c r="H1194" s="5">
        <v>29362</v>
      </c>
      <c r="I1194" s="3" t="str">
        <f>VLOOKUP(Tabela1[[#This Row],[Advogado]],Tabela2[],2,FALSE)</f>
        <v>Renê Amaranto</v>
      </c>
      <c r="J1194" s="17">
        <f>IF(Tabela1[[#This Row],[Data de conclusão]]="",NETWORKDAYS(Tabela1[[#This Row],[Data de entrada]],$J$2),NETWORKDAYS(Tabela1[[#This Row],[Data de entrada]],Tabela1[[#This Row],[Data de conclusão]]))</f>
        <v>495</v>
      </c>
      <c r="K1194" s="1"/>
    </row>
    <row r="1195" spans="2:11" x14ac:dyDescent="0.25">
      <c r="B1195" s="3">
        <v>1302</v>
      </c>
      <c r="C1195" s="3" t="s">
        <v>7</v>
      </c>
      <c r="D1195" s="3" t="s">
        <v>17</v>
      </c>
      <c r="E1195" s="4">
        <v>42706</v>
      </c>
      <c r="F1195" s="4"/>
      <c r="G1195" s="3" t="s">
        <v>29</v>
      </c>
      <c r="H1195" s="5">
        <v>23902</v>
      </c>
      <c r="I1195" s="3" t="str">
        <f>VLOOKUP(Tabela1[[#This Row],[Advogado]],Tabela2[],2,FALSE)</f>
        <v>Renê Amaranto</v>
      </c>
      <c r="J1195" s="17">
        <f>IF(Tabela1[[#This Row],[Data de conclusão]]="",NETWORKDAYS(Tabela1[[#This Row],[Data de entrada]],$J$2),NETWORKDAYS(Tabela1[[#This Row],[Data de entrada]],Tabela1[[#This Row],[Data de conclusão]]))</f>
        <v>378</v>
      </c>
      <c r="K1195" s="1"/>
    </row>
    <row r="1196" spans="2:11" x14ac:dyDescent="0.25">
      <c r="B1196" s="3">
        <v>1303</v>
      </c>
      <c r="C1196" s="3" t="s">
        <v>8</v>
      </c>
      <c r="D1196" s="3" t="s">
        <v>10</v>
      </c>
      <c r="E1196" s="4">
        <v>42862</v>
      </c>
      <c r="F1196" s="4"/>
      <c r="G1196" s="3" t="s">
        <v>29</v>
      </c>
      <c r="H1196" s="5">
        <v>33963</v>
      </c>
      <c r="I1196" s="3" t="str">
        <f>VLOOKUP(Tabela1[[#This Row],[Advogado]],Tabela2[],2,FALSE)</f>
        <v>Caio Brito</v>
      </c>
      <c r="J1196" s="17">
        <f>IF(Tabela1[[#This Row],[Data de conclusão]]="",NETWORKDAYS(Tabela1[[#This Row],[Data de entrada]],$J$2),NETWORKDAYS(Tabela1[[#This Row],[Data de entrada]],Tabela1[[#This Row],[Data de conclusão]]))</f>
        <v>267</v>
      </c>
      <c r="K1196" s="1"/>
    </row>
    <row r="1197" spans="2:11" x14ac:dyDescent="0.25">
      <c r="B1197" s="3">
        <v>1304</v>
      </c>
      <c r="C1197" s="3" t="s">
        <v>9</v>
      </c>
      <c r="D1197" s="3" t="s">
        <v>11</v>
      </c>
      <c r="E1197" s="4">
        <v>43029</v>
      </c>
      <c r="F1197" s="4"/>
      <c r="G1197" s="3" t="s">
        <v>29</v>
      </c>
      <c r="H1197" s="5">
        <v>41474</v>
      </c>
      <c r="I1197" s="3" t="str">
        <f>VLOOKUP(Tabela1[[#This Row],[Advogado]],Tabela2[],2,FALSE)</f>
        <v>Caio Brito</v>
      </c>
      <c r="J1197" s="17">
        <f>IF(Tabela1[[#This Row],[Data de conclusão]]="",NETWORKDAYS(Tabela1[[#This Row],[Data de entrada]],$J$2),NETWORKDAYS(Tabela1[[#This Row],[Data de entrada]],Tabela1[[#This Row],[Data de conclusão]]))</f>
        <v>147</v>
      </c>
      <c r="K1197" s="1"/>
    </row>
    <row r="1198" spans="2:11" x14ac:dyDescent="0.25">
      <c r="B1198" s="3">
        <v>1305</v>
      </c>
      <c r="C1198" s="3" t="s">
        <v>7</v>
      </c>
      <c r="D1198" s="3" t="s">
        <v>12</v>
      </c>
      <c r="E1198" s="4">
        <v>42457</v>
      </c>
      <c r="F1198" s="4">
        <v>42510</v>
      </c>
      <c r="G1198" s="3" t="s">
        <v>28</v>
      </c>
      <c r="H1198" s="5">
        <v>45024</v>
      </c>
      <c r="I1198" s="3" t="str">
        <f>VLOOKUP(Tabela1[[#This Row],[Advogado]],Tabela2[],2,FALSE)</f>
        <v>Caio Brito</v>
      </c>
      <c r="J1198" s="17">
        <f>IF(Tabela1[[#This Row],[Data de conclusão]]="",NETWORKDAYS(Tabela1[[#This Row],[Data de entrada]],$J$2),NETWORKDAYS(Tabela1[[#This Row],[Data de entrada]],Tabela1[[#This Row],[Data de conclusão]]))</f>
        <v>40</v>
      </c>
      <c r="K1198" s="1"/>
    </row>
    <row r="1199" spans="2:11" x14ac:dyDescent="0.25">
      <c r="B1199" s="3">
        <v>1306</v>
      </c>
      <c r="C1199" s="3" t="s">
        <v>8</v>
      </c>
      <c r="D1199" s="3" t="s">
        <v>13</v>
      </c>
      <c r="E1199" s="4">
        <v>42485</v>
      </c>
      <c r="F1199" s="4"/>
      <c r="G1199" s="3" t="s">
        <v>27</v>
      </c>
      <c r="H1199" s="5">
        <v>36646</v>
      </c>
      <c r="I1199" s="3" t="str">
        <f>VLOOKUP(Tabela1[[#This Row],[Advogado]],Tabela2[],2,FALSE)</f>
        <v>Caio Brito</v>
      </c>
      <c r="J1199" s="17">
        <f>IF(Tabela1[[#This Row],[Data de conclusão]]="",NETWORKDAYS(Tabela1[[#This Row],[Data de entrada]],$J$2),NETWORKDAYS(Tabela1[[#This Row],[Data de entrada]],Tabela1[[#This Row],[Data de conclusão]]))</f>
        <v>537</v>
      </c>
      <c r="K1199" s="1"/>
    </row>
    <row r="1200" spans="2:11" x14ac:dyDescent="0.25">
      <c r="B1200" s="3">
        <v>1307</v>
      </c>
      <c r="C1200" s="3" t="s">
        <v>9</v>
      </c>
      <c r="D1200" s="3" t="s">
        <v>14</v>
      </c>
      <c r="E1200" s="4">
        <v>42714</v>
      </c>
      <c r="F1200" s="4"/>
      <c r="G1200" s="3" t="s">
        <v>29</v>
      </c>
      <c r="H1200" s="5">
        <v>18646</v>
      </c>
      <c r="I1200" s="3" t="str">
        <f>VLOOKUP(Tabela1[[#This Row],[Advogado]],Tabela2[],2,FALSE)</f>
        <v>Renê Amaranto</v>
      </c>
      <c r="J1200" s="17">
        <f>IF(Tabela1[[#This Row],[Data de conclusão]]="",NETWORKDAYS(Tabela1[[#This Row],[Data de entrada]],$J$2),NETWORKDAYS(Tabela1[[#This Row],[Data de entrada]],Tabela1[[#This Row],[Data de conclusão]]))</f>
        <v>372</v>
      </c>
      <c r="K1200" s="1"/>
    </row>
    <row r="1201" spans="2:11" x14ac:dyDescent="0.25">
      <c r="B1201" s="3">
        <v>1308</v>
      </c>
      <c r="C1201" s="3" t="s">
        <v>7</v>
      </c>
      <c r="D1201" s="3" t="s">
        <v>15</v>
      </c>
      <c r="E1201" s="4">
        <v>42450</v>
      </c>
      <c r="F1201" s="4"/>
      <c r="G1201" s="3" t="s">
        <v>29</v>
      </c>
      <c r="H1201" s="5">
        <v>32989</v>
      </c>
      <c r="I1201" s="3" t="str">
        <f>VLOOKUP(Tabela1[[#This Row],[Advogado]],Tabela2[],2,FALSE)</f>
        <v>Renê Amaranto</v>
      </c>
      <c r="J1201" s="17">
        <f>IF(Tabela1[[#This Row],[Data de conclusão]]="",NETWORKDAYS(Tabela1[[#This Row],[Data de entrada]],$J$2),NETWORKDAYS(Tabela1[[#This Row],[Data de entrada]],Tabela1[[#This Row],[Data de conclusão]]))</f>
        <v>562</v>
      </c>
      <c r="K1201" s="1"/>
    </row>
    <row r="1202" spans="2:11" x14ac:dyDescent="0.25">
      <c r="B1202" s="3">
        <v>1309</v>
      </c>
      <c r="C1202" s="3" t="s">
        <v>8</v>
      </c>
      <c r="D1202" s="3" t="s">
        <v>16</v>
      </c>
      <c r="E1202" s="4">
        <v>42423</v>
      </c>
      <c r="F1202" s="4"/>
      <c r="G1202" s="3" t="s">
        <v>29</v>
      </c>
      <c r="H1202" s="5">
        <v>47245</v>
      </c>
      <c r="I1202" s="3" t="str">
        <f>VLOOKUP(Tabela1[[#This Row],[Advogado]],Tabela2[],2,FALSE)</f>
        <v>Renê Amaranto</v>
      </c>
      <c r="J1202" s="17">
        <f>IF(Tabela1[[#This Row],[Data de conclusão]]="",NETWORKDAYS(Tabela1[[#This Row],[Data de entrada]],$J$2),NETWORKDAYS(Tabela1[[#This Row],[Data de entrada]],Tabela1[[#This Row],[Data de conclusão]]))</f>
        <v>581</v>
      </c>
      <c r="K1202" s="1"/>
    </row>
    <row r="1203" spans="2:11" x14ac:dyDescent="0.25">
      <c r="B1203" s="3">
        <v>1310</v>
      </c>
      <c r="C1203" s="3" t="s">
        <v>9</v>
      </c>
      <c r="D1203" s="3" t="s">
        <v>17</v>
      </c>
      <c r="E1203" s="4">
        <v>42795</v>
      </c>
      <c r="F1203" s="4"/>
      <c r="G1203" s="3" t="s">
        <v>29</v>
      </c>
      <c r="H1203" s="5">
        <v>42558</v>
      </c>
      <c r="I1203" s="3" t="str">
        <f>VLOOKUP(Tabela1[[#This Row],[Advogado]],Tabela2[],2,FALSE)</f>
        <v>Renê Amaranto</v>
      </c>
      <c r="J1203" s="17">
        <f>IF(Tabela1[[#This Row],[Data de conclusão]]="",NETWORKDAYS(Tabela1[[#This Row],[Data de entrada]],$J$2),NETWORKDAYS(Tabela1[[#This Row],[Data de entrada]],Tabela1[[#This Row],[Data de conclusão]]))</f>
        <v>315</v>
      </c>
      <c r="K1203" s="1"/>
    </row>
    <row r="1204" spans="2:11" x14ac:dyDescent="0.25">
      <c r="B1204" s="3">
        <v>1311</v>
      </c>
      <c r="C1204" s="3" t="s">
        <v>7</v>
      </c>
      <c r="D1204" s="3" t="s">
        <v>10</v>
      </c>
      <c r="E1204" s="4">
        <v>42684</v>
      </c>
      <c r="F1204" s="4"/>
      <c r="G1204" s="3" t="s">
        <v>29</v>
      </c>
      <c r="H1204" s="5">
        <v>4647</v>
      </c>
      <c r="I1204" s="3" t="str">
        <f>VLOOKUP(Tabela1[[#This Row],[Advogado]],Tabela2[],2,FALSE)</f>
        <v>Caio Brito</v>
      </c>
      <c r="J1204" s="17">
        <f>IF(Tabela1[[#This Row],[Data de conclusão]]="",NETWORKDAYS(Tabela1[[#This Row],[Data de entrada]],$J$2),NETWORKDAYS(Tabela1[[#This Row],[Data de entrada]],Tabela1[[#This Row],[Data de conclusão]]))</f>
        <v>394</v>
      </c>
      <c r="K1204" s="1"/>
    </row>
    <row r="1205" spans="2:11" x14ac:dyDescent="0.25">
      <c r="B1205" s="3">
        <v>1312</v>
      </c>
      <c r="C1205" s="3" t="s">
        <v>8</v>
      </c>
      <c r="D1205" s="3" t="s">
        <v>11</v>
      </c>
      <c r="E1205" s="4">
        <v>42868</v>
      </c>
      <c r="F1205" s="4"/>
      <c r="G1205" s="3" t="s">
        <v>29</v>
      </c>
      <c r="H1205" s="5">
        <v>6143</v>
      </c>
      <c r="I1205" s="3" t="str">
        <f>VLOOKUP(Tabela1[[#This Row],[Advogado]],Tabela2[],2,FALSE)</f>
        <v>Caio Brito</v>
      </c>
      <c r="J1205" s="17">
        <f>IF(Tabela1[[#This Row],[Data de conclusão]]="",NETWORKDAYS(Tabela1[[#This Row],[Data de entrada]],$J$2),NETWORKDAYS(Tabela1[[#This Row],[Data de entrada]],Tabela1[[#This Row],[Data de conclusão]]))</f>
        <v>262</v>
      </c>
      <c r="K1205" s="1"/>
    </row>
    <row r="1206" spans="2:11" x14ac:dyDescent="0.25">
      <c r="B1206" s="3">
        <v>1313</v>
      </c>
      <c r="C1206" s="3" t="s">
        <v>9</v>
      </c>
      <c r="D1206" s="3" t="s">
        <v>12</v>
      </c>
      <c r="E1206" s="4">
        <v>42876</v>
      </c>
      <c r="F1206" s="4"/>
      <c r="G1206" s="3" t="s">
        <v>29</v>
      </c>
      <c r="H1206" s="5">
        <v>3928</v>
      </c>
      <c r="I1206" s="3" t="str">
        <f>VLOOKUP(Tabela1[[#This Row],[Advogado]],Tabela2[],2,FALSE)</f>
        <v>Caio Brito</v>
      </c>
      <c r="J1206" s="17">
        <f>IF(Tabela1[[#This Row],[Data de conclusão]]="",NETWORKDAYS(Tabela1[[#This Row],[Data de entrada]],$J$2),NETWORKDAYS(Tabela1[[#This Row],[Data de entrada]],Tabela1[[#This Row],[Data de conclusão]]))</f>
        <v>257</v>
      </c>
      <c r="K1206" s="1"/>
    </row>
    <row r="1207" spans="2:11" x14ac:dyDescent="0.25">
      <c r="B1207" s="3">
        <v>1314</v>
      </c>
      <c r="C1207" s="3" t="s">
        <v>7</v>
      </c>
      <c r="D1207" s="3" t="s">
        <v>13</v>
      </c>
      <c r="E1207" s="4">
        <v>43011</v>
      </c>
      <c r="F1207" s="4"/>
      <c r="G1207" s="3" t="s">
        <v>29</v>
      </c>
      <c r="H1207" s="5">
        <v>26655</v>
      </c>
      <c r="I1207" s="3" t="str">
        <f>VLOOKUP(Tabela1[[#This Row],[Advogado]],Tabela2[],2,FALSE)</f>
        <v>Caio Brito</v>
      </c>
      <c r="J1207" s="17">
        <f>IF(Tabela1[[#This Row],[Data de conclusão]]="",NETWORKDAYS(Tabela1[[#This Row],[Data de entrada]],$J$2),NETWORKDAYS(Tabela1[[#This Row],[Data de entrada]],Tabela1[[#This Row],[Data de conclusão]]))</f>
        <v>161</v>
      </c>
      <c r="K1207" s="1"/>
    </row>
    <row r="1208" spans="2:11" x14ac:dyDescent="0.25">
      <c r="B1208" s="3">
        <v>1315</v>
      </c>
      <c r="C1208" s="3" t="s">
        <v>8</v>
      </c>
      <c r="D1208" s="3" t="s">
        <v>14</v>
      </c>
      <c r="E1208" s="4">
        <v>42526</v>
      </c>
      <c r="F1208" s="4"/>
      <c r="G1208" s="3" t="s">
        <v>29</v>
      </c>
      <c r="H1208" s="5">
        <v>22055</v>
      </c>
      <c r="I1208" s="3" t="str">
        <f>VLOOKUP(Tabela1[[#This Row],[Advogado]],Tabela2[],2,FALSE)</f>
        <v>Renê Amaranto</v>
      </c>
      <c r="J1208" s="17">
        <f>IF(Tabela1[[#This Row],[Data de conclusão]]="",NETWORKDAYS(Tabela1[[#This Row],[Data de entrada]],$J$2),NETWORKDAYS(Tabela1[[#This Row],[Data de entrada]],Tabela1[[#This Row],[Data de conclusão]]))</f>
        <v>507</v>
      </c>
      <c r="K1208" s="1"/>
    </row>
    <row r="1209" spans="2:11" x14ac:dyDescent="0.25">
      <c r="B1209" s="3">
        <v>1316</v>
      </c>
      <c r="C1209" s="3" t="s">
        <v>9</v>
      </c>
      <c r="D1209" s="3" t="s">
        <v>15</v>
      </c>
      <c r="E1209" s="4">
        <v>42815</v>
      </c>
      <c r="F1209" s="4"/>
      <c r="G1209" s="3" t="s">
        <v>29</v>
      </c>
      <c r="H1209" s="5">
        <v>48497</v>
      </c>
      <c r="I1209" s="3" t="str">
        <f>VLOOKUP(Tabela1[[#This Row],[Advogado]],Tabela2[],2,FALSE)</f>
        <v>Renê Amaranto</v>
      </c>
      <c r="J1209" s="17">
        <f>IF(Tabela1[[#This Row],[Data de conclusão]]="",NETWORKDAYS(Tabela1[[#This Row],[Data de entrada]],$J$2),NETWORKDAYS(Tabela1[[#This Row],[Data de entrada]],Tabela1[[#This Row],[Data de conclusão]]))</f>
        <v>301</v>
      </c>
      <c r="K1209" s="1"/>
    </row>
    <row r="1210" spans="2:11" x14ac:dyDescent="0.25">
      <c r="B1210" s="3">
        <v>1317</v>
      </c>
      <c r="C1210" s="3" t="s">
        <v>7</v>
      </c>
      <c r="D1210" s="3" t="s">
        <v>16</v>
      </c>
      <c r="E1210" s="4">
        <v>42916</v>
      </c>
      <c r="F1210" s="4"/>
      <c r="G1210" s="3" t="s">
        <v>29</v>
      </c>
      <c r="H1210" s="5">
        <v>49319</v>
      </c>
      <c r="I1210" s="3" t="str">
        <f>VLOOKUP(Tabela1[[#This Row],[Advogado]],Tabela2[],2,FALSE)</f>
        <v>Renê Amaranto</v>
      </c>
      <c r="J1210" s="17">
        <f>IF(Tabela1[[#This Row],[Data de conclusão]]="",NETWORKDAYS(Tabela1[[#This Row],[Data de entrada]],$J$2),NETWORKDAYS(Tabela1[[#This Row],[Data de entrada]],Tabela1[[#This Row],[Data de conclusão]]))</f>
        <v>228</v>
      </c>
      <c r="K1210" s="1"/>
    </row>
    <row r="1211" spans="2:11" x14ac:dyDescent="0.25">
      <c r="B1211" s="3">
        <v>1318</v>
      </c>
      <c r="C1211" s="3" t="s">
        <v>8</v>
      </c>
      <c r="D1211" s="3" t="s">
        <v>17</v>
      </c>
      <c r="E1211" s="4">
        <v>42508</v>
      </c>
      <c r="F1211" s="4">
        <v>42547</v>
      </c>
      <c r="G1211" s="3" t="s">
        <v>28</v>
      </c>
      <c r="H1211" s="5">
        <v>55958</v>
      </c>
      <c r="I1211" s="3" t="str">
        <f>VLOOKUP(Tabela1[[#This Row],[Advogado]],Tabela2[],2,FALSE)</f>
        <v>Renê Amaranto</v>
      </c>
      <c r="J1211" s="17">
        <f>IF(Tabela1[[#This Row],[Data de conclusão]]="",NETWORKDAYS(Tabela1[[#This Row],[Data de entrada]],$J$2),NETWORKDAYS(Tabela1[[#This Row],[Data de entrada]],Tabela1[[#This Row],[Data de conclusão]]))</f>
        <v>28</v>
      </c>
      <c r="K1211" s="1"/>
    </row>
    <row r="1212" spans="2:11" x14ac:dyDescent="0.25">
      <c r="B1212" s="3">
        <v>1319</v>
      </c>
      <c r="C1212" s="3" t="s">
        <v>9</v>
      </c>
      <c r="D1212" s="3" t="s">
        <v>10</v>
      </c>
      <c r="E1212" s="4">
        <v>42888</v>
      </c>
      <c r="F1212" s="4"/>
      <c r="G1212" s="3" t="s">
        <v>27</v>
      </c>
      <c r="H1212" s="5">
        <v>12017</v>
      </c>
      <c r="I1212" s="3" t="str">
        <f>VLOOKUP(Tabela1[[#This Row],[Advogado]],Tabela2[],2,FALSE)</f>
        <v>Caio Brito</v>
      </c>
      <c r="J1212" s="17">
        <f>IF(Tabela1[[#This Row],[Data de conclusão]]="",NETWORKDAYS(Tabela1[[#This Row],[Data de entrada]],$J$2),NETWORKDAYS(Tabela1[[#This Row],[Data de entrada]],Tabela1[[#This Row],[Data de conclusão]]))</f>
        <v>248</v>
      </c>
      <c r="K1212" s="1"/>
    </row>
    <row r="1213" spans="2:11" x14ac:dyDescent="0.25">
      <c r="B1213" s="3">
        <v>1320</v>
      </c>
      <c r="C1213" s="3" t="s">
        <v>7</v>
      </c>
      <c r="D1213" s="3" t="s">
        <v>11</v>
      </c>
      <c r="E1213" s="4">
        <v>42647</v>
      </c>
      <c r="F1213" s="4"/>
      <c r="G1213" s="3" t="s">
        <v>29</v>
      </c>
      <c r="H1213" s="5">
        <v>5203</v>
      </c>
      <c r="I1213" s="3" t="str">
        <f>VLOOKUP(Tabela1[[#This Row],[Advogado]],Tabela2[],2,FALSE)</f>
        <v>Caio Brito</v>
      </c>
      <c r="J1213" s="17">
        <f>IF(Tabela1[[#This Row],[Data de conclusão]]="",NETWORKDAYS(Tabela1[[#This Row],[Data de entrada]],$J$2),NETWORKDAYS(Tabela1[[#This Row],[Data de entrada]],Tabela1[[#This Row],[Data de conclusão]]))</f>
        <v>421</v>
      </c>
      <c r="K1213" s="1"/>
    </row>
    <row r="1214" spans="2:11" x14ac:dyDescent="0.25">
      <c r="B1214" s="3">
        <v>1321</v>
      </c>
      <c r="C1214" s="3" t="s">
        <v>8</v>
      </c>
      <c r="D1214" s="3" t="s">
        <v>12</v>
      </c>
      <c r="E1214" s="4">
        <v>42499</v>
      </c>
      <c r="F1214" s="4"/>
      <c r="G1214" s="3" t="s">
        <v>29</v>
      </c>
      <c r="H1214" s="5">
        <v>6389</v>
      </c>
      <c r="I1214" s="3" t="str">
        <f>VLOOKUP(Tabela1[[#This Row],[Advogado]],Tabela2[],2,FALSE)</f>
        <v>Caio Brito</v>
      </c>
      <c r="J1214" s="17">
        <f>IF(Tabela1[[#This Row],[Data de conclusão]]="",NETWORKDAYS(Tabela1[[#This Row],[Data de entrada]],$J$2),NETWORKDAYS(Tabela1[[#This Row],[Data de entrada]],Tabela1[[#This Row],[Data de conclusão]]))</f>
        <v>527</v>
      </c>
      <c r="K1214" s="1"/>
    </row>
    <row r="1215" spans="2:11" x14ac:dyDescent="0.25">
      <c r="B1215" s="3">
        <v>1322</v>
      </c>
      <c r="C1215" s="3" t="s">
        <v>9</v>
      </c>
      <c r="D1215" s="3" t="s">
        <v>13</v>
      </c>
      <c r="E1215" s="4">
        <v>42801</v>
      </c>
      <c r="F1215" s="4"/>
      <c r="G1215" s="3" t="s">
        <v>29</v>
      </c>
      <c r="H1215" s="5">
        <v>49669</v>
      </c>
      <c r="I1215" s="3" t="str">
        <f>VLOOKUP(Tabela1[[#This Row],[Advogado]],Tabela2[],2,FALSE)</f>
        <v>Caio Brito</v>
      </c>
      <c r="J1215" s="17">
        <f>IF(Tabela1[[#This Row],[Data de conclusão]]="",NETWORKDAYS(Tabela1[[#This Row],[Data de entrada]],$J$2),NETWORKDAYS(Tabela1[[#This Row],[Data de entrada]],Tabela1[[#This Row],[Data de conclusão]]))</f>
        <v>311</v>
      </c>
      <c r="K1215" s="1"/>
    </row>
    <row r="1216" spans="2:11" x14ac:dyDescent="0.25">
      <c r="B1216" s="3">
        <v>1323</v>
      </c>
      <c r="C1216" s="3" t="s">
        <v>7</v>
      </c>
      <c r="D1216" s="3" t="s">
        <v>14</v>
      </c>
      <c r="E1216" s="4">
        <v>42740</v>
      </c>
      <c r="F1216" s="4"/>
      <c r="G1216" s="3" t="s">
        <v>29</v>
      </c>
      <c r="H1216" s="5">
        <v>7510</v>
      </c>
      <c r="I1216" s="3" t="str">
        <f>VLOOKUP(Tabela1[[#This Row],[Advogado]],Tabela2[],2,FALSE)</f>
        <v>Renê Amaranto</v>
      </c>
      <c r="J1216" s="17">
        <f>IF(Tabela1[[#This Row],[Data de conclusão]]="",NETWORKDAYS(Tabela1[[#This Row],[Data de entrada]],$J$2),NETWORKDAYS(Tabela1[[#This Row],[Data de entrada]],Tabela1[[#This Row],[Data de conclusão]]))</f>
        <v>354</v>
      </c>
      <c r="K1216" s="1"/>
    </row>
    <row r="1217" spans="2:11" x14ac:dyDescent="0.25">
      <c r="B1217" s="3">
        <v>1324</v>
      </c>
      <c r="C1217" s="3" t="s">
        <v>8</v>
      </c>
      <c r="D1217" s="3" t="s">
        <v>15</v>
      </c>
      <c r="E1217" s="4">
        <v>43018</v>
      </c>
      <c r="F1217" s="4"/>
      <c r="G1217" s="3" t="s">
        <v>29</v>
      </c>
      <c r="H1217" s="5">
        <v>40887</v>
      </c>
      <c r="I1217" s="3" t="str">
        <f>VLOOKUP(Tabela1[[#This Row],[Advogado]],Tabela2[],2,FALSE)</f>
        <v>Renê Amaranto</v>
      </c>
      <c r="J1217" s="17">
        <f>IF(Tabela1[[#This Row],[Data de conclusão]]="",NETWORKDAYS(Tabela1[[#This Row],[Data de entrada]],$J$2),NETWORKDAYS(Tabela1[[#This Row],[Data de entrada]],Tabela1[[#This Row],[Data de conclusão]]))</f>
        <v>156</v>
      </c>
      <c r="K1217" s="1"/>
    </row>
    <row r="1218" spans="2:11" x14ac:dyDescent="0.25">
      <c r="B1218" s="3">
        <v>1325</v>
      </c>
      <c r="C1218" s="3" t="s">
        <v>9</v>
      </c>
      <c r="D1218" s="3" t="s">
        <v>16</v>
      </c>
      <c r="E1218" s="4">
        <v>42794</v>
      </c>
      <c r="F1218" s="4"/>
      <c r="G1218" s="3" t="s">
        <v>29</v>
      </c>
      <c r="H1218" s="5">
        <v>41480</v>
      </c>
      <c r="I1218" s="3" t="str">
        <f>VLOOKUP(Tabela1[[#This Row],[Advogado]],Tabela2[],2,FALSE)</f>
        <v>Renê Amaranto</v>
      </c>
      <c r="J1218" s="17">
        <f>IF(Tabela1[[#This Row],[Data de conclusão]]="",NETWORKDAYS(Tabela1[[#This Row],[Data de entrada]],$J$2),NETWORKDAYS(Tabela1[[#This Row],[Data de entrada]],Tabela1[[#This Row],[Data de conclusão]]))</f>
        <v>316</v>
      </c>
      <c r="K1218" s="1"/>
    </row>
    <row r="1219" spans="2:11" x14ac:dyDescent="0.25">
      <c r="B1219" s="3">
        <v>1326</v>
      </c>
      <c r="C1219" s="3" t="s">
        <v>7</v>
      </c>
      <c r="D1219" s="3" t="s">
        <v>17</v>
      </c>
      <c r="E1219" s="4">
        <v>42815</v>
      </c>
      <c r="F1219" s="4"/>
      <c r="G1219" s="3" t="s">
        <v>29</v>
      </c>
      <c r="H1219" s="5">
        <v>43021</v>
      </c>
      <c r="I1219" s="3" t="str">
        <f>VLOOKUP(Tabela1[[#This Row],[Advogado]],Tabela2[],2,FALSE)</f>
        <v>Renê Amaranto</v>
      </c>
      <c r="J1219" s="17">
        <f>IF(Tabela1[[#This Row],[Data de conclusão]]="",NETWORKDAYS(Tabela1[[#This Row],[Data de entrada]],$J$2),NETWORKDAYS(Tabela1[[#This Row],[Data de entrada]],Tabela1[[#This Row],[Data de conclusão]]))</f>
        <v>301</v>
      </c>
      <c r="K1219" s="1"/>
    </row>
    <row r="1220" spans="2:11" x14ac:dyDescent="0.25">
      <c r="B1220" s="3">
        <v>1327</v>
      </c>
      <c r="C1220" s="3" t="s">
        <v>8</v>
      </c>
      <c r="D1220" s="3" t="s">
        <v>10</v>
      </c>
      <c r="E1220" s="4">
        <v>42769</v>
      </c>
      <c r="F1220" s="4"/>
      <c r="G1220" s="3" t="s">
        <v>29</v>
      </c>
      <c r="H1220" s="5">
        <v>9035</v>
      </c>
      <c r="I1220" s="3" t="str">
        <f>VLOOKUP(Tabela1[[#This Row],[Advogado]],Tabela2[],2,FALSE)</f>
        <v>Caio Brito</v>
      </c>
      <c r="J1220" s="17">
        <f>IF(Tabela1[[#This Row],[Data de conclusão]]="",NETWORKDAYS(Tabela1[[#This Row],[Data de entrada]],$J$2),NETWORKDAYS(Tabela1[[#This Row],[Data de entrada]],Tabela1[[#This Row],[Data de conclusão]]))</f>
        <v>333</v>
      </c>
      <c r="K1220" s="1"/>
    </row>
    <row r="1221" spans="2:11" x14ac:dyDescent="0.25">
      <c r="B1221" s="3">
        <v>1328</v>
      </c>
      <c r="C1221" s="3" t="s">
        <v>9</v>
      </c>
      <c r="D1221" s="3" t="s">
        <v>11</v>
      </c>
      <c r="E1221" s="4">
        <v>42991</v>
      </c>
      <c r="F1221" s="4"/>
      <c r="G1221" s="3" t="s">
        <v>29</v>
      </c>
      <c r="H1221" s="5">
        <v>15189</v>
      </c>
      <c r="I1221" s="3" t="str">
        <f>VLOOKUP(Tabela1[[#This Row],[Advogado]],Tabela2[],2,FALSE)</f>
        <v>Caio Brito</v>
      </c>
      <c r="J1221" s="17">
        <f>IF(Tabela1[[#This Row],[Data de conclusão]]="",NETWORKDAYS(Tabela1[[#This Row],[Data de entrada]],$J$2),NETWORKDAYS(Tabela1[[#This Row],[Data de entrada]],Tabela1[[#This Row],[Data de conclusão]]))</f>
        <v>175</v>
      </c>
      <c r="K1221" s="1"/>
    </row>
    <row r="1222" spans="2:11" x14ac:dyDescent="0.25">
      <c r="B1222" s="3">
        <v>1329</v>
      </c>
      <c r="C1222" s="3" t="s">
        <v>7</v>
      </c>
      <c r="D1222" s="3" t="s">
        <v>12</v>
      </c>
      <c r="E1222" s="4">
        <v>42931</v>
      </c>
      <c r="F1222" s="4"/>
      <c r="G1222" s="3" t="s">
        <v>29</v>
      </c>
      <c r="H1222" s="5">
        <v>56048</v>
      </c>
      <c r="I1222" s="3" t="str">
        <f>VLOOKUP(Tabela1[[#This Row],[Advogado]],Tabela2[],2,FALSE)</f>
        <v>Caio Brito</v>
      </c>
      <c r="J1222" s="17">
        <f>IF(Tabela1[[#This Row],[Data de conclusão]]="",NETWORKDAYS(Tabela1[[#This Row],[Data de entrada]],$J$2),NETWORKDAYS(Tabela1[[#This Row],[Data de entrada]],Tabela1[[#This Row],[Data de conclusão]]))</f>
        <v>217</v>
      </c>
      <c r="K1222" s="1"/>
    </row>
    <row r="1223" spans="2:11" x14ac:dyDescent="0.25">
      <c r="B1223" s="3">
        <v>1330</v>
      </c>
      <c r="C1223" s="3" t="s">
        <v>8</v>
      </c>
      <c r="D1223" s="3" t="s">
        <v>13</v>
      </c>
      <c r="E1223" s="4">
        <v>42822</v>
      </c>
      <c r="F1223" s="4"/>
      <c r="G1223" s="3" t="s">
        <v>29</v>
      </c>
      <c r="H1223" s="5">
        <v>24168</v>
      </c>
      <c r="I1223" s="3" t="str">
        <f>VLOOKUP(Tabela1[[#This Row],[Advogado]],Tabela2[],2,FALSE)</f>
        <v>Caio Brito</v>
      </c>
      <c r="J1223" s="17">
        <f>IF(Tabela1[[#This Row],[Data de conclusão]]="",NETWORKDAYS(Tabela1[[#This Row],[Data de entrada]],$J$2),NETWORKDAYS(Tabela1[[#This Row],[Data de entrada]],Tabela1[[#This Row],[Data de conclusão]]))</f>
        <v>296</v>
      </c>
      <c r="K1223" s="1"/>
    </row>
    <row r="1224" spans="2:11" x14ac:dyDescent="0.25">
      <c r="B1224" s="3">
        <v>1331</v>
      </c>
      <c r="C1224" s="3" t="s">
        <v>9</v>
      </c>
      <c r="D1224" s="3" t="s">
        <v>14</v>
      </c>
      <c r="E1224" s="4">
        <v>43078</v>
      </c>
      <c r="F1224" s="4">
        <v>43135</v>
      </c>
      <c r="G1224" s="3" t="s">
        <v>28</v>
      </c>
      <c r="H1224" s="5">
        <v>55417</v>
      </c>
      <c r="I1224" s="3" t="str">
        <f>VLOOKUP(Tabela1[[#This Row],[Advogado]],Tabela2[],2,FALSE)</f>
        <v>Renê Amaranto</v>
      </c>
      <c r="J1224" s="17">
        <f>IF(Tabela1[[#This Row],[Data de conclusão]]="",NETWORKDAYS(Tabela1[[#This Row],[Data de entrada]],$J$2),NETWORKDAYS(Tabela1[[#This Row],[Data de entrada]],Tabela1[[#This Row],[Data de conclusão]]))</f>
        <v>40</v>
      </c>
      <c r="K1224" s="1"/>
    </row>
    <row r="1225" spans="2:11" x14ac:dyDescent="0.25">
      <c r="B1225" s="3">
        <v>1332</v>
      </c>
      <c r="C1225" s="3" t="s">
        <v>7</v>
      </c>
      <c r="D1225" s="3" t="s">
        <v>15</v>
      </c>
      <c r="E1225" s="4">
        <v>42670</v>
      </c>
      <c r="F1225" s="4"/>
      <c r="G1225" s="3" t="s">
        <v>27</v>
      </c>
      <c r="H1225" s="5">
        <v>35852</v>
      </c>
      <c r="I1225" s="3" t="str">
        <f>VLOOKUP(Tabela1[[#This Row],[Advogado]],Tabela2[],2,FALSE)</f>
        <v>Renê Amaranto</v>
      </c>
      <c r="J1225" s="17">
        <f>IF(Tabela1[[#This Row],[Data de conclusão]]="",NETWORKDAYS(Tabela1[[#This Row],[Data de entrada]],$J$2),NETWORKDAYS(Tabela1[[#This Row],[Data de entrada]],Tabela1[[#This Row],[Data de conclusão]]))</f>
        <v>404</v>
      </c>
      <c r="K1225" s="1"/>
    </row>
    <row r="1226" spans="2:11" x14ac:dyDescent="0.25">
      <c r="B1226" s="3">
        <v>1333</v>
      </c>
      <c r="C1226" s="3" t="s">
        <v>8</v>
      </c>
      <c r="D1226" s="3" t="s">
        <v>16</v>
      </c>
      <c r="E1226" s="4">
        <v>42503</v>
      </c>
      <c r="F1226" s="4"/>
      <c r="G1226" s="3" t="s">
        <v>29</v>
      </c>
      <c r="H1226" s="5">
        <v>13356</v>
      </c>
      <c r="I1226" s="3" t="str">
        <f>VLOOKUP(Tabela1[[#This Row],[Advogado]],Tabela2[],2,FALSE)</f>
        <v>Renê Amaranto</v>
      </c>
      <c r="J1226" s="17">
        <f>IF(Tabela1[[#This Row],[Data de conclusão]]="",NETWORKDAYS(Tabela1[[#This Row],[Data de entrada]],$J$2),NETWORKDAYS(Tabela1[[#This Row],[Data de entrada]],Tabela1[[#This Row],[Data de conclusão]]))</f>
        <v>523</v>
      </c>
      <c r="K1226" s="1"/>
    </row>
    <row r="1227" spans="2:11" x14ac:dyDescent="0.25">
      <c r="B1227" s="3">
        <v>1334</v>
      </c>
      <c r="C1227" s="3" t="s">
        <v>9</v>
      </c>
      <c r="D1227" s="3" t="s">
        <v>17</v>
      </c>
      <c r="E1227" s="4">
        <v>42654</v>
      </c>
      <c r="F1227" s="4"/>
      <c r="G1227" s="3" t="s">
        <v>29</v>
      </c>
      <c r="H1227" s="5">
        <v>58344</v>
      </c>
      <c r="I1227" s="3" t="str">
        <f>VLOOKUP(Tabela1[[#This Row],[Advogado]],Tabela2[],2,FALSE)</f>
        <v>Renê Amaranto</v>
      </c>
      <c r="J1227" s="17">
        <f>IF(Tabela1[[#This Row],[Data de conclusão]]="",NETWORKDAYS(Tabela1[[#This Row],[Data de entrada]],$J$2),NETWORKDAYS(Tabela1[[#This Row],[Data de entrada]],Tabela1[[#This Row],[Data de conclusão]]))</f>
        <v>416</v>
      </c>
      <c r="K1227" s="1"/>
    </row>
    <row r="1228" spans="2:11" x14ac:dyDescent="0.25">
      <c r="B1228" s="3">
        <v>1335</v>
      </c>
      <c r="C1228" s="3" t="s">
        <v>7</v>
      </c>
      <c r="D1228" s="3" t="s">
        <v>10</v>
      </c>
      <c r="E1228" s="4">
        <v>42840</v>
      </c>
      <c r="F1228" s="4"/>
      <c r="G1228" s="3" t="s">
        <v>29</v>
      </c>
      <c r="H1228" s="5">
        <v>8821</v>
      </c>
      <c r="I1228" s="3" t="str">
        <f>VLOOKUP(Tabela1[[#This Row],[Advogado]],Tabela2[],2,FALSE)</f>
        <v>Caio Brito</v>
      </c>
      <c r="J1228" s="17">
        <f>IF(Tabela1[[#This Row],[Data de conclusão]]="",NETWORKDAYS(Tabela1[[#This Row],[Data de entrada]],$J$2),NETWORKDAYS(Tabela1[[#This Row],[Data de entrada]],Tabela1[[#This Row],[Data de conclusão]]))</f>
        <v>282</v>
      </c>
      <c r="K1228" s="1"/>
    </row>
    <row r="1229" spans="2:11" x14ac:dyDescent="0.25">
      <c r="B1229" s="3">
        <v>1336</v>
      </c>
      <c r="C1229" s="3" t="s">
        <v>8</v>
      </c>
      <c r="D1229" s="3" t="s">
        <v>11</v>
      </c>
      <c r="E1229" s="4">
        <v>42485</v>
      </c>
      <c r="F1229" s="4"/>
      <c r="G1229" s="3" t="s">
        <v>29</v>
      </c>
      <c r="H1229" s="5">
        <v>31356</v>
      </c>
      <c r="I1229" s="3" t="str">
        <f>VLOOKUP(Tabela1[[#This Row],[Advogado]],Tabela2[],2,FALSE)</f>
        <v>Caio Brito</v>
      </c>
      <c r="J1229" s="17">
        <f>IF(Tabela1[[#This Row],[Data de conclusão]]="",NETWORKDAYS(Tabela1[[#This Row],[Data de entrada]],$J$2),NETWORKDAYS(Tabela1[[#This Row],[Data de entrada]],Tabela1[[#This Row],[Data de conclusão]]))</f>
        <v>537</v>
      </c>
      <c r="K1229" s="1"/>
    </row>
    <row r="1230" spans="2:11" x14ac:dyDescent="0.25">
      <c r="B1230" s="3">
        <v>1337</v>
      </c>
      <c r="C1230" s="3" t="s">
        <v>9</v>
      </c>
      <c r="D1230" s="3" t="s">
        <v>12</v>
      </c>
      <c r="E1230" s="4">
        <v>42521</v>
      </c>
      <c r="F1230" s="4"/>
      <c r="G1230" s="3" t="s">
        <v>29</v>
      </c>
      <c r="H1230" s="5">
        <v>50644</v>
      </c>
      <c r="I1230" s="3" t="str">
        <f>VLOOKUP(Tabela1[[#This Row],[Advogado]],Tabela2[],2,FALSE)</f>
        <v>Caio Brito</v>
      </c>
      <c r="J1230" s="17">
        <f>IF(Tabela1[[#This Row],[Data de conclusão]]="",NETWORKDAYS(Tabela1[[#This Row],[Data de entrada]],$J$2),NETWORKDAYS(Tabela1[[#This Row],[Data de entrada]],Tabela1[[#This Row],[Data de conclusão]]))</f>
        <v>511</v>
      </c>
      <c r="K1230" s="1"/>
    </row>
    <row r="1231" spans="2:11" x14ac:dyDescent="0.25">
      <c r="B1231" s="3">
        <v>1338</v>
      </c>
      <c r="C1231" s="3" t="s">
        <v>7</v>
      </c>
      <c r="D1231" s="3" t="s">
        <v>13</v>
      </c>
      <c r="E1231" s="4">
        <v>43053</v>
      </c>
      <c r="F1231" s="4"/>
      <c r="G1231" s="3" t="s">
        <v>29</v>
      </c>
      <c r="H1231" s="5">
        <v>24344</v>
      </c>
      <c r="I1231" s="3" t="str">
        <f>VLOOKUP(Tabela1[[#This Row],[Advogado]],Tabela2[],2,FALSE)</f>
        <v>Caio Brito</v>
      </c>
      <c r="J1231" s="17">
        <f>IF(Tabela1[[#This Row],[Data de conclusão]]="",NETWORKDAYS(Tabela1[[#This Row],[Data de entrada]],$J$2),NETWORKDAYS(Tabela1[[#This Row],[Data de entrada]],Tabela1[[#This Row],[Data de conclusão]]))</f>
        <v>131</v>
      </c>
      <c r="K1231" s="1"/>
    </row>
    <row r="1232" spans="2:11" x14ac:dyDescent="0.25">
      <c r="B1232" s="3">
        <v>1339</v>
      </c>
      <c r="C1232" s="3" t="s">
        <v>8</v>
      </c>
      <c r="D1232" s="3" t="s">
        <v>14</v>
      </c>
      <c r="E1232" s="4">
        <v>42593</v>
      </c>
      <c r="F1232" s="4"/>
      <c r="G1232" s="3" t="s">
        <v>29</v>
      </c>
      <c r="H1232" s="5">
        <v>3275</v>
      </c>
      <c r="I1232" s="3" t="str">
        <f>VLOOKUP(Tabela1[[#This Row],[Advogado]],Tabela2[],2,FALSE)</f>
        <v>Renê Amaranto</v>
      </c>
      <c r="J1232" s="17">
        <f>IF(Tabela1[[#This Row],[Data de conclusão]]="",NETWORKDAYS(Tabela1[[#This Row],[Data de entrada]],$J$2),NETWORKDAYS(Tabela1[[#This Row],[Data de entrada]],Tabela1[[#This Row],[Data de conclusão]]))</f>
        <v>459</v>
      </c>
      <c r="K1232" s="1"/>
    </row>
    <row r="1233" spans="2:11" x14ac:dyDescent="0.25">
      <c r="B1233" s="3">
        <v>1340</v>
      </c>
      <c r="C1233" s="3" t="s">
        <v>9</v>
      </c>
      <c r="D1233" s="3" t="s">
        <v>15</v>
      </c>
      <c r="E1233" s="4">
        <v>42562</v>
      </c>
      <c r="F1233" s="4"/>
      <c r="G1233" s="3" t="s">
        <v>29</v>
      </c>
      <c r="H1233" s="5">
        <v>6207</v>
      </c>
      <c r="I1233" s="3" t="str">
        <f>VLOOKUP(Tabela1[[#This Row],[Advogado]],Tabela2[],2,FALSE)</f>
        <v>Renê Amaranto</v>
      </c>
      <c r="J1233" s="17">
        <f>IF(Tabela1[[#This Row],[Data de conclusão]]="",NETWORKDAYS(Tabela1[[#This Row],[Data de entrada]],$J$2),NETWORKDAYS(Tabela1[[#This Row],[Data de entrada]],Tabela1[[#This Row],[Data de conclusão]]))</f>
        <v>482</v>
      </c>
      <c r="K1233" s="1"/>
    </row>
    <row r="1234" spans="2:11" x14ac:dyDescent="0.25">
      <c r="B1234" s="3">
        <v>1341</v>
      </c>
      <c r="C1234" s="3" t="s">
        <v>7</v>
      </c>
      <c r="D1234" s="3" t="s">
        <v>16</v>
      </c>
      <c r="E1234" s="4">
        <v>43020</v>
      </c>
      <c r="F1234" s="4"/>
      <c r="G1234" s="3" t="s">
        <v>29</v>
      </c>
      <c r="H1234" s="5">
        <v>33459</v>
      </c>
      <c r="I1234" s="3" t="str">
        <f>VLOOKUP(Tabela1[[#This Row],[Advogado]],Tabela2[],2,FALSE)</f>
        <v>Renê Amaranto</v>
      </c>
      <c r="J1234" s="17">
        <f>IF(Tabela1[[#This Row],[Data de conclusão]]="",NETWORKDAYS(Tabela1[[#This Row],[Data de entrada]],$J$2),NETWORKDAYS(Tabela1[[#This Row],[Data de entrada]],Tabela1[[#This Row],[Data de conclusão]]))</f>
        <v>154</v>
      </c>
      <c r="K1234" s="1"/>
    </row>
    <row r="1235" spans="2:11" x14ac:dyDescent="0.25">
      <c r="B1235" s="3">
        <v>1342</v>
      </c>
      <c r="C1235" s="3" t="s">
        <v>8</v>
      </c>
      <c r="D1235" s="3" t="s">
        <v>17</v>
      </c>
      <c r="E1235" s="4">
        <v>42897</v>
      </c>
      <c r="F1235" s="4"/>
      <c r="G1235" s="3" t="s">
        <v>29</v>
      </c>
      <c r="H1235" s="5">
        <v>18258</v>
      </c>
      <c r="I1235" s="3" t="str">
        <f>VLOOKUP(Tabela1[[#This Row],[Advogado]],Tabela2[],2,FALSE)</f>
        <v>Renê Amaranto</v>
      </c>
      <c r="J1235" s="17">
        <f>IF(Tabela1[[#This Row],[Data de conclusão]]="",NETWORKDAYS(Tabela1[[#This Row],[Data de entrada]],$J$2),NETWORKDAYS(Tabela1[[#This Row],[Data de entrada]],Tabela1[[#This Row],[Data de conclusão]]))</f>
        <v>242</v>
      </c>
      <c r="K1235" s="1"/>
    </row>
    <row r="1236" spans="2:11" x14ac:dyDescent="0.25">
      <c r="B1236" s="3">
        <v>1343</v>
      </c>
      <c r="C1236" s="3" t="s">
        <v>9</v>
      </c>
      <c r="D1236" s="3" t="s">
        <v>10</v>
      </c>
      <c r="E1236" s="4">
        <v>43022</v>
      </c>
      <c r="F1236" s="4"/>
      <c r="G1236" s="3" t="s">
        <v>29</v>
      </c>
      <c r="H1236" s="5">
        <v>26371</v>
      </c>
      <c r="I1236" s="3" t="str">
        <f>VLOOKUP(Tabela1[[#This Row],[Advogado]],Tabela2[],2,FALSE)</f>
        <v>Caio Brito</v>
      </c>
      <c r="J1236" s="17">
        <f>IF(Tabela1[[#This Row],[Data de conclusão]]="",NETWORKDAYS(Tabela1[[#This Row],[Data de entrada]],$J$2),NETWORKDAYS(Tabela1[[#This Row],[Data de entrada]],Tabela1[[#This Row],[Data de conclusão]]))</f>
        <v>152</v>
      </c>
      <c r="K1236" s="1"/>
    </row>
    <row r="1237" spans="2:11" x14ac:dyDescent="0.25">
      <c r="B1237" s="3">
        <v>1344</v>
      </c>
      <c r="C1237" s="3" t="s">
        <v>7</v>
      </c>
      <c r="D1237" s="3" t="s">
        <v>11</v>
      </c>
      <c r="E1237" s="4">
        <v>42904</v>
      </c>
      <c r="F1237" s="4">
        <v>42938</v>
      </c>
      <c r="G1237" s="3" t="s">
        <v>28</v>
      </c>
      <c r="H1237" s="5">
        <v>34500</v>
      </c>
      <c r="I1237" s="3" t="str">
        <f>VLOOKUP(Tabela1[[#This Row],[Advogado]],Tabela2[],2,FALSE)</f>
        <v>Caio Brito</v>
      </c>
      <c r="J1237" s="17">
        <f>IF(Tabela1[[#This Row],[Data de conclusão]]="",NETWORKDAYS(Tabela1[[#This Row],[Data de entrada]],$J$2),NETWORKDAYS(Tabela1[[#This Row],[Data de entrada]],Tabela1[[#This Row],[Data de conclusão]]))</f>
        <v>25</v>
      </c>
      <c r="K1237" s="1"/>
    </row>
    <row r="1238" spans="2:11" x14ac:dyDescent="0.25">
      <c r="B1238" s="3">
        <v>1345</v>
      </c>
      <c r="C1238" s="3" t="s">
        <v>8</v>
      </c>
      <c r="D1238" s="3" t="s">
        <v>12</v>
      </c>
      <c r="E1238" s="4">
        <v>42434</v>
      </c>
      <c r="F1238" s="4"/>
      <c r="G1238" s="3" t="s">
        <v>27</v>
      </c>
      <c r="H1238" s="5">
        <v>59315</v>
      </c>
      <c r="I1238" s="3" t="str">
        <f>VLOOKUP(Tabela1[[#This Row],[Advogado]],Tabela2[],2,FALSE)</f>
        <v>Caio Brito</v>
      </c>
      <c r="J1238" s="17">
        <f>IF(Tabela1[[#This Row],[Data de conclusão]]="",NETWORKDAYS(Tabela1[[#This Row],[Data de entrada]],$J$2),NETWORKDAYS(Tabela1[[#This Row],[Data de entrada]],Tabela1[[#This Row],[Data de conclusão]]))</f>
        <v>572</v>
      </c>
      <c r="K1238" s="1"/>
    </row>
    <row r="1239" spans="2:11" x14ac:dyDescent="0.25">
      <c r="B1239" s="3">
        <v>1346</v>
      </c>
      <c r="C1239" s="3" t="s">
        <v>9</v>
      </c>
      <c r="D1239" s="3" t="s">
        <v>13</v>
      </c>
      <c r="E1239" s="4">
        <v>43014</v>
      </c>
      <c r="F1239" s="4"/>
      <c r="G1239" s="3" t="s">
        <v>29</v>
      </c>
      <c r="H1239" s="5">
        <v>28795</v>
      </c>
      <c r="I1239" s="3" t="str">
        <f>VLOOKUP(Tabela1[[#This Row],[Advogado]],Tabela2[],2,FALSE)</f>
        <v>Caio Brito</v>
      </c>
      <c r="J1239" s="17">
        <f>IF(Tabela1[[#This Row],[Data de conclusão]]="",NETWORKDAYS(Tabela1[[#This Row],[Data de entrada]],$J$2),NETWORKDAYS(Tabela1[[#This Row],[Data de entrada]],Tabela1[[#This Row],[Data de conclusão]]))</f>
        <v>158</v>
      </c>
      <c r="K1239" s="1"/>
    </row>
    <row r="1240" spans="2:11" x14ac:dyDescent="0.25">
      <c r="B1240" s="3">
        <v>1347</v>
      </c>
      <c r="C1240" s="3" t="s">
        <v>7</v>
      </c>
      <c r="D1240" s="3" t="s">
        <v>14</v>
      </c>
      <c r="E1240" s="4">
        <v>42376</v>
      </c>
      <c r="F1240" s="4"/>
      <c r="G1240" s="3" t="s">
        <v>29</v>
      </c>
      <c r="H1240" s="5">
        <v>36083</v>
      </c>
      <c r="I1240" s="3" t="str">
        <f>VLOOKUP(Tabela1[[#This Row],[Advogado]],Tabela2[],2,FALSE)</f>
        <v>Renê Amaranto</v>
      </c>
      <c r="J1240" s="17">
        <f>IF(Tabela1[[#This Row],[Data de conclusão]]="",NETWORKDAYS(Tabela1[[#This Row],[Data de entrada]],$J$2),NETWORKDAYS(Tabela1[[#This Row],[Data de entrada]],Tabela1[[#This Row],[Data de conclusão]]))</f>
        <v>614</v>
      </c>
      <c r="K1240" s="1"/>
    </row>
    <row r="1241" spans="2:11" x14ac:dyDescent="0.25">
      <c r="B1241" s="3">
        <v>1348</v>
      </c>
      <c r="C1241" s="3" t="s">
        <v>8</v>
      </c>
      <c r="D1241" s="3" t="s">
        <v>15</v>
      </c>
      <c r="E1241" s="4">
        <v>42495</v>
      </c>
      <c r="F1241" s="4"/>
      <c r="G1241" s="3" t="s">
        <v>29</v>
      </c>
      <c r="H1241" s="5">
        <v>27858</v>
      </c>
      <c r="I1241" s="3" t="str">
        <f>VLOOKUP(Tabela1[[#This Row],[Advogado]],Tabela2[],2,FALSE)</f>
        <v>Renê Amaranto</v>
      </c>
      <c r="J1241" s="17">
        <f>IF(Tabela1[[#This Row],[Data de conclusão]]="",NETWORKDAYS(Tabela1[[#This Row],[Data de entrada]],$J$2),NETWORKDAYS(Tabela1[[#This Row],[Data de entrada]],Tabela1[[#This Row],[Data de conclusão]]))</f>
        <v>529</v>
      </c>
      <c r="K1241" s="1"/>
    </row>
    <row r="1242" spans="2:11" x14ac:dyDescent="0.25">
      <c r="B1242" s="3">
        <v>1349</v>
      </c>
      <c r="C1242" s="3" t="s">
        <v>9</v>
      </c>
      <c r="D1242" s="3" t="s">
        <v>16</v>
      </c>
      <c r="E1242" s="4">
        <v>42530</v>
      </c>
      <c r="F1242" s="4"/>
      <c r="G1242" s="3" t="s">
        <v>29</v>
      </c>
      <c r="H1242" s="5">
        <v>4336</v>
      </c>
      <c r="I1242" s="3" t="str">
        <f>VLOOKUP(Tabela1[[#This Row],[Advogado]],Tabela2[],2,FALSE)</f>
        <v>Renê Amaranto</v>
      </c>
      <c r="J1242" s="17">
        <f>IF(Tabela1[[#This Row],[Data de conclusão]]="",NETWORKDAYS(Tabela1[[#This Row],[Data de entrada]],$J$2),NETWORKDAYS(Tabela1[[#This Row],[Data de entrada]],Tabela1[[#This Row],[Data de conclusão]]))</f>
        <v>504</v>
      </c>
      <c r="K1242" s="1"/>
    </row>
    <row r="1243" spans="2:11" x14ac:dyDescent="0.25">
      <c r="B1243" s="3">
        <v>1350</v>
      </c>
      <c r="C1243" s="3" t="s">
        <v>7</v>
      </c>
      <c r="D1243" s="3" t="s">
        <v>17</v>
      </c>
      <c r="E1243" s="4">
        <v>42942</v>
      </c>
      <c r="F1243" s="4"/>
      <c r="G1243" s="3" t="s">
        <v>29</v>
      </c>
      <c r="H1243" s="5">
        <v>22360</v>
      </c>
      <c r="I1243" s="3" t="str">
        <f>VLOOKUP(Tabela1[[#This Row],[Advogado]],Tabela2[],2,FALSE)</f>
        <v>Renê Amaranto</v>
      </c>
      <c r="J1243" s="17">
        <f>IF(Tabela1[[#This Row],[Data de conclusão]]="",NETWORKDAYS(Tabela1[[#This Row],[Data de entrada]],$J$2),NETWORKDAYS(Tabela1[[#This Row],[Data de entrada]],Tabela1[[#This Row],[Data de conclusão]]))</f>
        <v>210</v>
      </c>
      <c r="K1243" s="1"/>
    </row>
    <row r="1244" spans="2:11" x14ac:dyDescent="0.25">
      <c r="B1244" s="3">
        <v>1351</v>
      </c>
      <c r="C1244" s="3" t="s">
        <v>8</v>
      </c>
      <c r="D1244" s="3" t="s">
        <v>10</v>
      </c>
      <c r="E1244" s="4">
        <v>42690</v>
      </c>
      <c r="F1244" s="4"/>
      <c r="G1244" s="3" t="s">
        <v>29</v>
      </c>
      <c r="H1244" s="5">
        <v>37630</v>
      </c>
      <c r="I1244" s="3" t="str">
        <f>VLOOKUP(Tabela1[[#This Row],[Advogado]],Tabela2[],2,FALSE)</f>
        <v>Caio Brito</v>
      </c>
      <c r="J1244" s="17">
        <f>IF(Tabela1[[#This Row],[Data de conclusão]]="",NETWORKDAYS(Tabela1[[#This Row],[Data de entrada]],$J$2),NETWORKDAYS(Tabela1[[#This Row],[Data de entrada]],Tabela1[[#This Row],[Data de conclusão]]))</f>
        <v>390</v>
      </c>
      <c r="K1244" s="1"/>
    </row>
    <row r="1245" spans="2:11" x14ac:dyDescent="0.25">
      <c r="B1245" s="3">
        <v>1352</v>
      </c>
      <c r="C1245" s="3" t="s">
        <v>9</v>
      </c>
      <c r="D1245" s="3" t="s">
        <v>11</v>
      </c>
      <c r="E1245" s="4">
        <v>42747</v>
      </c>
      <c r="F1245" s="4"/>
      <c r="G1245" s="3" t="s">
        <v>29</v>
      </c>
      <c r="H1245" s="5">
        <v>53235</v>
      </c>
      <c r="I1245" s="3" t="str">
        <f>VLOOKUP(Tabela1[[#This Row],[Advogado]],Tabela2[],2,FALSE)</f>
        <v>Caio Brito</v>
      </c>
      <c r="J1245" s="17">
        <f>IF(Tabela1[[#This Row],[Data de conclusão]]="",NETWORKDAYS(Tabela1[[#This Row],[Data de entrada]],$J$2),NETWORKDAYS(Tabela1[[#This Row],[Data de entrada]],Tabela1[[#This Row],[Data de conclusão]]))</f>
        <v>349</v>
      </c>
      <c r="K1245" s="1"/>
    </row>
    <row r="1246" spans="2:11" x14ac:dyDescent="0.25">
      <c r="B1246" s="3">
        <v>1353</v>
      </c>
      <c r="C1246" s="3" t="s">
        <v>7</v>
      </c>
      <c r="D1246" s="3" t="s">
        <v>12</v>
      </c>
      <c r="E1246" s="4">
        <v>42817</v>
      </c>
      <c r="F1246" s="4"/>
      <c r="G1246" s="3" t="s">
        <v>29</v>
      </c>
      <c r="H1246" s="5">
        <v>57596</v>
      </c>
      <c r="I1246" s="3" t="str">
        <f>VLOOKUP(Tabela1[[#This Row],[Advogado]],Tabela2[],2,FALSE)</f>
        <v>Caio Brito</v>
      </c>
      <c r="J1246" s="17">
        <f>IF(Tabela1[[#This Row],[Data de conclusão]]="",NETWORKDAYS(Tabela1[[#This Row],[Data de entrada]],$J$2),NETWORKDAYS(Tabela1[[#This Row],[Data de entrada]],Tabela1[[#This Row],[Data de conclusão]]))</f>
        <v>299</v>
      </c>
      <c r="K1246" s="1"/>
    </row>
    <row r="1247" spans="2:11" x14ac:dyDescent="0.25">
      <c r="B1247" s="3">
        <v>1354</v>
      </c>
      <c r="C1247" s="3" t="s">
        <v>8</v>
      </c>
      <c r="D1247" s="3" t="s">
        <v>13</v>
      </c>
      <c r="E1247" s="4">
        <v>42982</v>
      </c>
      <c r="F1247" s="4"/>
      <c r="G1247" s="3" t="s">
        <v>29</v>
      </c>
      <c r="H1247" s="5">
        <v>22092</v>
      </c>
      <c r="I1247" s="3" t="str">
        <f>VLOOKUP(Tabela1[[#This Row],[Advogado]],Tabela2[],2,FALSE)</f>
        <v>Caio Brito</v>
      </c>
      <c r="J1247" s="17">
        <f>IF(Tabela1[[#This Row],[Data de conclusão]]="",NETWORKDAYS(Tabela1[[#This Row],[Data de entrada]],$J$2),NETWORKDAYS(Tabela1[[#This Row],[Data de entrada]],Tabela1[[#This Row],[Data de conclusão]]))</f>
        <v>182</v>
      </c>
      <c r="K1247" s="1"/>
    </row>
    <row r="1248" spans="2:11" x14ac:dyDescent="0.25">
      <c r="B1248" s="3">
        <v>1355</v>
      </c>
      <c r="C1248" s="3" t="s">
        <v>9</v>
      </c>
      <c r="D1248" s="3" t="s">
        <v>14</v>
      </c>
      <c r="E1248" s="4">
        <v>42494</v>
      </c>
      <c r="F1248" s="4"/>
      <c r="G1248" s="3" t="s">
        <v>29</v>
      </c>
      <c r="H1248" s="5">
        <v>55218</v>
      </c>
      <c r="I1248" s="3" t="str">
        <f>VLOOKUP(Tabela1[[#This Row],[Advogado]],Tabela2[],2,FALSE)</f>
        <v>Renê Amaranto</v>
      </c>
      <c r="J1248" s="17">
        <f>IF(Tabela1[[#This Row],[Data de conclusão]]="",NETWORKDAYS(Tabela1[[#This Row],[Data de entrada]],$J$2),NETWORKDAYS(Tabela1[[#This Row],[Data de entrada]],Tabela1[[#This Row],[Data de conclusão]]))</f>
        <v>530</v>
      </c>
      <c r="K1248" s="1"/>
    </row>
    <row r="1249" spans="2:11" x14ac:dyDescent="0.25">
      <c r="B1249" s="3">
        <v>1356</v>
      </c>
      <c r="C1249" s="3" t="s">
        <v>7</v>
      </c>
      <c r="D1249" s="3" t="s">
        <v>15</v>
      </c>
      <c r="E1249" s="4">
        <v>42462</v>
      </c>
      <c r="F1249" s="4"/>
      <c r="G1249" s="3" t="s">
        <v>29</v>
      </c>
      <c r="H1249" s="5">
        <v>21569</v>
      </c>
      <c r="I1249" s="3" t="str">
        <f>VLOOKUP(Tabela1[[#This Row],[Advogado]],Tabela2[],2,FALSE)</f>
        <v>Renê Amaranto</v>
      </c>
      <c r="J1249" s="17">
        <f>IF(Tabela1[[#This Row],[Data de conclusão]]="",NETWORKDAYS(Tabela1[[#This Row],[Data de entrada]],$J$2),NETWORKDAYS(Tabela1[[#This Row],[Data de entrada]],Tabela1[[#This Row],[Data de conclusão]]))</f>
        <v>552</v>
      </c>
      <c r="K1249" s="1"/>
    </row>
    <row r="1250" spans="2:11" x14ac:dyDescent="0.25">
      <c r="B1250" s="3">
        <v>1357</v>
      </c>
      <c r="C1250" s="3" t="s">
        <v>8</v>
      </c>
      <c r="D1250" s="3" t="s">
        <v>16</v>
      </c>
      <c r="E1250" s="4">
        <v>42466</v>
      </c>
      <c r="F1250" s="4">
        <v>42513</v>
      </c>
      <c r="G1250" s="3" t="s">
        <v>28</v>
      </c>
      <c r="H1250" s="5">
        <v>9643</v>
      </c>
      <c r="I1250" s="3" t="str">
        <f>VLOOKUP(Tabela1[[#This Row],[Advogado]],Tabela2[],2,FALSE)</f>
        <v>Renê Amaranto</v>
      </c>
      <c r="J1250" s="17">
        <f>IF(Tabela1[[#This Row],[Data de conclusão]]="",NETWORKDAYS(Tabela1[[#This Row],[Data de entrada]],$J$2),NETWORKDAYS(Tabela1[[#This Row],[Data de entrada]],Tabela1[[#This Row],[Data de conclusão]]))</f>
        <v>34</v>
      </c>
      <c r="K1250" s="1"/>
    </row>
    <row r="1251" spans="2:11" x14ac:dyDescent="0.25">
      <c r="B1251" s="3">
        <v>1358</v>
      </c>
      <c r="C1251" s="3" t="s">
        <v>9</v>
      </c>
      <c r="D1251" s="3" t="s">
        <v>17</v>
      </c>
      <c r="E1251" s="4">
        <v>42430</v>
      </c>
      <c r="F1251" s="4"/>
      <c r="G1251" s="3" t="s">
        <v>27</v>
      </c>
      <c r="H1251" s="5">
        <v>18681</v>
      </c>
      <c r="I1251" s="3" t="str">
        <f>VLOOKUP(Tabela1[[#This Row],[Advogado]],Tabela2[],2,FALSE)</f>
        <v>Renê Amaranto</v>
      </c>
      <c r="J1251" s="17">
        <f>IF(Tabela1[[#This Row],[Data de conclusão]]="",NETWORKDAYS(Tabela1[[#This Row],[Data de entrada]],$J$2),NETWORKDAYS(Tabela1[[#This Row],[Data de entrada]],Tabela1[[#This Row],[Data de conclusão]]))</f>
        <v>576</v>
      </c>
      <c r="K1251" s="1"/>
    </row>
    <row r="1252" spans="2:11" x14ac:dyDescent="0.25">
      <c r="B1252" s="3">
        <v>1359</v>
      </c>
      <c r="C1252" s="3" t="s">
        <v>7</v>
      </c>
      <c r="D1252" s="3" t="s">
        <v>10</v>
      </c>
      <c r="E1252" s="4">
        <v>42894</v>
      </c>
      <c r="F1252" s="4"/>
      <c r="G1252" s="3" t="s">
        <v>29</v>
      </c>
      <c r="H1252" s="5">
        <v>48903</v>
      </c>
      <c r="I1252" s="3" t="str">
        <f>VLOOKUP(Tabela1[[#This Row],[Advogado]],Tabela2[],2,FALSE)</f>
        <v>Caio Brito</v>
      </c>
      <c r="J1252" s="17">
        <f>IF(Tabela1[[#This Row],[Data de conclusão]]="",NETWORKDAYS(Tabela1[[#This Row],[Data de entrada]],$J$2),NETWORKDAYS(Tabela1[[#This Row],[Data de entrada]],Tabela1[[#This Row],[Data de conclusão]]))</f>
        <v>244</v>
      </c>
      <c r="K1252" s="1"/>
    </row>
    <row r="1253" spans="2:11" x14ac:dyDescent="0.25">
      <c r="B1253" s="3">
        <v>1360</v>
      </c>
      <c r="C1253" s="3" t="s">
        <v>8</v>
      </c>
      <c r="D1253" s="3" t="s">
        <v>11</v>
      </c>
      <c r="E1253" s="4">
        <v>42986</v>
      </c>
      <c r="F1253" s="4"/>
      <c r="G1253" s="3" t="s">
        <v>29</v>
      </c>
      <c r="H1253" s="5">
        <v>37991</v>
      </c>
      <c r="I1253" s="3" t="str">
        <f>VLOOKUP(Tabela1[[#This Row],[Advogado]],Tabela2[],2,FALSE)</f>
        <v>Caio Brito</v>
      </c>
      <c r="J1253" s="17">
        <f>IF(Tabela1[[#This Row],[Data de conclusão]]="",NETWORKDAYS(Tabela1[[#This Row],[Data de entrada]],$J$2),NETWORKDAYS(Tabela1[[#This Row],[Data de entrada]],Tabela1[[#This Row],[Data de conclusão]]))</f>
        <v>178</v>
      </c>
      <c r="K1253" s="1"/>
    </row>
    <row r="1254" spans="2:11" x14ac:dyDescent="0.25">
      <c r="B1254" s="3">
        <v>1361</v>
      </c>
      <c r="C1254" s="3" t="s">
        <v>9</v>
      </c>
      <c r="D1254" s="3" t="s">
        <v>12</v>
      </c>
      <c r="E1254" s="4">
        <v>43078</v>
      </c>
      <c r="F1254" s="4"/>
      <c r="G1254" s="3" t="s">
        <v>29</v>
      </c>
      <c r="H1254" s="5">
        <v>42770</v>
      </c>
      <c r="I1254" s="3" t="str">
        <f>VLOOKUP(Tabela1[[#This Row],[Advogado]],Tabela2[],2,FALSE)</f>
        <v>Caio Brito</v>
      </c>
      <c r="J1254" s="17">
        <f>IF(Tabela1[[#This Row],[Data de conclusão]]="",NETWORKDAYS(Tabela1[[#This Row],[Data de entrada]],$J$2),NETWORKDAYS(Tabela1[[#This Row],[Data de entrada]],Tabela1[[#This Row],[Data de conclusão]]))</f>
        <v>112</v>
      </c>
      <c r="K1254" s="1"/>
    </row>
    <row r="1255" spans="2:11" x14ac:dyDescent="0.25">
      <c r="B1255" s="3">
        <v>1362</v>
      </c>
      <c r="C1255" s="3" t="s">
        <v>7</v>
      </c>
      <c r="D1255" s="3" t="s">
        <v>13</v>
      </c>
      <c r="E1255" s="4">
        <v>42908</v>
      </c>
      <c r="F1255" s="4"/>
      <c r="G1255" s="3" t="s">
        <v>29</v>
      </c>
      <c r="H1255" s="5">
        <v>2392</v>
      </c>
      <c r="I1255" s="3" t="str">
        <f>VLOOKUP(Tabela1[[#This Row],[Advogado]],Tabela2[],2,FALSE)</f>
        <v>Caio Brito</v>
      </c>
      <c r="J1255" s="17">
        <f>IF(Tabela1[[#This Row],[Data de conclusão]]="",NETWORKDAYS(Tabela1[[#This Row],[Data de entrada]],$J$2),NETWORKDAYS(Tabela1[[#This Row],[Data de entrada]],Tabela1[[#This Row],[Data de conclusão]]))</f>
        <v>234</v>
      </c>
      <c r="K1255" s="1"/>
    </row>
    <row r="1256" spans="2:11" x14ac:dyDescent="0.25">
      <c r="B1256" s="3">
        <v>1363</v>
      </c>
      <c r="C1256" s="3" t="s">
        <v>8</v>
      </c>
      <c r="D1256" s="3" t="s">
        <v>14</v>
      </c>
      <c r="E1256" s="4">
        <v>42387</v>
      </c>
      <c r="F1256" s="4"/>
      <c r="G1256" s="3" t="s">
        <v>29</v>
      </c>
      <c r="H1256" s="5">
        <v>1105</v>
      </c>
      <c r="I1256" s="3" t="str">
        <f>VLOOKUP(Tabela1[[#This Row],[Advogado]],Tabela2[],2,FALSE)</f>
        <v>Renê Amaranto</v>
      </c>
      <c r="J1256" s="17">
        <f>IF(Tabela1[[#This Row],[Data de conclusão]]="",NETWORKDAYS(Tabela1[[#This Row],[Data de entrada]],$J$2),NETWORKDAYS(Tabela1[[#This Row],[Data de entrada]],Tabela1[[#This Row],[Data de conclusão]]))</f>
        <v>607</v>
      </c>
      <c r="K1256" s="1"/>
    </row>
    <row r="1257" spans="2:11" x14ac:dyDescent="0.25">
      <c r="B1257" s="3">
        <v>1364</v>
      </c>
      <c r="C1257" s="3" t="s">
        <v>9</v>
      </c>
      <c r="D1257" s="3" t="s">
        <v>15</v>
      </c>
      <c r="E1257" s="4">
        <v>43070</v>
      </c>
      <c r="F1257" s="4"/>
      <c r="G1257" s="3" t="s">
        <v>29</v>
      </c>
      <c r="H1257" s="5">
        <v>44859</v>
      </c>
      <c r="I1257" s="3" t="str">
        <f>VLOOKUP(Tabela1[[#This Row],[Advogado]],Tabela2[],2,FALSE)</f>
        <v>Renê Amaranto</v>
      </c>
      <c r="J1257" s="17">
        <f>IF(Tabela1[[#This Row],[Data de conclusão]]="",NETWORKDAYS(Tabela1[[#This Row],[Data de entrada]],$J$2),NETWORKDAYS(Tabela1[[#This Row],[Data de entrada]],Tabela1[[#This Row],[Data de conclusão]]))</f>
        <v>118</v>
      </c>
      <c r="K1257" s="1"/>
    </row>
    <row r="1258" spans="2:11" x14ac:dyDescent="0.25">
      <c r="B1258" s="3">
        <v>1365</v>
      </c>
      <c r="C1258" s="3" t="s">
        <v>7</v>
      </c>
      <c r="D1258" s="3" t="s">
        <v>16</v>
      </c>
      <c r="E1258" s="4">
        <v>42643</v>
      </c>
      <c r="F1258" s="4"/>
      <c r="G1258" s="3" t="s">
        <v>29</v>
      </c>
      <c r="H1258" s="5">
        <v>49060</v>
      </c>
      <c r="I1258" s="3" t="str">
        <f>VLOOKUP(Tabela1[[#This Row],[Advogado]],Tabela2[],2,FALSE)</f>
        <v>Renê Amaranto</v>
      </c>
      <c r="J1258" s="17">
        <f>IF(Tabela1[[#This Row],[Data de conclusão]]="",NETWORKDAYS(Tabela1[[#This Row],[Data de entrada]],$J$2),NETWORKDAYS(Tabela1[[#This Row],[Data de entrada]],Tabela1[[#This Row],[Data de conclusão]]))</f>
        <v>423</v>
      </c>
      <c r="K1258" s="1"/>
    </row>
    <row r="1259" spans="2:11" x14ac:dyDescent="0.25">
      <c r="B1259" s="3">
        <v>1366</v>
      </c>
      <c r="C1259" s="3" t="s">
        <v>8</v>
      </c>
      <c r="D1259" s="3" t="s">
        <v>17</v>
      </c>
      <c r="E1259" s="4">
        <v>42709</v>
      </c>
      <c r="F1259" s="4"/>
      <c r="G1259" s="3" t="s">
        <v>29</v>
      </c>
      <c r="H1259" s="5">
        <v>9424</v>
      </c>
      <c r="I1259" s="3" t="str">
        <f>VLOOKUP(Tabela1[[#This Row],[Advogado]],Tabela2[],2,FALSE)</f>
        <v>Renê Amaranto</v>
      </c>
      <c r="J1259" s="17">
        <f>IF(Tabela1[[#This Row],[Data de conclusão]]="",NETWORKDAYS(Tabela1[[#This Row],[Data de entrada]],$J$2),NETWORKDAYS(Tabela1[[#This Row],[Data de entrada]],Tabela1[[#This Row],[Data de conclusão]]))</f>
        <v>377</v>
      </c>
      <c r="K1259" s="1"/>
    </row>
    <row r="1260" spans="2:11" x14ac:dyDescent="0.25">
      <c r="B1260" s="3">
        <v>1367</v>
      </c>
      <c r="C1260" s="3" t="s">
        <v>9</v>
      </c>
      <c r="D1260" s="3" t="s">
        <v>10</v>
      </c>
      <c r="E1260" s="4">
        <v>42929</v>
      </c>
      <c r="F1260" s="4"/>
      <c r="G1260" s="3" t="s">
        <v>29</v>
      </c>
      <c r="H1260" s="5">
        <v>4944</v>
      </c>
      <c r="I1260" s="3" t="str">
        <f>VLOOKUP(Tabela1[[#This Row],[Advogado]],Tabela2[],2,FALSE)</f>
        <v>Caio Brito</v>
      </c>
      <c r="J1260" s="17">
        <f>IF(Tabela1[[#This Row],[Data de conclusão]]="",NETWORKDAYS(Tabela1[[#This Row],[Data de entrada]],$J$2),NETWORKDAYS(Tabela1[[#This Row],[Data de entrada]],Tabela1[[#This Row],[Data de conclusão]]))</f>
        <v>219</v>
      </c>
      <c r="K1260" s="1"/>
    </row>
    <row r="1261" spans="2:11" x14ac:dyDescent="0.25">
      <c r="B1261" s="3">
        <v>1368</v>
      </c>
      <c r="C1261" s="3" t="s">
        <v>7</v>
      </c>
      <c r="D1261" s="3" t="s">
        <v>11</v>
      </c>
      <c r="E1261" s="4">
        <v>42968</v>
      </c>
      <c r="F1261" s="4"/>
      <c r="G1261" s="3" t="s">
        <v>29</v>
      </c>
      <c r="H1261" s="5">
        <v>37608</v>
      </c>
      <c r="I1261" s="3" t="str">
        <f>VLOOKUP(Tabela1[[#This Row],[Advogado]],Tabela2[],2,FALSE)</f>
        <v>Caio Brito</v>
      </c>
      <c r="J1261" s="17">
        <f>IF(Tabela1[[#This Row],[Data de conclusão]]="",NETWORKDAYS(Tabela1[[#This Row],[Data de entrada]],$J$2),NETWORKDAYS(Tabela1[[#This Row],[Data de entrada]],Tabela1[[#This Row],[Data de conclusão]]))</f>
        <v>192</v>
      </c>
      <c r="K1261" s="1"/>
    </row>
    <row r="1262" spans="2:11" x14ac:dyDescent="0.25">
      <c r="B1262" s="3">
        <v>1369</v>
      </c>
      <c r="C1262" s="3" t="s">
        <v>8</v>
      </c>
      <c r="D1262" s="3" t="s">
        <v>12</v>
      </c>
      <c r="E1262" s="4">
        <v>42544</v>
      </c>
      <c r="F1262" s="4"/>
      <c r="G1262" s="3" t="s">
        <v>29</v>
      </c>
      <c r="H1262" s="5">
        <v>51676</v>
      </c>
      <c r="I1262" s="3" t="str">
        <f>VLOOKUP(Tabela1[[#This Row],[Advogado]],Tabela2[],2,FALSE)</f>
        <v>Caio Brito</v>
      </c>
      <c r="J1262" s="17">
        <f>IF(Tabela1[[#This Row],[Data de conclusão]]="",NETWORKDAYS(Tabela1[[#This Row],[Data de entrada]],$J$2),NETWORKDAYS(Tabela1[[#This Row],[Data de entrada]],Tabela1[[#This Row],[Data de conclusão]]))</f>
        <v>494</v>
      </c>
      <c r="K1262" s="1"/>
    </row>
    <row r="1263" spans="2:11" x14ac:dyDescent="0.25">
      <c r="B1263" s="3">
        <v>1370</v>
      </c>
      <c r="C1263" s="3" t="s">
        <v>9</v>
      </c>
      <c r="D1263" s="3" t="s">
        <v>13</v>
      </c>
      <c r="E1263" s="4">
        <v>42905</v>
      </c>
      <c r="F1263" s="4">
        <v>42968</v>
      </c>
      <c r="G1263" s="3" t="s">
        <v>28</v>
      </c>
      <c r="H1263" s="5">
        <v>10006</v>
      </c>
      <c r="I1263" s="3" t="str">
        <f>VLOOKUP(Tabela1[[#This Row],[Advogado]],Tabela2[],2,FALSE)</f>
        <v>Caio Brito</v>
      </c>
      <c r="J1263" s="17">
        <f>IF(Tabela1[[#This Row],[Data de conclusão]]="",NETWORKDAYS(Tabela1[[#This Row],[Data de entrada]],$J$2),NETWORKDAYS(Tabela1[[#This Row],[Data de entrada]],Tabela1[[#This Row],[Data de conclusão]]))</f>
        <v>46</v>
      </c>
      <c r="K1263" s="1"/>
    </row>
    <row r="1264" spans="2:11" x14ac:dyDescent="0.25">
      <c r="B1264" s="3">
        <v>1371</v>
      </c>
      <c r="C1264" s="3" t="s">
        <v>7</v>
      </c>
      <c r="D1264" s="3" t="s">
        <v>14</v>
      </c>
      <c r="E1264" s="4">
        <v>42970</v>
      </c>
      <c r="F1264" s="4"/>
      <c r="G1264" s="3" t="s">
        <v>27</v>
      </c>
      <c r="H1264" s="5">
        <v>28946</v>
      </c>
      <c r="I1264" s="3" t="str">
        <f>VLOOKUP(Tabela1[[#This Row],[Advogado]],Tabela2[],2,FALSE)</f>
        <v>Renê Amaranto</v>
      </c>
      <c r="J1264" s="17">
        <f>IF(Tabela1[[#This Row],[Data de conclusão]]="",NETWORKDAYS(Tabela1[[#This Row],[Data de entrada]],$J$2),NETWORKDAYS(Tabela1[[#This Row],[Data de entrada]],Tabela1[[#This Row],[Data de conclusão]]))</f>
        <v>190</v>
      </c>
      <c r="K1264" s="1"/>
    </row>
    <row r="1265" spans="2:11" x14ac:dyDescent="0.25">
      <c r="B1265" s="3">
        <v>1372</v>
      </c>
      <c r="C1265" s="3" t="s">
        <v>8</v>
      </c>
      <c r="D1265" s="3" t="s">
        <v>15</v>
      </c>
      <c r="E1265" s="4">
        <v>42772</v>
      </c>
      <c r="F1265" s="4"/>
      <c r="G1265" s="3" t="s">
        <v>29</v>
      </c>
      <c r="H1265" s="5">
        <v>7093</v>
      </c>
      <c r="I1265" s="3" t="str">
        <f>VLOOKUP(Tabela1[[#This Row],[Advogado]],Tabela2[],2,FALSE)</f>
        <v>Renê Amaranto</v>
      </c>
      <c r="J1265" s="17">
        <f>IF(Tabela1[[#This Row],[Data de conclusão]]="",NETWORKDAYS(Tabela1[[#This Row],[Data de entrada]],$J$2),NETWORKDAYS(Tabela1[[#This Row],[Data de entrada]],Tabela1[[#This Row],[Data de conclusão]]))</f>
        <v>332</v>
      </c>
      <c r="K1265" s="1"/>
    </row>
    <row r="1266" spans="2:11" x14ac:dyDescent="0.25">
      <c r="B1266" s="3">
        <v>1373</v>
      </c>
      <c r="C1266" s="3" t="s">
        <v>9</v>
      </c>
      <c r="D1266" s="3" t="s">
        <v>16</v>
      </c>
      <c r="E1266" s="4">
        <v>42668</v>
      </c>
      <c r="F1266" s="4"/>
      <c r="G1266" s="3" t="s">
        <v>29</v>
      </c>
      <c r="H1266" s="5">
        <v>16861</v>
      </c>
      <c r="I1266" s="3" t="str">
        <f>VLOOKUP(Tabela1[[#This Row],[Advogado]],Tabela2[],2,FALSE)</f>
        <v>Renê Amaranto</v>
      </c>
      <c r="J1266" s="17">
        <f>IF(Tabela1[[#This Row],[Data de conclusão]]="",NETWORKDAYS(Tabela1[[#This Row],[Data de entrada]],$J$2),NETWORKDAYS(Tabela1[[#This Row],[Data de entrada]],Tabela1[[#This Row],[Data de conclusão]]))</f>
        <v>406</v>
      </c>
      <c r="K1266" s="1"/>
    </row>
    <row r="1267" spans="2:11" x14ac:dyDescent="0.25">
      <c r="B1267" s="3">
        <v>1374</v>
      </c>
      <c r="C1267" s="3" t="s">
        <v>7</v>
      </c>
      <c r="D1267" s="3" t="s">
        <v>17</v>
      </c>
      <c r="E1267" s="4">
        <v>42675</v>
      </c>
      <c r="F1267" s="4"/>
      <c r="G1267" s="3" t="s">
        <v>29</v>
      </c>
      <c r="H1267" s="5">
        <v>45645</v>
      </c>
      <c r="I1267" s="3" t="str">
        <f>VLOOKUP(Tabela1[[#This Row],[Advogado]],Tabela2[],2,FALSE)</f>
        <v>Renê Amaranto</v>
      </c>
      <c r="J1267" s="17">
        <f>IF(Tabela1[[#This Row],[Data de conclusão]]="",NETWORKDAYS(Tabela1[[#This Row],[Data de entrada]],$J$2),NETWORKDAYS(Tabela1[[#This Row],[Data de entrada]],Tabela1[[#This Row],[Data de conclusão]]))</f>
        <v>401</v>
      </c>
      <c r="K1267" s="1"/>
    </row>
    <row r="1268" spans="2:11" x14ac:dyDescent="0.25">
      <c r="B1268" s="3">
        <v>1375</v>
      </c>
      <c r="C1268" s="3" t="s">
        <v>8</v>
      </c>
      <c r="D1268" s="3" t="s">
        <v>10</v>
      </c>
      <c r="E1268" s="4">
        <v>42700</v>
      </c>
      <c r="F1268" s="4"/>
      <c r="G1268" s="3" t="s">
        <v>29</v>
      </c>
      <c r="H1268" s="5">
        <v>10547</v>
      </c>
      <c r="I1268" s="3" t="str">
        <f>VLOOKUP(Tabela1[[#This Row],[Advogado]],Tabela2[],2,FALSE)</f>
        <v>Caio Brito</v>
      </c>
      <c r="J1268" s="17">
        <f>IF(Tabela1[[#This Row],[Data de conclusão]]="",NETWORKDAYS(Tabela1[[#This Row],[Data de entrada]],$J$2),NETWORKDAYS(Tabela1[[#This Row],[Data de entrada]],Tabela1[[#This Row],[Data de conclusão]]))</f>
        <v>382</v>
      </c>
      <c r="K1268" s="1"/>
    </row>
    <row r="1269" spans="2:11" x14ac:dyDescent="0.25">
      <c r="B1269" s="3">
        <v>1376</v>
      </c>
      <c r="C1269" s="3" t="s">
        <v>9</v>
      </c>
      <c r="D1269" s="3" t="s">
        <v>11</v>
      </c>
      <c r="E1269" s="4">
        <v>43080</v>
      </c>
      <c r="F1269" s="4"/>
      <c r="G1269" s="3" t="s">
        <v>29</v>
      </c>
      <c r="H1269" s="5">
        <v>5932</v>
      </c>
      <c r="I1269" s="3" t="str">
        <f>VLOOKUP(Tabela1[[#This Row],[Advogado]],Tabela2[],2,FALSE)</f>
        <v>Caio Brito</v>
      </c>
      <c r="J1269" s="17">
        <f>IF(Tabela1[[#This Row],[Data de conclusão]]="",NETWORKDAYS(Tabela1[[#This Row],[Data de entrada]],$J$2),NETWORKDAYS(Tabela1[[#This Row],[Data de entrada]],Tabela1[[#This Row],[Data de conclusão]]))</f>
        <v>112</v>
      </c>
      <c r="K1269" s="1"/>
    </row>
    <row r="1270" spans="2:11" x14ac:dyDescent="0.25">
      <c r="B1270" s="3">
        <v>1377</v>
      </c>
      <c r="C1270" s="3" t="s">
        <v>7</v>
      </c>
      <c r="D1270" s="3" t="s">
        <v>12</v>
      </c>
      <c r="E1270" s="4">
        <v>42926</v>
      </c>
      <c r="F1270" s="4"/>
      <c r="G1270" s="3" t="s">
        <v>29</v>
      </c>
      <c r="H1270" s="5">
        <v>21568</v>
      </c>
      <c r="I1270" s="3" t="str">
        <f>VLOOKUP(Tabela1[[#This Row],[Advogado]],Tabela2[],2,FALSE)</f>
        <v>Caio Brito</v>
      </c>
      <c r="J1270" s="17">
        <f>IF(Tabela1[[#This Row],[Data de conclusão]]="",NETWORKDAYS(Tabela1[[#This Row],[Data de entrada]],$J$2),NETWORKDAYS(Tabela1[[#This Row],[Data de entrada]],Tabela1[[#This Row],[Data de conclusão]]))</f>
        <v>222</v>
      </c>
      <c r="K1270" s="1"/>
    </row>
    <row r="1271" spans="2:11" x14ac:dyDescent="0.25">
      <c r="B1271" s="3">
        <v>1378</v>
      </c>
      <c r="C1271" s="3" t="s">
        <v>8</v>
      </c>
      <c r="D1271" s="3" t="s">
        <v>13</v>
      </c>
      <c r="E1271" s="4">
        <v>42934</v>
      </c>
      <c r="F1271" s="4"/>
      <c r="G1271" s="3" t="s">
        <v>29</v>
      </c>
      <c r="H1271" s="5">
        <v>9937</v>
      </c>
      <c r="I1271" s="3" t="str">
        <f>VLOOKUP(Tabela1[[#This Row],[Advogado]],Tabela2[],2,FALSE)</f>
        <v>Caio Brito</v>
      </c>
      <c r="J1271" s="17">
        <f>IF(Tabela1[[#This Row],[Data de conclusão]]="",NETWORKDAYS(Tabela1[[#This Row],[Data de entrada]],$J$2),NETWORKDAYS(Tabela1[[#This Row],[Data de entrada]],Tabela1[[#This Row],[Data de conclusão]]))</f>
        <v>216</v>
      </c>
      <c r="K1271" s="1"/>
    </row>
    <row r="1272" spans="2:11" x14ac:dyDescent="0.25">
      <c r="B1272" s="3">
        <v>1379</v>
      </c>
      <c r="C1272" s="3" t="s">
        <v>9</v>
      </c>
      <c r="D1272" s="3" t="s">
        <v>14</v>
      </c>
      <c r="E1272" s="4">
        <v>42780</v>
      </c>
      <c r="F1272" s="4"/>
      <c r="G1272" s="3" t="s">
        <v>29</v>
      </c>
      <c r="H1272" s="5">
        <v>15250</v>
      </c>
      <c r="I1272" s="3" t="str">
        <f>VLOOKUP(Tabela1[[#This Row],[Advogado]],Tabela2[],2,FALSE)</f>
        <v>Renê Amaranto</v>
      </c>
      <c r="J1272" s="17">
        <f>IF(Tabela1[[#This Row],[Data de conclusão]]="",NETWORKDAYS(Tabela1[[#This Row],[Data de entrada]],$J$2),NETWORKDAYS(Tabela1[[#This Row],[Data de entrada]],Tabela1[[#This Row],[Data de conclusão]]))</f>
        <v>326</v>
      </c>
      <c r="K1272" s="1"/>
    </row>
    <row r="1273" spans="2:11" x14ac:dyDescent="0.25">
      <c r="B1273" s="3">
        <v>1380</v>
      </c>
      <c r="C1273" s="3" t="s">
        <v>7</v>
      </c>
      <c r="D1273" s="3" t="s">
        <v>15</v>
      </c>
      <c r="E1273" s="4">
        <v>42918</v>
      </c>
      <c r="F1273" s="4"/>
      <c r="G1273" s="3" t="s">
        <v>29</v>
      </c>
      <c r="H1273" s="5">
        <v>20486</v>
      </c>
      <c r="I1273" s="3" t="str">
        <f>VLOOKUP(Tabela1[[#This Row],[Advogado]],Tabela2[],2,FALSE)</f>
        <v>Renê Amaranto</v>
      </c>
      <c r="J1273" s="17">
        <f>IF(Tabela1[[#This Row],[Data de conclusão]]="",NETWORKDAYS(Tabela1[[#This Row],[Data de entrada]],$J$2),NETWORKDAYS(Tabela1[[#This Row],[Data de entrada]],Tabela1[[#This Row],[Data de conclusão]]))</f>
        <v>227</v>
      </c>
      <c r="K1273" s="1"/>
    </row>
    <row r="1274" spans="2:11" x14ac:dyDescent="0.25">
      <c r="B1274" s="3">
        <v>1381</v>
      </c>
      <c r="C1274" s="3" t="s">
        <v>8</v>
      </c>
      <c r="D1274" s="3" t="s">
        <v>16</v>
      </c>
      <c r="E1274" s="4">
        <v>42418</v>
      </c>
      <c r="F1274" s="4"/>
      <c r="G1274" s="3" t="s">
        <v>29</v>
      </c>
      <c r="H1274" s="5">
        <v>47366</v>
      </c>
      <c r="I1274" s="3" t="str">
        <f>VLOOKUP(Tabela1[[#This Row],[Advogado]],Tabela2[],2,FALSE)</f>
        <v>Renê Amaranto</v>
      </c>
      <c r="J1274" s="17">
        <f>IF(Tabela1[[#This Row],[Data de conclusão]]="",NETWORKDAYS(Tabela1[[#This Row],[Data de entrada]],$J$2),NETWORKDAYS(Tabela1[[#This Row],[Data de entrada]],Tabela1[[#This Row],[Data de conclusão]]))</f>
        <v>584</v>
      </c>
      <c r="K1274" s="1"/>
    </row>
    <row r="1275" spans="2:11" x14ac:dyDescent="0.25">
      <c r="B1275" s="3">
        <v>1382</v>
      </c>
      <c r="C1275" s="3" t="s">
        <v>9</v>
      </c>
      <c r="D1275" s="3" t="s">
        <v>17</v>
      </c>
      <c r="E1275" s="4">
        <v>42742</v>
      </c>
      <c r="F1275" s="4"/>
      <c r="G1275" s="3" t="s">
        <v>29</v>
      </c>
      <c r="H1275" s="5">
        <v>34065</v>
      </c>
      <c r="I1275" s="3" t="str">
        <f>VLOOKUP(Tabela1[[#This Row],[Advogado]],Tabela2[],2,FALSE)</f>
        <v>Renê Amaranto</v>
      </c>
      <c r="J1275" s="17">
        <f>IF(Tabela1[[#This Row],[Data de conclusão]]="",NETWORKDAYS(Tabela1[[#This Row],[Data de entrada]],$J$2),NETWORKDAYS(Tabela1[[#This Row],[Data de entrada]],Tabela1[[#This Row],[Data de conclusão]]))</f>
        <v>352</v>
      </c>
      <c r="K1275" s="1"/>
    </row>
    <row r="1276" spans="2:11" x14ac:dyDescent="0.25">
      <c r="B1276" s="3">
        <v>1383</v>
      </c>
      <c r="C1276" s="3" t="s">
        <v>7</v>
      </c>
      <c r="D1276" s="3" t="s">
        <v>10</v>
      </c>
      <c r="E1276" s="4">
        <v>42838</v>
      </c>
      <c r="F1276" s="4">
        <v>42978</v>
      </c>
      <c r="G1276" s="3" t="s">
        <v>28</v>
      </c>
      <c r="H1276" s="5">
        <v>45968</v>
      </c>
      <c r="I1276" s="3" t="str">
        <f>VLOOKUP(Tabela1[[#This Row],[Advogado]],Tabela2[],2,FALSE)</f>
        <v>Caio Brito</v>
      </c>
      <c r="J1276" s="17">
        <f>IF(Tabela1[[#This Row],[Data de conclusão]]="",NETWORKDAYS(Tabela1[[#This Row],[Data de entrada]],$J$2),NETWORKDAYS(Tabela1[[#This Row],[Data de entrada]],Tabela1[[#This Row],[Data de conclusão]]))</f>
        <v>101</v>
      </c>
      <c r="K1276" s="1"/>
    </row>
    <row r="1277" spans="2:11" x14ac:dyDescent="0.25">
      <c r="B1277" s="3">
        <v>1384</v>
      </c>
      <c r="C1277" s="3" t="s">
        <v>8</v>
      </c>
      <c r="D1277" s="3" t="s">
        <v>11</v>
      </c>
      <c r="E1277" s="4">
        <v>42609</v>
      </c>
      <c r="F1277" s="4"/>
      <c r="G1277" s="3" t="s">
        <v>27</v>
      </c>
      <c r="H1277" s="5">
        <v>21907</v>
      </c>
      <c r="I1277" s="3" t="str">
        <f>VLOOKUP(Tabela1[[#This Row],[Advogado]],Tabela2[],2,FALSE)</f>
        <v>Caio Brito</v>
      </c>
      <c r="J1277" s="17">
        <f>IF(Tabela1[[#This Row],[Data de conclusão]]="",NETWORKDAYS(Tabela1[[#This Row],[Data de entrada]],$J$2),NETWORKDAYS(Tabela1[[#This Row],[Data de entrada]],Tabela1[[#This Row],[Data de conclusão]]))</f>
        <v>447</v>
      </c>
      <c r="K1277" s="1"/>
    </row>
    <row r="1278" spans="2:11" x14ac:dyDescent="0.25">
      <c r="B1278" s="3">
        <v>1385</v>
      </c>
      <c r="C1278" s="3" t="s">
        <v>9</v>
      </c>
      <c r="D1278" s="3" t="s">
        <v>12</v>
      </c>
      <c r="E1278" s="4">
        <v>42482</v>
      </c>
      <c r="F1278" s="4"/>
      <c r="G1278" s="3" t="s">
        <v>29</v>
      </c>
      <c r="H1278" s="5">
        <v>44343</v>
      </c>
      <c r="I1278" s="3" t="str">
        <f>VLOOKUP(Tabela1[[#This Row],[Advogado]],Tabela2[],2,FALSE)</f>
        <v>Caio Brito</v>
      </c>
      <c r="J1278" s="17">
        <f>IF(Tabela1[[#This Row],[Data de conclusão]]="",NETWORKDAYS(Tabela1[[#This Row],[Data de entrada]],$J$2),NETWORKDAYS(Tabela1[[#This Row],[Data de entrada]],Tabela1[[#This Row],[Data de conclusão]]))</f>
        <v>538</v>
      </c>
      <c r="K1278" s="1"/>
    </row>
    <row r="1279" spans="2:11" x14ac:dyDescent="0.25">
      <c r="B1279" s="3">
        <v>1386</v>
      </c>
      <c r="C1279" s="3" t="s">
        <v>7</v>
      </c>
      <c r="D1279" s="3" t="s">
        <v>13</v>
      </c>
      <c r="E1279" s="4">
        <v>43076</v>
      </c>
      <c r="F1279" s="4"/>
      <c r="G1279" s="3" t="s">
        <v>29</v>
      </c>
      <c r="H1279" s="5">
        <v>30663</v>
      </c>
      <c r="I1279" s="3" t="str">
        <f>VLOOKUP(Tabela1[[#This Row],[Advogado]],Tabela2[],2,FALSE)</f>
        <v>Caio Brito</v>
      </c>
      <c r="J1279" s="17">
        <f>IF(Tabela1[[#This Row],[Data de conclusão]]="",NETWORKDAYS(Tabela1[[#This Row],[Data de entrada]],$J$2),NETWORKDAYS(Tabela1[[#This Row],[Data de entrada]],Tabela1[[#This Row],[Data de conclusão]]))</f>
        <v>114</v>
      </c>
      <c r="K1279" s="1"/>
    </row>
    <row r="1280" spans="2:11" x14ac:dyDescent="0.25">
      <c r="B1280" s="3">
        <v>1387</v>
      </c>
      <c r="C1280" s="3" t="s">
        <v>8</v>
      </c>
      <c r="D1280" s="3" t="s">
        <v>14</v>
      </c>
      <c r="E1280" s="4">
        <v>42451</v>
      </c>
      <c r="F1280" s="4"/>
      <c r="G1280" s="3" t="s">
        <v>29</v>
      </c>
      <c r="H1280" s="5">
        <v>55682</v>
      </c>
      <c r="I1280" s="3" t="str">
        <f>VLOOKUP(Tabela1[[#This Row],[Advogado]],Tabela2[],2,FALSE)</f>
        <v>Renê Amaranto</v>
      </c>
      <c r="J1280" s="17">
        <f>IF(Tabela1[[#This Row],[Data de conclusão]]="",NETWORKDAYS(Tabela1[[#This Row],[Data de entrada]],$J$2),NETWORKDAYS(Tabela1[[#This Row],[Data de entrada]],Tabela1[[#This Row],[Data de conclusão]]))</f>
        <v>561</v>
      </c>
      <c r="K1280" s="1"/>
    </row>
    <row r="1281" spans="2:11" x14ac:dyDescent="0.25">
      <c r="B1281" s="3">
        <v>1388</v>
      </c>
      <c r="C1281" s="3" t="s">
        <v>9</v>
      </c>
      <c r="D1281" s="3" t="s">
        <v>15</v>
      </c>
      <c r="E1281" s="4">
        <v>42975</v>
      </c>
      <c r="F1281" s="4"/>
      <c r="G1281" s="3" t="s">
        <v>29</v>
      </c>
      <c r="H1281" s="5">
        <v>29760</v>
      </c>
      <c r="I1281" s="3" t="str">
        <f>VLOOKUP(Tabela1[[#This Row],[Advogado]],Tabela2[],2,FALSE)</f>
        <v>Renê Amaranto</v>
      </c>
      <c r="J1281" s="17">
        <f>IF(Tabela1[[#This Row],[Data de conclusão]]="",NETWORKDAYS(Tabela1[[#This Row],[Data de entrada]],$J$2),NETWORKDAYS(Tabela1[[#This Row],[Data de entrada]],Tabela1[[#This Row],[Data de conclusão]]))</f>
        <v>187</v>
      </c>
      <c r="K1281" s="1"/>
    </row>
    <row r="1282" spans="2:11" x14ac:dyDescent="0.25">
      <c r="B1282" s="3">
        <v>1389</v>
      </c>
      <c r="C1282" s="3" t="s">
        <v>7</v>
      </c>
      <c r="D1282" s="3" t="s">
        <v>16</v>
      </c>
      <c r="E1282" s="4">
        <v>42818</v>
      </c>
      <c r="F1282" s="4"/>
      <c r="G1282" s="3" t="s">
        <v>29</v>
      </c>
      <c r="H1282" s="5">
        <v>57439</v>
      </c>
      <c r="I1282" s="3" t="str">
        <f>VLOOKUP(Tabela1[[#This Row],[Advogado]],Tabela2[],2,FALSE)</f>
        <v>Renê Amaranto</v>
      </c>
      <c r="J1282" s="17">
        <f>IF(Tabela1[[#This Row],[Data de conclusão]]="",NETWORKDAYS(Tabela1[[#This Row],[Data de entrada]],$J$2),NETWORKDAYS(Tabela1[[#This Row],[Data de entrada]],Tabela1[[#This Row],[Data de conclusão]]))</f>
        <v>298</v>
      </c>
      <c r="K1282" s="1"/>
    </row>
    <row r="1283" spans="2:11" x14ac:dyDescent="0.25">
      <c r="B1283" s="3">
        <v>1390</v>
      </c>
      <c r="C1283" s="3" t="s">
        <v>8</v>
      </c>
      <c r="D1283" s="3" t="s">
        <v>17</v>
      </c>
      <c r="E1283" s="4">
        <v>42998</v>
      </c>
      <c r="F1283" s="4"/>
      <c r="G1283" s="3" t="s">
        <v>29</v>
      </c>
      <c r="H1283" s="5">
        <v>37387</v>
      </c>
      <c r="I1283" s="3" t="str">
        <f>VLOOKUP(Tabela1[[#This Row],[Advogado]],Tabela2[],2,FALSE)</f>
        <v>Renê Amaranto</v>
      </c>
      <c r="J1283" s="17">
        <f>IF(Tabela1[[#This Row],[Data de conclusão]]="",NETWORKDAYS(Tabela1[[#This Row],[Data de entrada]],$J$2),NETWORKDAYS(Tabela1[[#This Row],[Data de entrada]],Tabela1[[#This Row],[Data de conclusão]]))</f>
        <v>170</v>
      </c>
      <c r="K1283" s="1"/>
    </row>
    <row r="1284" spans="2:11" x14ac:dyDescent="0.25">
      <c r="B1284" s="3">
        <v>1391</v>
      </c>
      <c r="C1284" s="3" t="s">
        <v>9</v>
      </c>
      <c r="D1284" s="3" t="s">
        <v>10</v>
      </c>
      <c r="E1284" s="4">
        <v>42871</v>
      </c>
      <c r="F1284" s="4"/>
      <c r="G1284" s="3" t="s">
        <v>29</v>
      </c>
      <c r="H1284" s="5">
        <v>44199</v>
      </c>
      <c r="I1284" s="3" t="str">
        <f>VLOOKUP(Tabela1[[#This Row],[Advogado]],Tabela2[],2,FALSE)</f>
        <v>Caio Brito</v>
      </c>
      <c r="J1284" s="17">
        <f>IF(Tabela1[[#This Row],[Data de conclusão]]="",NETWORKDAYS(Tabela1[[#This Row],[Data de entrada]],$J$2),NETWORKDAYS(Tabela1[[#This Row],[Data de entrada]],Tabela1[[#This Row],[Data de conclusão]]))</f>
        <v>261</v>
      </c>
      <c r="K1284" s="1"/>
    </row>
    <row r="1285" spans="2:11" x14ac:dyDescent="0.25">
      <c r="B1285" s="3">
        <v>1392</v>
      </c>
      <c r="C1285" s="3" t="s">
        <v>7</v>
      </c>
      <c r="D1285" s="3" t="s">
        <v>11</v>
      </c>
      <c r="E1285" s="4">
        <v>42969</v>
      </c>
      <c r="F1285" s="4"/>
      <c r="G1285" s="3" t="s">
        <v>29</v>
      </c>
      <c r="H1285" s="5">
        <v>39556</v>
      </c>
      <c r="I1285" s="3" t="str">
        <f>VLOOKUP(Tabela1[[#This Row],[Advogado]],Tabela2[],2,FALSE)</f>
        <v>Caio Brito</v>
      </c>
      <c r="J1285" s="17">
        <f>IF(Tabela1[[#This Row],[Data de conclusão]]="",NETWORKDAYS(Tabela1[[#This Row],[Data de entrada]],$J$2),NETWORKDAYS(Tabela1[[#This Row],[Data de entrada]],Tabela1[[#This Row],[Data de conclusão]]))</f>
        <v>191</v>
      </c>
      <c r="K1285" s="1"/>
    </row>
    <row r="1286" spans="2:11" x14ac:dyDescent="0.25">
      <c r="B1286" s="3">
        <v>1393</v>
      </c>
      <c r="C1286" s="3" t="s">
        <v>8</v>
      </c>
      <c r="D1286" s="3" t="s">
        <v>12</v>
      </c>
      <c r="E1286" s="4">
        <v>42590</v>
      </c>
      <c r="F1286" s="4"/>
      <c r="G1286" s="3" t="s">
        <v>29</v>
      </c>
      <c r="H1286" s="5">
        <v>40880</v>
      </c>
      <c r="I1286" s="3" t="str">
        <f>VLOOKUP(Tabela1[[#This Row],[Advogado]],Tabela2[],2,FALSE)</f>
        <v>Caio Brito</v>
      </c>
      <c r="J1286" s="17">
        <f>IF(Tabela1[[#This Row],[Data de conclusão]]="",NETWORKDAYS(Tabela1[[#This Row],[Data de entrada]],$J$2),NETWORKDAYS(Tabela1[[#This Row],[Data de entrada]],Tabela1[[#This Row],[Data de conclusão]]))</f>
        <v>462</v>
      </c>
      <c r="K1286" s="1"/>
    </row>
    <row r="1287" spans="2:11" x14ac:dyDescent="0.25">
      <c r="B1287" s="3">
        <v>1394</v>
      </c>
      <c r="C1287" s="3" t="s">
        <v>9</v>
      </c>
      <c r="D1287" s="3" t="s">
        <v>13</v>
      </c>
      <c r="E1287" s="4">
        <v>42405</v>
      </c>
      <c r="F1287" s="4"/>
      <c r="G1287" s="3" t="s">
        <v>29</v>
      </c>
      <c r="H1287" s="5">
        <v>21224</v>
      </c>
      <c r="I1287" s="3" t="str">
        <f>VLOOKUP(Tabela1[[#This Row],[Advogado]],Tabela2[],2,FALSE)</f>
        <v>Caio Brito</v>
      </c>
      <c r="J1287" s="17">
        <f>IF(Tabela1[[#This Row],[Data de conclusão]]="",NETWORKDAYS(Tabela1[[#This Row],[Data de entrada]],$J$2),NETWORKDAYS(Tabela1[[#This Row],[Data de entrada]],Tabela1[[#This Row],[Data de conclusão]]))</f>
        <v>593</v>
      </c>
      <c r="K1287" s="1"/>
    </row>
    <row r="1288" spans="2:11" x14ac:dyDescent="0.25">
      <c r="B1288" s="3">
        <v>1395</v>
      </c>
      <c r="C1288" s="3" t="s">
        <v>7</v>
      </c>
      <c r="D1288" s="3" t="s">
        <v>14</v>
      </c>
      <c r="E1288" s="4">
        <v>42838</v>
      </c>
      <c r="F1288" s="4"/>
      <c r="G1288" s="3" t="s">
        <v>29</v>
      </c>
      <c r="H1288" s="5">
        <v>45497</v>
      </c>
      <c r="I1288" s="3" t="str">
        <f>VLOOKUP(Tabela1[[#This Row],[Advogado]],Tabela2[],2,FALSE)</f>
        <v>Renê Amaranto</v>
      </c>
      <c r="J1288" s="17">
        <f>IF(Tabela1[[#This Row],[Data de conclusão]]="",NETWORKDAYS(Tabela1[[#This Row],[Data de entrada]],$J$2),NETWORKDAYS(Tabela1[[#This Row],[Data de entrada]],Tabela1[[#This Row],[Data de conclusão]]))</f>
        <v>284</v>
      </c>
      <c r="K1288" s="1"/>
    </row>
    <row r="1289" spans="2:11" x14ac:dyDescent="0.25">
      <c r="B1289" s="3">
        <v>1396</v>
      </c>
      <c r="C1289" s="3" t="s">
        <v>8</v>
      </c>
      <c r="D1289" s="3" t="s">
        <v>15</v>
      </c>
      <c r="E1289" s="4">
        <v>42700</v>
      </c>
      <c r="F1289" s="4">
        <v>42764</v>
      </c>
      <c r="G1289" s="3" t="s">
        <v>28</v>
      </c>
      <c r="H1289" s="5">
        <v>43834</v>
      </c>
      <c r="I1289" s="3" t="str">
        <f>VLOOKUP(Tabela1[[#This Row],[Advogado]],Tabela2[],2,FALSE)</f>
        <v>Renê Amaranto</v>
      </c>
      <c r="J1289" s="17">
        <f>IF(Tabela1[[#This Row],[Data de conclusão]]="",NETWORKDAYS(Tabela1[[#This Row],[Data de entrada]],$J$2),NETWORKDAYS(Tabela1[[#This Row],[Data de entrada]],Tabela1[[#This Row],[Data de conclusão]]))</f>
        <v>45</v>
      </c>
      <c r="K1289" s="1"/>
    </row>
    <row r="1290" spans="2:11" x14ac:dyDescent="0.25">
      <c r="B1290" s="3">
        <v>1397</v>
      </c>
      <c r="C1290" s="3" t="s">
        <v>9</v>
      </c>
      <c r="D1290" s="3" t="s">
        <v>16</v>
      </c>
      <c r="E1290" s="4">
        <v>42825</v>
      </c>
      <c r="F1290" s="4"/>
      <c r="G1290" s="3" t="s">
        <v>27</v>
      </c>
      <c r="H1290" s="5">
        <v>5666</v>
      </c>
      <c r="I1290" s="3" t="str">
        <f>VLOOKUP(Tabela1[[#This Row],[Advogado]],Tabela2[],2,FALSE)</f>
        <v>Renê Amaranto</v>
      </c>
      <c r="J1290" s="17">
        <f>IF(Tabela1[[#This Row],[Data de conclusão]]="",NETWORKDAYS(Tabela1[[#This Row],[Data de entrada]],$J$2),NETWORKDAYS(Tabela1[[#This Row],[Data de entrada]],Tabela1[[#This Row],[Data de conclusão]]))</f>
        <v>293</v>
      </c>
      <c r="K1290" s="1"/>
    </row>
    <row r="1291" spans="2:11" x14ac:dyDescent="0.25">
      <c r="B1291" s="3">
        <v>1398</v>
      </c>
      <c r="C1291" s="3" t="s">
        <v>7</v>
      </c>
      <c r="D1291" s="3" t="s">
        <v>17</v>
      </c>
      <c r="E1291" s="4">
        <v>42967</v>
      </c>
      <c r="F1291" s="4"/>
      <c r="G1291" s="3" t="s">
        <v>29</v>
      </c>
      <c r="H1291" s="5">
        <v>25530</v>
      </c>
      <c r="I1291" s="3" t="str">
        <f>VLOOKUP(Tabela1[[#This Row],[Advogado]],Tabela2[],2,FALSE)</f>
        <v>Renê Amaranto</v>
      </c>
      <c r="J1291" s="17">
        <f>IF(Tabela1[[#This Row],[Data de conclusão]]="",NETWORKDAYS(Tabela1[[#This Row],[Data de entrada]],$J$2),NETWORKDAYS(Tabela1[[#This Row],[Data de entrada]],Tabela1[[#This Row],[Data de conclusão]]))</f>
        <v>192</v>
      </c>
      <c r="K1291" s="1"/>
    </row>
    <row r="1292" spans="2:11" x14ac:dyDescent="0.25">
      <c r="B1292" s="3">
        <v>1399</v>
      </c>
      <c r="C1292" s="3" t="s">
        <v>8</v>
      </c>
      <c r="D1292" s="3" t="s">
        <v>10</v>
      </c>
      <c r="E1292" s="4">
        <v>42651</v>
      </c>
      <c r="F1292" s="4"/>
      <c r="G1292" s="3" t="s">
        <v>29</v>
      </c>
      <c r="H1292" s="5">
        <v>57107</v>
      </c>
      <c r="I1292" s="3" t="str">
        <f>VLOOKUP(Tabela1[[#This Row],[Advogado]],Tabela2[],2,FALSE)</f>
        <v>Caio Brito</v>
      </c>
      <c r="J1292" s="17">
        <f>IF(Tabela1[[#This Row],[Data de conclusão]]="",NETWORKDAYS(Tabela1[[#This Row],[Data de entrada]],$J$2),NETWORKDAYS(Tabela1[[#This Row],[Data de entrada]],Tabela1[[#This Row],[Data de conclusão]]))</f>
        <v>417</v>
      </c>
      <c r="K1292" s="1"/>
    </row>
    <row r="1293" spans="2:11" x14ac:dyDescent="0.25">
      <c r="B1293" s="3">
        <v>1400</v>
      </c>
      <c r="C1293" s="3" t="s">
        <v>9</v>
      </c>
      <c r="D1293" s="3" t="s">
        <v>11</v>
      </c>
      <c r="E1293" s="4">
        <v>42531</v>
      </c>
      <c r="F1293" s="4"/>
      <c r="G1293" s="3" t="s">
        <v>29</v>
      </c>
      <c r="H1293" s="5">
        <v>54432</v>
      </c>
      <c r="I1293" s="3" t="str">
        <f>VLOOKUP(Tabela1[[#This Row],[Advogado]],Tabela2[],2,FALSE)</f>
        <v>Caio Brito</v>
      </c>
      <c r="J1293" s="17">
        <f>IF(Tabela1[[#This Row],[Data de conclusão]]="",NETWORKDAYS(Tabela1[[#This Row],[Data de entrada]],$J$2),NETWORKDAYS(Tabela1[[#This Row],[Data de entrada]],Tabela1[[#This Row],[Data de conclusão]]))</f>
        <v>503</v>
      </c>
      <c r="K1293" s="1"/>
    </row>
    <row r="1294" spans="2:11" x14ac:dyDescent="0.25">
      <c r="B1294" s="3">
        <v>1401</v>
      </c>
      <c r="C1294" s="3" t="s">
        <v>7</v>
      </c>
      <c r="D1294" s="3" t="s">
        <v>12</v>
      </c>
      <c r="E1294" s="4">
        <v>42439</v>
      </c>
      <c r="F1294" s="4"/>
      <c r="G1294" s="3" t="s">
        <v>29</v>
      </c>
      <c r="H1294" s="5">
        <v>41772</v>
      </c>
      <c r="I1294" s="3" t="str">
        <f>VLOOKUP(Tabela1[[#This Row],[Advogado]],Tabela2[],2,FALSE)</f>
        <v>Caio Brito</v>
      </c>
      <c r="J1294" s="17">
        <f>IF(Tabela1[[#This Row],[Data de conclusão]]="",NETWORKDAYS(Tabela1[[#This Row],[Data de entrada]],$J$2),NETWORKDAYS(Tabela1[[#This Row],[Data de entrada]],Tabela1[[#This Row],[Data de conclusão]]))</f>
        <v>569</v>
      </c>
      <c r="K1294" s="1"/>
    </row>
    <row r="1295" spans="2:11" x14ac:dyDescent="0.25">
      <c r="B1295" s="3">
        <v>1402</v>
      </c>
      <c r="C1295" s="3" t="s">
        <v>8</v>
      </c>
      <c r="D1295" s="3" t="s">
        <v>13</v>
      </c>
      <c r="E1295" s="4">
        <v>42610</v>
      </c>
      <c r="F1295" s="4"/>
      <c r="G1295" s="3" t="s">
        <v>29</v>
      </c>
      <c r="H1295" s="5">
        <v>57058</v>
      </c>
      <c r="I1295" s="3" t="str">
        <f>VLOOKUP(Tabela1[[#This Row],[Advogado]],Tabela2[],2,FALSE)</f>
        <v>Caio Brito</v>
      </c>
      <c r="J1295" s="17">
        <f>IF(Tabela1[[#This Row],[Data de conclusão]]="",NETWORKDAYS(Tabela1[[#This Row],[Data de entrada]],$J$2),NETWORKDAYS(Tabela1[[#This Row],[Data de entrada]],Tabela1[[#This Row],[Data de conclusão]]))</f>
        <v>447</v>
      </c>
      <c r="K1295" s="1"/>
    </row>
    <row r="1296" spans="2:11" x14ac:dyDescent="0.25">
      <c r="B1296" s="3">
        <v>1403</v>
      </c>
      <c r="C1296" s="3" t="s">
        <v>9</v>
      </c>
      <c r="D1296" s="3" t="s">
        <v>14</v>
      </c>
      <c r="E1296" s="4">
        <v>42692</v>
      </c>
      <c r="F1296" s="4"/>
      <c r="G1296" s="3" t="s">
        <v>29</v>
      </c>
      <c r="H1296" s="5">
        <v>21472</v>
      </c>
      <c r="I1296" s="3" t="str">
        <f>VLOOKUP(Tabela1[[#This Row],[Advogado]],Tabela2[],2,FALSE)</f>
        <v>Renê Amaranto</v>
      </c>
      <c r="J1296" s="17">
        <f>IF(Tabela1[[#This Row],[Data de conclusão]]="",NETWORKDAYS(Tabela1[[#This Row],[Data de entrada]],$J$2),NETWORKDAYS(Tabela1[[#This Row],[Data de entrada]],Tabela1[[#This Row],[Data de conclusão]]))</f>
        <v>388</v>
      </c>
      <c r="K1296" s="1"/>
    </row>
    <row r="1297" spans="2:11" x14ac:dyDescent="0.25">
      <c r="B1297" s="3">
        <v>1404</v>
      </c>
      <c r="C1297" s="3" t="s">
        <v>7</v>
      </c>
      <c r="D1297" s="3" t="s">
        <v>15</v>
      </c>
      <c r="E1297" s="4">
        <v>42641</v>
      </c>
      <c r="F1297" s="4"/>
      <c r="G1297" s="3" t="s">
        <v>29</v>
      </c>
      <c r="H1297" s="5">
        <v>50192</v>
      </c>
      <c r="I1297" s="3" t="str">
        <f>VLOOKUP(Tabela1[[#This Row],[Advogado]],Tabela2[],2,FALSE)</f>
        <v>Renê Amaranto</v>
      </c>
      <c r="J1297" s="17">
        <f>IF(Tabela1[[#This Row],[Data de conclusão]]="",NETWORKDAYS(Tabela1[[#This Row],[Data de entrada]],$J$2),NETWORKDAYS(Tabela1[[#This Row],[Data de entrada]],Tabela1[[#This Row],[Data de conclusão]]))</f>
        <v>425</v>
      </c>
      <c r="K1297" s="1"/>
    </row>
    <row r="1298" spans="2:11" x14ac:dyDescent="0.25">
      <c r="B1298" s="3">
        <v>1405</v>
      </c>
      <c r="C1298" s="3" t="s">
        <v>8</v>
      </c>
      <c r="D1298" s="3" t="s">
        <v>16</v>
      </c>
      <c r="E1298" s="4">
        <v>42611</v>
      </c>
      <c r="F1298" s="4"/>
      <c r="G1298" s="3" t="s">
        <v>29</v>
      </c>
      <c r="H1298" s="5">
        <v>54686</v>
      </c>
      <c r="I1298" s="3" t="str">
        <f>VLOOKUP(Tabela1[[#This Row],[Advogado]],Tabela2[],2,FALSE)</f>
        <v>Renê Amaranto</v>
      </c>
      <c r="J1298" s="17">
        <f>IF(Tabela1[[#This Row],[Data de conclusão]]="",NETWORKDAYS(Tabela1[[#This Row],[Data de entrada]],$J$2),NETWORKDAYS(Tabela1[[#This Row],[Data de entrada]],Tabela1[[#This Row],[Data de conclusão]]))</f>
        <v>447</v>
      </c>
      <c r="K1298" s="1"/>
    </row>
    <row r="1299" spans="2:11" x14ac:dyDescent="0.25">
      <c r="B1299" s="3">
        <v>1406</v>
      </c>
      <c r="C1299" s="3" t="s">
        <v>9</v>
      </c>
      <c r="D1299" s="3" t="s">
        <v>17</v>
      </c>
      <c r="E1299" s="4">
        <v>42551</v>
      </c>
      <c r="F1299" s="4"/>
      <c r="G1299" s="3" t="s">
        <v>29</v>
      </c>
      <c r="H1299" s="5">
        <v>29149</v>
      </c>
      <c r="I1299" s="3" t="str">
        <f>VLOOKUP(Tabela1[[#This Row],[Advogado]],Tabela2[],2,FALSE)</f>
        <v>Renê Amaranto</v>
      </c>
      <c r="J1299" s="17">
        <f>IF(Tabela1[[#This Row],[Data de conclusão]]="",NETWORKDAYS(Tabela1[[#This Row],[Data de entrada]],$J$2),NETWORKDAYS(Tabela1[[#This Row],[Data de entrada]],Tabela1[[#This Row],[Data de conclusão]]))</f>
        <v>489</v>
      </c>
      <c r="K1299" s="1"/>
    </row>
    <row r="1300" spans="2:11" x14ac:dyDescent="0.25">
      <c r="B1300" s="3">
        <v>1407</v>
      </c>
      <c r="C1300" s="3" t="s">
        <v>7</v>
      </c>
      <c r="D1300" s="3" t="s">
        <v>10</v>
      </c>
      <c r="E1300" s="4">
        <v>42976</v>
      </c>
      <c r="F1300" s="4"/>
      <c r="G1300" s="3" t="s">
        <v>29</v>
      </c>
      <c r="H1300" s="5">
        <v>39768</v>
      </c>
      <c r="I1300" s="3" t="str">
        <f>VLOOKUP(Tabela1[[#This Row],[Advogado]],Tabela2[],2,FALSE)</f>
        <v>Caio Brito</v>
      </c>
      <c r="J1300" s="17">
        <f>IF(Tabela1[[#This Row],[Data de conclusão]]="",NETWORKDAYS(Tabela1[[#This Row],[Data de entrada]],$J$2),NETWORKDAYS(Tabela1[[#This Row],[Data de entrada]],Tabela1[[#This Row],[Data de conclusão]]))</f>
        <v>186</v>
      </c>
      <c r="K1300" s="1"/>
    </row>
    <row r="1301" spans="2:11" x14ac:dyDescent="0.25">
      <c r="B1301" s="3">
        <v>1408</v>
      </c>
      <c r="C1301" s="3" t="s">
        <v>8</v>
      </c>
      <c r="D1301" s="3" t="s">
        <v>11</v>
      </c>
      <c r="E1301" s="4">
        <v>43083</v>
      </c>
      <c r="F1301" s="4"/>
      <c r="G1301" s="3" t="s">
        <v>29</v>
      </c>
      <c r="H1301" s="5">
        <v>15809</v>
      </c>
      <c r="I1301" s="3" t="str">
        <f>VLOOKUP(Tabela1[[#This Row],[Advogado]],Tabela2[],2,FALSE)</f>
        <v>Caio Brito</v>
      </c>
      <c r="J1301" s="17">
        <f>IF(Tabela1[[#This Row],[Data de conclusão]]="",NETWORKDAYS(Tabela1[[#This Row],[Data de entrada]],$J$2),NETWORKDAYS(Tabela1[[#This Row],[Data de entrada]],Tabela1[[#This Row],[Data de conclusão]]))</f>
        <v>109</v>
      </c>
      <c r="K1301" s="1"/>
    </row>
    <row r="1302" spans="2:11" x14ac:dyDescent="0.25">
      <c r="B1302" s="3">
        <v>1409</v>
      </c>
      <c r="C1302" s="3" t="s">
        <v>9</v>
      </c>
      <c r="D1302" s="3" t="s">
        <v>12</v>
      </c>
      <c r="E1302" s="4">
        <v>42447</v>
      </c>
      <c r="F1302" s="4">
        <v>42473</v>
      </c>
      <c r="G1302" s="3" t="s">
        <v>28</v>
      </c>
      <c r="H1302" s="5">
        <v>45691</v>
      </c>
      <c r="I1302" s="3" t="str">
        <f>VLOOKUP(Tabela1[[#This Row],[Advogado]],Tabela2[],2,FALSE)</f>
        <v>Caio Brito</v>
      </c>
      <c r="J1302" s="17">
        <f>IF(Tabela1[[#This Row],[Data de conclusão]]="",NETWORKDAYS(Tabela1[[#This Row],[Data de entrada]],$J$2),NETWORKDAYS(Tabela1[[#This Row],[Data de entrada]],Tabela1[[#This Row],[Data de conclusão]]))</f>
        <v>19</v>
      </c>
      <c r="K1302" s="1"/>
    </row>
    <row r="1303" spans="2:11" x14ac:dyDescent="0.25">
      <c r="B1303" s="3">
        <v>1410</v>
      </c>
      <c r="C1303" s="3" t="s">
        <v>7</v>
      </c>
      <c r="D1303" s="3" t="s">
        <v>13</v>
      </c>
      <c r="E1303" s="4">
        <v>42661</v>
      </c>
      <c r="F1303" s="4"/>
      <c r="G1303" s="3" t="s">
        <v>27</v>
      </c>
      <c r="H1303" s="5">
        <v>48146</v>
      </c>
      <c r="I1303" s="3" t="str">
        <f>VLOOKUP(Tabela1[[#This Row],[Advogado]],Tabela2[],2,FALSE)</f>
        <v>Caio Brito</v>
      </c>
      <c r="J1303" s="17">
        <f>IF(Tabela1[[#This Row],[Data de conclusão]]="",NETWORKDAYS(Tabela1[[#This Row],[Data de entrada]],$J$2),NETWORKDAYS(Tabela1[[#This Row],[Data de entrada]],Tabela1[[#This Row],[Data de conclusão]]))</f>
        <v>411</v>
      </c>
      <c r="K1303" s="1"/>
    </row>
    <row r="1304" spans="2:11" x14ac:dyDescent="0.25">
      <c r="B1304" s="3">
        <v>1411</v>
      </c>
      <c r="C1304" s="3" t="s">
        <v>8</v>
      </c>
      <c r="D1304" s="3" t="s">
        <v>14</v>
      </c>
      <c r="E1304" s="4">
        <v>43089</v>
      </c>
      <c r="F1304" s="4"/>
      <c r="G1304" s="3" t="s">
        <v>29</v>
      </c>
      <c r="H1304" s="5">
        <v>55717</v>
      </c>
      <c r="I1304" s="3" t="str">
        <f>VLOOKUP(Tabela1[[#This Row],[Advogado]],Tabela2[],2,FALSE)</f>
        <v>Renê Amaranto</v>
      </c>
      <c r="J1304" s="17">
        <f>IF(Tabela1[[#This Row],[Data de conclusão]]="",NETWORKDAYS(Tabela1[[#This Row],[Data de entrada]],$J$2),NETWORKDAYS(Tabela1[[#This Row],[Data de entrada]],Tabela1[[#This Row],[Data de conclusão]]))</f>
        <v>105</v>
      </c>
      <c r="K1304" s="1"/>
    </row>
    <row r="1305" spans="2:11" x14ac:dyDescent="0.25">
      <c r="B1305" s="3">
        <v>1412</v>
      </c>
      <c r="C1305" s="3" t="s">
        <v>9</v>
      </c>
      <c r="D1305" s="3" t="s">
        <v>15</v>
      </c>
      <c r="E1305" s="4">
        <v>42672</v>
      </c>
      <c r="F1305" s="4"/>
      <c r="G1305" s="3" t="s">
        <v>29</v>
      </c>
      <c r="H1305" s="5">
        <v>15111</v>
      </c>
      <c r="I1305" s="3" t="str">
        <f>VLOOKUP(Tabela1[[#This Row],[Advogado]],Tabela2[],2,FALSE)</f>
        <v>Renê Amaranto</v>
      </c>
      <c r="J1305" s="17">
        <f>IF(Tabela1[[#This Row],[Data de conclusão]]="",NETWORKDAYS(Tabela1[[#This Row],[Data de entrada]],$J$2),NETWORKDAYS(Tabela1[[#This Row],[Data de entrada]],Tabela1[[#This Row],[Data de conclusão]]))</f>
        <v>402</v>
      </c>
      <c r="K1305" s="1"/>
    </row>
    <row r="1306" spans="2:11" x14ac:dyDescent="0.25">
      <c r="B1306" s="3">
        <v>1413</v>
      </c>
      <c r="C1306" s="3" t="s">
        <v>7</v>
      </c>
      <c r="D1306" s="3" t="s">
        <v>16</v>
      </c>
      <c r="E1306" s="4">
        <v>42487</v>
      </c>
      <c r="F1306" s="4"/>
      <c r="G1306" s="3" t="s">
        <v>29</v>
      </c>
      <c r="H1306" s="5">
        <v>3635</v>
      </c>
      <c r="I1306" s="3" t="str">
        <f>VLOOKUP(Tabela1[[#This Row],[Advogado]],Tabela2[],2,FALSE)</f>
        <v>Renê Amaranto</v>
      </c>
      <c r="J1306" s="17">
        <f>IF(Tabela1[[#This Row],[Data de conclusão]]="",NETWORKDAYS(Tabela1[[#This Row],[Data de entrada]],$J$2),NETWORKDAYS(Tabela1[[#This Row],[Data de entrada]],Tabela1[[#This Row],[Data de conclusão]]))</f>
        <v>535</v>
      </c>
      <c r="K1306" s="1"/>
    </row>
    <row r="1307" spans="2:11" x14ac:dyDescent="0.25">
      <c r="B1307" s="3">
        <v>1414</v>
      </c>
      <c r="C1307" s="3" t="s">
        <v>8</v>
      </c>
      <c r="D1307" s="3" t="s">
        <v>17</v>
      </c>
      <c r="E1307" s="4">
        <v>42792</v>
      </c>
      <c r="F1307" s="4"/>
      <c r="G1307" s="3" t="s">
        <v>29</v>
      </c>
      <c r="H1307" s="5">
        <v>8700</v>
      </c>
      <c r="I1307" s="3" t="str">
        <f>VLOOKUP(Tabela1[[#This Row],[Advogado]],Tabela2[],2,FALSE)</f>
        <v>Renê Amaranto</v>
      </c>
      <c r="J1307" s="17">
        <f>IF(Tabela1[[#This Row],[Data de conclusão]]="",NETWORKDAYS(Tabela1[[#This Row],[Data de entrada]],$J$2),NETWORKDAYS(Tabela1[[#This Row],[Data de entrada]],Tabela1[[#This Row],[Data de conclusão]]))</f>
        <v>317</v>
      </c>
      <c r="K1307" s="1"/>
    </row>
    <row r="1308" spans="2:11" x14ac:dyDescent="0.25">
      <c r="B1308" s="3">
        <v>1415</v>
      </c>
      <c r="C1308" s="3" t="s">
        <v>9</v>
      </c>
      <c r="D1308" s="3" t="s">
        <v>10</v>
      </c>
      <c r="E1308" s="4">
        <v>42409</v>
      </c>
      <c r="F1308" s="4"/>
      <c r="G1308" s="3" t="s">
        <v>29</v>
      </c>
      <c r="H1308" s="5">
        <v>40637</v>
      </c>
      <c r="I1308" s="3" t="str">
        <f>VLOOKUP(Tabela1[[#This Row],[Advogado]],Tabela2[],2,FALSE)</f>
        <v>Caio Brito</v>
      </c>
      <c r="J1308" s="17">
        <f>IF(Tabela1[[#This Row],[Data de conclusão]]="",NETWORKDAYS(Tabela1[[#This Row],[Data de entrada]],$J$2),NETWORKDAYS(Tabela1[[#This Row],[Data de entrada]],Tabela1[[#This Row],[Data de conclusão]]))</f>
        <v>591</v>
      </c>
      <c r="K1308" s="1"/>
    </row>
    <row r="1309" spans="2:11" x14ac:dyDescent="0.25">
      <c r="B1309" s="3">
        <v>1416</v>
      </c>
      <c r="C1309" s="3" t="s">
        <v>7</v>
      </c>
      <c r="D1309" s="3" t="s">
        <v>11</v>
      </c>
      <c r="E1309" s="4">
        <v>42414</v>
      </c>
      <c r="F1309" s="4"/>
      <c r="G1309" s="3" t="s">
        <v>29</v>
      </c>
      <c r="H1309" s="5">
        <v>5643</v>
      </c>
      <c r="I1309" s="3" t="str">
        <f>VLOOKUP(Tabela1[[#This Row],[Advogado]],Tabela2[],2,FALSE)</f>
        <v>Caio Brito</v>
      </c>
      <c r="J1309" s="17">
        <f>IF(Tabela1[[#This Row],[Data de conclusão]]="",NETWORKDAYS(Tabela1[[#This Row],[Data de entrada]],$J$2),NETWORKDAYS(Tabela1[[#This Row],[Data de entrada]],Tabela1[[#This Row],[Data de conclusão]]))</f>
        <v>587</v>
      </c>
      <c r="K1309" s="1"/>
    </row>
    <row r="1310" spans="2:11" x14ac:dyDescent="0.25">
      <c r="B1310" s="3">
        <v>1417</v>
      </c>
      <c r="C1310" s="3" t="s">
        <v>8</v>
      </c>
      <c r="D1310" s="3" t="s">
        <v>12</v>
      </c>
      <c r="E1310" s="4">
        <v>42588</v>
      </c>
      <c r="F1310" s="4"/>
      <c r="G1310" s="3" t="s">
        <v>29</v>
      </c>
      <c r="H1310" s="5">
        <v>14747</v>
      </c>
      <c r="I1310" s="3" t="str">
        <f>VLOOKUP(Tabela1[[#This Row],[Advogado]],Tabela2[],2,FALSE)</f>
        <v>Caio Brito</v>
      </c>
      <c r="J1310" s="17">
        <f>IF(Tabela1[[#This Row],[Data de conclusão]]="",NETWORKDAYS(Tabela1[[#This Row],[Data de entrada]],$J$2),NETWORKDAYS(Tabela1[[#This Row],[Data de entrada]],Tabela1[[#This Row],[Data de conclusão]]))</f>
        <v>462</v>
      </c>
      <c r="K1310" s="1"/>
    </row>
    <row r="1311" spans="2:11" x14ac:dyDescent="0.25">
      <c r="B1311" s="3">
        <v>1418</v>
      </c>
      <c r="C1311" s="3" t="s">
        <v>9</v>
      </c>
      <c r="D1311" s="3" t="s">
        <v>13</v>
      </c>
      <c r="E1311" s="4">
        <v>42790</v>
      </c>
      <c r="F1311" s="4"/>
      <c r="G1311" s="3" t="s">
        <v>29</v>
      </c>
      <c r="H1311" s="5">
        <v>1736</v>
      </c>
      <c r="I1311" s="3" t="str">
        <f>VLOOKUP(Tabela1[[#This Row],[Advogado]],Tabela2[],2,FALSE)</f>
        <v>Caio Brito</v>
      </c>
      <c r="J1311" s="17">
        <f>IF(Tabela1[[#This Row],[Data de conclusão]]="",NETWORKDAYS(Tabela1[[#This Row],[Data de entrada]],$J$2),NETWORKDAYS(Tabela1[[#This Row],[Data de entrada]],Tabela1[[#This Row],[Data de conclusão]]))</f>
        <v>318</v>
      </c>
      <c r="K1311" s="1"/>
    </row>
    <row r="1312" spans="2:11" x14ac:dyDescent="0.25">
      <c r="B1312" s="3">
        <v>1419</v>
      </c>
      <c r="C1312" s="3" t="s">
        <v>7</v>
      </c>
      <c r="D1312" s="3" t="s">
        <v>14</v>
      </c>
      <c r="E1312" s="4">
        <v>42756</v>
      </c>
      <c r="F1312" s="4"/>
      <c r="G1312" s="3" t="s">
        <v>29</v>
      </c>
      <c r="H1312" s="5">
        <v>4312</v>
      </c>
      <c r="I1312" s="3" t="str">
        <f>VLOOKUP(Tabela1[[#This Row],[Advogado]],Tabela2[],2,FALSE)</f>
        <v>Renê Amaranto</v>
      </c>
      <c r="J1312" s="17">
        <f>IF(Tabela1[[#This Row],[Data de conclusão]]="",NETWORKDAYS(Tabela1[[#This Row],[Data de entrada]],$J$2),NETWORKDAYS(Tabela1[[#This Row],[Data de entrada]],Tabela1[[#This Row],[Data de conclusão]]))</f>
        <v>342</v>
      </c>
      <c r="K1312" s="1"/>
    </row>
    <row r="1313" spans="2:11" x14ac:dyDescent="0.25">
      <c r="B1313" s="3">
        <v>1420</v>
      </c>
      <c r="C1313" s="3" t="s">
        <v>8</v>
      </c>
      <c r="D1313" s="3" t="s">
        <v>15</v>
      </c>
      <c r="E1313" s="4">
        <v>42825</v>
      </c>
      <c r="F1313" s="4"/>
      <c r="G1313" s="3" t="s">
        <v>29</v>
      </c>
      <c r="H1313" s="5">
        <v>57496</v>
      </c>
      <c r="I1313" s="3" t="str">
        <f>VLOOKUP(Tabela1[[#This Row],[Advogado]],Tabela2[],2,FALSE)</f>
        <v>Renê Amaranto</v>
      </c>
      <c r="J1313" s="17">
        <f>IF(Tabela1[[#This Row],[Data de conclusão]]="",NETWORKDAYS(Tabela1[[#This Row],[Data de entrada]],$J$2),NETWORKDAYS(Tabela1[[#This Row],[Data de entrada]],Tabela1[[#This Row],[Data de conclusão]]))</f>
        <v>293</v>
      </c>
      <c r="K1313" s="1"/>
    </row>
    <row r="1314" spans="2:11" x14ac:dyDescent="0.25">
      <c r="B1314" s="3">
        <v>1421</v>
      </c>
      <c r="C1314" s="3" t="s">
        <v>9</v>
      </c>
      <c r="D1314" s="3" t="s">
        <v>16</v>
      </c>
      <c r="E1314" s="4">
        <v>43021</v>
      </c>
      <c r="F1314" s="4"/>
      <c r="G1314" s="3" t="s">
        <v>29</v>
      </c>
      <c r="H1314" s="5">
        <v>35110</v>
      </c>
      <c r="I1314" s="3" t="str">
        <f>VLOOKUP(Tabela1[[#This Row],[Advogado]],Tabela2[],2,FALSE)</f>
        <v>Renê Amaranto</v>
      </c>
      <c r="J1314" s="17">
        <f>IF(Tabela1[[#This Row],[Data de conclusão]]="",NETWORKDAYS(Tabela1[[#This Row],[Data de entrada]],$J$2),NETWORKDAYS(Tabela1[[#This Row],[Data de entrada]],Tabela1[[#This Row],[Data de conclusão]]))</f>
        <v>153</v>
      </c>
      <c r="K1314" s="1"/>
    </row>
    <row r="1315" spans="2:11" x14ac:dyDescent="0.25">
      <c r="B1315" s="3">
        <v>1422</v>
      </c>
      <c r="C1315" s="3" t="s">
        <v>7</v>
      </c>
      <c r="D1315" s="3" t="s">
        <v>17</v>
      </c>
      <c r="E1315" s="4">
        <v>42718</v>
      </c>
      <c r="F1315" s="4">
        <v>42751</v>
      </c>
      <c r="G1315" s="3" t="s">
        <v>28</v>
      </c>
      <c r="H1315" s="5">
        <v>34496</v>
      </c>
      <c r="I1315" s="3" t="str">
        <f>VLOOKUP(Tabela1[[#This Row],[Advogado]],Tabela2[],2,FALSE)</f>
        <v>Renê Amaranto</v>
      </c>
      <c r="J1315" s="17">
        <f>IF(Tabela1[[#This Row],[Data de conclusão]]="",NETWORKDAYS(Tabela1[[#This Row],[Data de entrada]],$J$2),NETWORKDAYS(Tabela1[[#This Row],[Data de entrada]],Tabela1[[#This Row],[Data de conclusão]]))</f>
        <v>24</v>
      </c>
      <c r="K1315" s="1"/>
    </row>
    <row r="1316" spans="2:11" x14ac:dyDescent="0.25">
      <c r="B1316" s="3">
        <v>1423</v>
      </c>
      <c r="C1316" s="3" t="s">
        <v>8</v>
      </c>
      <c r="D1316" s="3" t="s">
        <v>10</v>
      </c>
      <c r="E1316" s="4">
        <v>42755</v>
      </c>
      <c r="F1316" s="4"/>
      <c r="G1316" s="3" t="s">
        <v>27</v>
      </c>
      <c r="H1316" s="5">
        <v>18919</v>
      </c>
      <c r="I1316" s="3" t="str">
        <f>VLOOKUP(Tabela1[[#This Row],[Advogado]],Tabela2[],2,FALSE)</f>
        <v>Caio Brito</v>
      </c>
      <c r="J1316" s="17">
        <f>IF(Tabela1[[#This Row],[Data de conclusão]]="",NETWORKDAYS(Tabela1[[#This Row],[Data de entrada]],$J$2),NETWORKDAYS(Tabela1[[#This Row],[Data de entrada]],Tabela1[[#This Row],[Data de conclusão]]))</f>
        <v>343</v>
      </c>
      <c r="K1316" s="1"/>
    </row>
    <row r="1317" spans="2:11" x14ac:dyDescent="0.25">
      <c r="B1317" s="3">
        <v>1424</v>
      </c>
      <c r="C1317" s="3" t="s">
        <v>9</v>
      </c>
      <c r="D1317" s="3" t="s">
        <v>11</v>
      </c>
      <c r="E1317" s="4">
        <v>43083</v>
      </c>
      <c r="F1317" s="4"/>
      <c r="G1317" s="3" t="s">
        <v>29</v>
      </c>
      <c r="H1317" s="5">
        <v>56691</v>
      </c>
      <c r="I1317" s="3" t="str">
        <f>VLOOKUP(Tabela1[[#This Row],[Advogado]],Tabela2[],2,FALSE)</f>
        <v>Caio Brito</v>
      </c>
      <c r="J1317" s="17">
        <f>IF(Tabela1[[#This Row],[Data de conclusão]]="",NETWORKDAYS(Tabela1[[#This Row],[Data de entrada]],$J$2),NETWORKDAYS(Tabela1[[#This Row],[Data de entrada]],Tabela1[[#This Row],[Data de conclusão]]))</f>
        <v>109</v>
      </c>
      <c r="K1317" s="1"/>
    </row>
    <row r="1318" spans="2:11" x14ac:dyDescent="0.25">
      <c r="B1318" s="3">
        <v>1425</v>
      </c>
      <c r="C1318" s="3" t="s">
        <v>7</v>
      </c>
      <c r="D1318" s="3" t="s">
        <v>12</v>
      </c>
      <c r="E1318" s="4">
        <v>42966</v>
      </c>
      <c r="F1318" s="4"/>
      <c r="G1318" s="3" t="s">
        <v>29</v>
      </c>
      <c r="H1318" s="5">
        <v>39548</v>
      </c>
      <c r="I1318" s="3" t="str">
        <f>VLOOKUP(Tabela1[[#This Row],[Advogado]],Tabela2[],2,FALSE)</f>
        <v>Caio Brito</v>
      </c>
      <c r="J1318" s="17">
        <f>IF(Tabela1[[#This Row],[Data de conclusão]]="",NETWORKDAYS(Tabela1[[#This Row],[Data de entrada]],$J$2),NETWORKDAYS(Tabela1[[#This Row],[Data de entrada]],Tabela1[[#This Row],[Data de conclusão]]))</f>
        <v>192</v>
      </c>
      <c r="K1318" s="1"/>
    </row>
    <row r="1319" spans="2:11" x14ac:dyDescent="0.25">
      <c r="B1319" s="3">
        <v>1426</v>
      </c>
      <c r="C1319" s="3" t="s">
        <v>8</v>
      </c>
      <c r="D1319" s="3" t="s">
        <v>13</v>
      </c>
      <c r="E1319" s="4">
        <v>42685</v>
      </c>
      <c r="F1319" s="4"/>
      <c r="G1319" s="3" t="s">
        <v>29</v>
      </c>
      <c r="H1319" s="5">
        <v>44761</v>
      </c>
      <c r="I1319" s="3" t="str">
        <f>VLOOKUP(Tabela1[[#This Row],[Advogado]],Tabela2[],2,FALSE)</f>
        <v>Caio Brito</v>
      </c>
      <c r="J1319" s="17">
        <f>IF(Tabela1[[#This Row],[Data de conclusão]]="",NETWORKDAYS(Tabela1[[#This Row],[Data de entrada]],$J$2),NETWORKDAYS(Tabela1[[#This Row],[Data de entrada]],Tabela1[[#This Row],[Data de conclusão]]))</f>
        <v>393</v>
      </c>
      <c r="K1319" s="1"/>
    </row>
    <row r="1320" spans="2:11" x14ac:dyDescent="0.25">
      <c r="B1320" s="3">
        <v>1427</v>
      </c>
      <c r="C1320" s="3" t="s">
        <v>9</v>
      </c>
      <c r="D1320" s="3" t="s">
        <v>14</v>
      </c>
      <c r="E1320" s="4">
        <v>42923</v>
      </c>
      <c r="F1320" s="4"/>
      <c r="G1320" s="3" t="s">
        <v>29</v>
      </c>
      <c r="H1320" s="5">
        <v>50926</v>
      </c>
      <c r="I1320" s="3" t="str">
        <f>VLOOKUP(Tabela1[[#This Row],[Advogado]],Tabela2[],2,FALSE)</f>
        <v>Renê Amaranto</v>
      </c>
      <c r="J1320" s="17">
        <f>IF(Tabela1[[#This Row],[Data de conclusão]]="",NETWORKDAYS(Tabela1[[#This Row],[Data de entrada]],$J$2),NETWORKDAYS(Tabela1[[#This Row],[Data de entrada]],Tabela1[[#This Row],[Data de conclusão]]))</f>
        <v>223</v>
      </c>
      <c r="K1320" s="1"/>
    </row>
    <row r="1321" spans="2:11" x14ac:dyDescent="0.25">
      <c r="B1321" s="3">
        <v>1428</v>
      </c>
      <c r="C1321" s="3" t="s">
        <v>7</v>
      </c>
      <c r="D1321" s="3" t="s">
        <v>15</v>
      </c>
      <c r="E1321" s="4">
        <v>42777</v>
      </c>
      <c r="F1321" s="4"/>
      <c r="G1321" s="3" t="s">
        <v>29</v>
      </c>
      <c r="H1321" s="5">
        <v>36998</v>
      </c>
      <c r="I1321" s="3" t="str">
        <f>VLOOKUP(Tabela1[[#This Row],[Advogado]],Tabela2[],2,FALSE)</f>
        <v>Renê Amaranto</v>
      </c>
      <c r="J1321" s="17">
        <f>IF(Tabela1[[#This Row],[Data de conclusão]]="",NETWORKDAYS(Tabela1[[#This Row],[Data de entrada]],$J$2),NETWORKDAYS(Tabela1[[#This Row],[Data de entrada]],Tabela1[[#This Row],[Data de conclusão]]))</f>
        <v>327</v>
      </c>
      <c r="K1321" s="1"/>
    </row>
    <row r="1322" spans="2:11" x14ac:dyDescent="0.25">
      <c r="B1322" s="3">
        <v>1429</v>
      </c>
      <c r="C1322" s="3" t="s">
        <v>8</v>
      </c>
      <c r="D1322" s="3" t="s">
        <v>16</v>
      </c>
      <c r="E1322" s="4">
        <v>42966</v>
      </c>
      <c r="F1322" s="4"/>
      <c r="G1322" s="3" t="s">
        <v>29</v>
      </c>
      <c r="H1322" s="5">
        <v>46306</v>
      </c>
      <c r="I1322" s="3" t="str">
        <f>VLOOKUP(Tabela1[[#This Row],[Advogado]],Tabela2[],2,FALSE)</f>
        <v>Renê Amaranto</v>
      </c>
      <c r="J1322" s="17">
        <f>IF(Tabela1[[#This Row],[Data de conclusão]]="",NETWORKDAYS(Tabela1[[#This Row],[Data de entrada]],$J$2),NETWORKDAYS(Tabela1[[#This Row],[Data de entrada]],Tabela1[[#This Row],[Data de conclusão]]))</f>
        <v>192</v>
      </c>
      <c r="K1322" s="1"/>
    </row>
    <row r="1323" spans="2:11" x14ac:dyDescent="0.25">
      <c r="B1323" s="3">
        <v>1430</v>
      </c>
      <c r="C1323" s="3" t="s">
        <v>9</v>
      </c>
      <c r="D1323" s="3" t="s">
        <v>17</v>
      </c>
      <c r="E1323" s="4">
        <v>42750</v>
      </c>
      <c r="F1323" s="4"/>
      <c r="G1323" s="3" t="s">
        <v>29</v>
      </c>
      <c r="H1323" s="5">
        <v>7235</v>
      </c>
      <c r="I1323" s="3" t="str">
        <f>VLOOKUP(Tabela1[[#This Row],[Advogado]],Tabela2[],2,FALSE)</f>
        <v>Renê Amaranto</v>
      </c>
      <c r="J1323" s="17">
        <f>IF(Tabela1[[#This Row],[Data de conclusão]]="",NETWORKDAYS(Tabela1[[#This Row],[Data de entrada]],$J$2),NETWORKDAYS(Tabela1[[#This Row],[Data de entrada]],Tabela1[[#This Row],[Data de conclusão]]))</f>
        <v>347</v>
      </c>
      <c r="K1323" s="1"/>
    </row>
    <row r="1324" spans="2:11" x14ac:dyDescent="0.25">
      <c r="B1324" s="3">
        <v>1431</v>
      </c>
      <c r="C1324" s="3" t="s">
        <v>7</v>
      </c>
      <c r="D1324" s="3" t="s">
        <v>10</v>
      </c>
      <c r="E1324" s="4">
        <v>42565</v>
      </c>
      <c r="F1324" s="4"/>
      <c r="G1324" s="3" t="s">
        <v>29</v>
      </c>
      <c r="H1324" s="5">
        <v>27823</v>
      </c>
      <c r="I1324" s="3" t="str">
        <f>VLOOKUP(Tabela1[[#This Row],[Advogado]],Tabela2[],2,FALSE)</f>
        <v>Caio Brito</v>
      </c>
      <c r="J1324" s="17">
        <f>IF(Tabela1[[#This Row],[Data de conclusão]]="",NETWORKDAYS(Tabela1[[#This Row],[Data de entrada]],$J$2),NETWORKDAYS(Tabela1[[#This Row],[Data de entrada]],Tabela1[[#This Row],[Data de conclusão]]))</f>
        <v>479</v>
      </c>
      <c r="K1324" s="1"/>
    </row>
    <row r="1325" spans="2:11" x14ac:dyDescent="0.25">
      <c r="B1325" s="3">
        <v>1432</v>
      </c>
      <c r="C1325" s="3" t="s">
        <v>8</v>
      </c>
      <c r="D1325" s="3" t="s">
        <v>11</v>
      </c>
      <c r="E1325" s="4">
        <v>43017</v>
      </c>
      <c r="F1325" s="4"/>
      <c r="G1325" s="3" t="s">
        <v>29</v>
      </c>
      <c r="H1325" s="5">
        <v>52263</v>
      </c>
      <c r="I1325" s="3" t="str">
        <f>VLOOKUP(Tabela1[[#This Row],[Advogado]],Tabela2[],2,FALSE)</f>
        <v>Caio Brito</v>
      </c>
      <c r="J1325" s="17">
        <f>IF(Tabela1[[#This Row],[Data de conclusão]]="",NETWORKDAYS(Tabela1[[#This Row],[Data de entrada]],$J$2),NETWORKDAYS(Tabela1[[#This Row],[Data de entrada]],Tabela1[[#This Row],[Data de conclusão]]))</f>
        <v>157</v>
      </c>
      <c r="K1325" s="1"/>
    </row>
    <row r="1326" spans="2:11" x14ac:dyDescent="0.25">
      <c r="B1326" s="3">
        <v>1433</v>
      </c>
      <c r="C1326" s="3" t="s">
        <v>9</v>
      </c>
      <c r="D1326" s="3" t="s">
        <v>12</v>
      </c>
      <c r="E1326" s="4">
        <v>42857</v>
      </c>
      <c r="F1326" s="4"/>
      <c r="G1326" s="3" t="s">
        <v>29</v>
      </c>
      <c r="H1326" s="5">
        <v>31570</v>
      </c>
      <c r="I1326" s="3" t="str">
        <f>VLOOKUP(Tabela1[[#This Row],[Advogado]],Tabela2[],2,FALSE)</f>
        <v>Caio Brito</v>
      </c>
      <c r="J1326" s="17">
        <f>IF(Tabela1[[#This Row],[Data de conclusão]]="",NETWORKDAYS(Tabela1[[#This Row],[Data de entrada]],$J$2),NETWORKDAYS(Tabela1[[#This Row],[Data de entrada]],Tabela1[[#This Row],[Data de conclusão]]))</f>
        <v>271</v>
      </c>
      <c r="K1326" s="1"/>
    </row>
    <row r="1327" spans="2:11" x14ac:dyDescent="0.25">
      <c r="B1327" s="3">
        <v>1434</v>
      </c>
      <c r="C1327" s="3" t="s">
        <v>7</v>
      </c>
      <c r="D1327" s="3" t="s">
        <v>13</v>
      </c>
      <c r="E1327" s="4">
        <v>42376</v>
      </c>
      <c r="F1327" s="4"/>
      <c r="G1327" s="3" t="s">
        <v>29</v>
      </c>
      <c r="H1327" s="5">
        <v>53500</v>
      </c>
      <c r="I1327" s="3" t="str">
        <f>VLOOKUP(Tabela1[[#This Row],[Advogado]],Tabela2[],2,FALSE)</f>
        <v>Caio Brito</v>
      </c>
      <c r="J1327" s="17">
        <f>IF(Tabela1[[#This Row],[Data de conclusão]]="",NETWORKDAYS(Tabela1[[#This Row],[Data de entrada]],$J$2),NETWORKDAYS(Tabela1[[#This Row],[Data de entrada]],Tabela1[[#This Row],[Data de conclusão]]))</f>
        <v>614</v>
      </c>
      <c r="K1327" s="1"/>
    </row>
    <row r="1328" spans="2:11" x14ac:dyDescent="0.25">
      <c r="B1328" s="3">
        <v>1435</v>
      </c>
      <c r="C1328" s="3" t="s">
        <v>8</v>
      </c>
      <c r="D1328" s="3" t="s">
        <v>14</v>
      </c>
      <c r="E1328" s="4">
        <v>42533</v>
      </c>
      <c r="F1328" s="4">
        <v>42596</v>
      </c>
      <c r="G1328" s="3" t="s">
        <v>28</v>
      </c>
      <c r="H1328" s="5">
        <v>1644</v>
      </c>
      <c r="I1328" s="3" t="str">
        <f>VLOOKUP(Tabela1[[#This Row],[Advogado]],Tabela2[],2,FALSE)</f>
        <v>Renê Amaranto</v>
      </c>
      <c r="J1328" s="17">
        <f>IF(Tabela1[[#This Row],[Data de conclusão]]="",NETWORKDAYS(Tabela1[[#This Row],[Data de entrada]],$J$2),NETWORKDAYS(Tabela1[[#This Row],[Data de entrada]],Tabela1[[#This Row],[Data de conclusão]]))</f>
        <v>45</v>
      </c>
      <c r="K1328" s="1"/>
    </row>
    <row r="1329" spans="2:11" x14ac:dyDescent="0.25">
      <c r="B1329" s="3">
        <v>1436</v>
      </c>
      <c r="C1329" s="3" t="s">
        <v>9</v>
      </c>
      <c r="D1329" s="3" t="s">
        <v>15</v>
      </c>
      <c r="E1329" s="4">
        <v>42993</v>
      </c>
      <c r="F1329" s="4"/>
      <c r="G1329" s="3" t="s">
        <v>27</v>
      </c>
      <c r="H1329" s="5">
        <v>58463</v>
      </c>
      <c r="I1329" s="3" t="str">
        <f>VLOOKUP(Tabela1[[#This Row],[Advogado]],Tabela2[],2,FALSE)</f>
        <v>Renê Amaranto</v>
      </c>
      <c r="J1329" s="17">
        <f>IF(Tabela1[[#This Row],[Data de conclusão]]="",NETWORKDAYS(Tabela1[[#This Row],[Data de entrada]],$J$2),NETWORKDAYS(Tabela1[[#This Row],[Data de entrada]],Tabela1[[#This Row],[Data de conclusão]]))</f>
        <v>173</v>
      </c>
      <c r="K1329" s="1"/>
    </row>
    <row r="1330" spans="2:11" x14ac:dyDescent="0.25">
      <c r="B1330" s="3">
        <v>1437</v>
      </c>
      <c r="C1330" s="3" t="s">
        <v>7</v>
      </c>
      <c r="D1330" s="3" t="s">
        <v>16</v>
      </c>
      <c r="E1330" s="4">
        <v>42455</v>
      </c>
      <c r="F1330" s="4"/>
      <c r="G1330" s="3" t="s">
        <v>29</v>
      </c>
      <c r="H1330" s="5">
        <v>30908</v>
      </c>
      <c r="I1330" s="3" t="str">
        <f>VLOOKUP(Tabela1[[#This Row],[Advogado]],Tabela2[],2,FALSE)</f>
        <v>Renê Amaranto</v>
      </c>
      <c r="J1330" s="17">
        <f>IF(Tabela1[[#This Row],[Data de conclusão]]="",NETWORKDAYS(Tabela1[[#This Row],[Data de entrada]],$J$2),NETWORKDAYS(Tabela1[[#This Row],[Data de entrada]],Tabela1[[#This Row],[Data de conclusão]]))</f>
        <v>557</v>
      </c>
      <c r="K1330" s="1"/>
    </row>
    <row r="1331" spans="2:11" x14ac:dyDescent="0.25">
      <c r="B1331" s="3">
        <v>1438</v>
      </c>
      <c r="C1331" s="3" t="s">
        <v>8</v>
      </c>
      <c r="D1331" s="3" t="s">
        <v>17</v>
      </c>
      <c r="E1331" s="4">
        <v>42436</v>
      </c>
      <c r="F1331" s="4"/>
      <c r="G1331" s="3" t="s">
        <v>29</v>
      </c>
      <c r="H1331" s="5">
        <v>31570</v>
      </c>
      <c r="I1331" s="3" t="str">
        <f>VLOOKUP(Tabela1[[#This Row],[Advogado]],Tabela2[],2,FALSE)</f>
        <v>Renê Amaranto</v>
      </c>
      <c r="J1331" s="17">
        <f>IF(Tabela1[[#This Row],[Data de conclusão]]="",NETWORKDAYS(Tabela1[[#This Row],[Data de entrada]],$J$2),NETWORKDAYS(Tabela1[[#This Row],[Data de entrada]],Tabela1[[#This Row],[Data de conclusão]]))</f>
        <v>572</v>
      </c>
      <c r="K1331" s="1"/>
    </row>
    <row r="1332" spans="2:11" x14ac:dyDescent="0.25">
      <c r="B1332" s="3">
        <v>1439</v>
      </c>
      <c r="C1332" s="3" t="s">
        <v>9</v>
      </c>
      <c r="D1332" s="3" t="s">
        <v>10</v>
      </c>
      <c r="E1332" s="4">
        <v>42501</v>
      </c>
      <c r="F1332" s="4"/>
      <c r="G1332" s="3" t="s">
        <v>29</v>
      </c>
      <c r="H1332" s="5">
        <v>4343</v>
      </c>
      <c r="I1332" s="3" t="str">
        <f>VLOOKUP(Tabela1[[#This Row],[Advogado]],Tabela2[],2,FALSE)</f>
        <v>Caio Brito</v>
      </c>
      <c r="J1332" s="17">
        <f>IF(Tabela1[[#This Row],[Data de conclusão]]="",NETWORKDAYS(Tabela1[[#This Row],[Data de entrada]],$J$2),NETWORKDAYS(Tabela1[[#This Row],[Data de entrada]],Tabela1[[#This Row],[Data de conclusão]]))</f>
        <v>525</v>
      </c>
      <c r="K1332" s="1"/>
    </row>
    <row r="1333" spans="2:11" x14ac:dyDescent="0.25">
      <c r="B1333" s="3">
        <v>1440</v>
      </c>
      <c r="C1333" s="3" t="s">
        <v>7</v>
      </c>
      <c r="D1333" s="3" t="s">
        <v>11</v>
      </c>
      <c r="E1333" s="4">
        <v>42704</v>
      </c>
      <c r="F1333" s="4"/>
      <c r="G1333" s="3" t="s">
        <v>29</v>
      </c>
      <c r="H1333" s="5">
        <v>58257</v>
      </c>
      <c r="I1333" s="3" t="str">
        <f>VLOOKUP(Tabela1[[#This Row],[Advogado]],Tabela2[],2,FALSE)</f>
        <v>Caio Brito</v>
      </c>
      <c r="J1333" s="17">
        <f>IF(Tabela1[[#This Row],[Data de conclusão]]="",NETWORKDAYS(Tabela1[[#This Row],[Data de entrada]],$J$2),NETWORKDAYS(Tabela1[[#This Row],[Data de entrada]],Tabela1[[#This Row],[Data de conclusão]]))</f>
        <v>380</v>
      </c>
      <c r="K1333" s="1"/>
    </row>
    <row r="1334" spans="2:11" x14ac:dyDescent="0.25">
      <c r="B1334" s="3">
        <v>1441</v>
      </c>
      <c r="C1334" s="3" t="s">
        <v>8</v>
      </c>
      <c r="D1334" s="3" t="s">
        <v>12</v>
      </c>
      <c r="E1334" s="4">
        <v>43045</v>
      </c>
      <c r="F1334" s="4"/>
      <c r="G1334" s="3" t="s">
        <v>29</v>
      </c>
      <c r="H1334" s="5">
        <v>36244</v>
      </c>
      <c r="I1334" s="3" t="str">
        <f>VLOOKUP(Tabela1[[#This Row],[Advogado]],Tabela2[],2,FALSE)</f>
        <v>Caio Brito</v>
      </c>
      <c r="J1334" s="17">
        <f>IF(Tabela1[[#This Row],[Data de conclusão]]="",NETWORKDAYS(Tabela1[[#This Row],[Data de entrada]],$J$2),NETWORKDAYS(Tabela1[[#This Row],[Data de entrada]],Tabela1[[#This Row],[Data de conclusão]]))</f>
        <v>137</v>
      </c>
      <c r="K1334" s="1"/>
    </row>
    <row r="1335" spans="2:11" x14ac:dyDescent="0.25">
      <c r="B1335" s="3">
        <v>1442</v>
      </c>
      <c r="C1335" s="3" t="s">
        <v>9</v>
      </c>
      <c r="D1335" s="3" t="s">
        <v>13</v>
      </c>
      <c r="E1335" s="4">
        <v>42412</v>
      </c>
      <c r="F1335" s="4"/>
      <c r="G1335" s="3" t="s">
        <v>29</v>
      </c>
      <c r="H1335" s="5">
        <v>36662</v>
      </c>
      <c r="I1335" s="3" t="str">
        <f>VLOOKUP(Tabela1[[#This Row],[Advogado]],Tabela2[],2,FALSE)</f>
        <v>Caio Brito</v>
      </c>
      <c r="J1335" s="17">
        <f>IF(Tabela1[[#This Row],[Data de conclusão]]="",NETWORKDAYS(Tabela1[[#This Row],[Data de entrada]],$J$2),NETWORKDAYS(Tabela1[[#This Row],[Data de entrada]],Tabela1[[#This Row],[Data de conclusão]]))</f>
        <v>588</v>
      </c>
      <c r="K1335" s="1"/>
    </row>
    <row r="1336" spans="2:11" x14ac:dyDescent="0.25">
      <c r="B1336" s="3">
        <v>1443</v>
      </c>
      <c r="C1336" s="3" t="s">
        <v>7</v>
      </c>
      <c r="D1336" s="3" t="s">
        <v>14</v>
      </c>
      <c r="E1336" s="4">
        <v>42707</v>
      </c>
      <c r="F1336" s="4"/>
      <c r="G1336" s="3" t="s">
        <v>29</v>
      </c>
      <c r="H1336" s="5">
        <v>21283</v>
      </c>
      <c r="I1336" s="3" t="str">
        <f>VLOOKUP(Tabela1[[#This Row],[Advogado]],Tabela2[],2,FALSE)</f>
        <v>Renê Amaranto</v>
      </c>
      <c r="J1336" s="17">
        <f>IF(Tabela1[[#This Row],[Data de conclusão]]="",NETWORKDAYS(Tabela1[[#This Row],[Data de entrada]],$J$2),NETWORKDAYS(Tabela1[[#This Row],[Data de entrada]],Tabela1[[#This Row],[Data de conclusão]]))</f>
        <v>377</v>
      </c>
      <c r="K1336" s="1"/>
    </row>
    <row r="1337" spans="2:11" x14ac:dyDescent="0.25">
      <c r="B1337" s="3">
        <v>1444</v>
      </c>
      <c r="C1337" s="3" t="s">
        <v>8</v>
      </c>
      <c r="D1337" s="3" t="s">
        <v>15</v>
      </c>
      <c r="E1337" s="4">
        <v>42668</v>
      </c>
      <c r="F1337" s="4"/>
      <c r="G1337" s="3" t="s">
        <v>29</v>
      </c>
      <c r="H1337" s="5">
        <v>6821</v>
      </c>
      <c r="I1337" s="3" t="str">
        <f>VLOOKUP(Tabela1[[#This Row],[Advogado]],Tabela2[],2,FALSE)</f>
        <v>Renê Amaranto</v>
      </c>
      <c r="J1337" s="17">
        <f>IF(Tabela1[[#This Row],[Data de conclusão]]="",NETWORKDAYS(Tabela1[[#This Row],[Data de entrada]],$J$2),NETWORKDAYS(Tabela1[[#This Row],[Data de entrada]],Tabela1[[#This Row],[Data de conclusão]]))</f>
        <v>406</v>
      </c>
      <c r="K1337" s="1"/>
    </row>
    <row r="1338" spans="2:11" x14ac:dyDescent="0.25">
      <c r="B1338" s="3">
        <v>1445</v>
      </c>
      <c r="C1338" s="3" t="s">
        <v>9</v>
      </c>
      <c r="D1338" s="3" t="s">
        <v>16</v>
      </c>
      <c r="E1338" s="4">
        <v>43005</v>
      </c>
      <c r="F1338" s="4"/>
      <c r="G1338" s="3" t="s">
        <v>29</v>
      </c>
      <c r="H1338" s="5">
        <v>53778</v>
      </c>
      <c r="I1338" s="3" t="str">
        <f>VLOOKUP(Tabela1[[#This Row],[Advogado]],Tabela2[],2,FALSE)</f>
        <v>Renê Amaranto</v>
      </c>
      <c r="J1338" s="17">
        <f>IF(Tabela1[[#This Row],[Data de conclusão]]="",NETWORKDAYS(Tabela1[[#This Row],[Data de entrada]],$J$2),NETWORKDAYS(Tabela1[[#This Row],[Data de entrada]],Tabela1[[#This Row],[Data de conclusão]]))</f>
        <v>165</v>
      </c>
      <c r="K1338" s="1"/>
    </row>
    <row r="1339" spans="2:11" x14ac:dyDescent="0.25">
      <c r="B1339" s="3">
        <v>1446</v>
      </c>
      <c r="C1339" s="3" t="s">
        <v>7</v>
      </c>
      <c r="D1339" s="3" t="s">
        <v>17</v>
      </c>
      <c r="E1339" s="4">
        <v>42893</v>
      </c>
      <c r="F1339" s="4"/>
      <c r="G1339" s="3" t="s">
        <v>29</v>
      </c>
      <c r="H1339" s="5">
        <v>48657</v>
      </c>
      <c r="I1339" s="3" t="str">
        <f>VLOOKUP(Tabela1[[#This Row],[Advogado]],Tabela2[],2,FALSE)</f>
        <v>Renê Amaranto</v>
      </c>
      <c r="J1339" s="17">
        <f>IF(Tabela1[[#This Row],[Data de conclusão]]="",NETWORKDAYS(Tabela1[[#This Row],[Data de entrada]],$J$2),NETWORKDAYS(Tabela1[[#This Row],[Data de entrada]],Tabela1[[#This Row],[Data de conclusão]]))</f>
        <v>245</v>
      </c>
      <c r="K1339" s="1"/>
    </row>
    <row r="1340" spans="2:11" x14ac:dyDescent="0.25">
      <c r="B1340" s="3">
        <v>1447</v>
      </c>
      <c r="C1340" s="3" t="s">
        <v>8</v>
      </c>
      <c r="D1340" s="3" t="s">
        <v>10</v>
      </c>
      <c r="E1340" s="4">
        <v>42822</v>
      </c>
      <c r="F1340" s="4"/>
      <c r="G1340" s="3" t="s">
        <v>29</v>
      </c>
      <c r="H1340" s="5">
        <v>43227</v>
      </c>
      <c r="I1340" s="3" t="str">
        <f>VLOOKUP(Tabela1[[#This Row],[Advogado]],Tabela2[],2,FALSE)</f>
        <v>Caio Brito</v>
      </c>
      <c r="J1340" s="17">
        <f>IF(Tabela1[[#This Row],[Data de conclusão]]="",NETWORKDAYS(Tabela1[[#This Row],[Data de entrada]],$J$2),NETWORKDAYS(Tabela1[[#This Row],[Data de entrada]],Tabela1[[#This Row],[Data de conclusão]]))</f>
        <v>296</v>
      </c>
      <c r="K1340" s="1"/>
    </row>
    <row r="1341" spans="2:11" x14ac:dyDescent="0.25">
      <c r="B1341" s="3">
        <v>1448</v>
      </c>
      <c r="C1341" s="3" t="s">
        <v>9</v>
      </c>
      <c r="D1341" s="3" t="s">
        <v>11</v>
      </c>
      <c r="E1341" s="4">
        <v>42549</v>
      </c>
      <c r="F1341" s="4">
        <v>42650</v>
      </c>
      <c r="G1341" s="3" t="s">
        <v>28</v>
      </c>
      <c r="H1341" s="5">
        <v>26695</v>
      </c>
      <c r="I1341" s="3" t="str">
        <f>VLOOKUP(Tabela1[[#This Row],[Advogado]],Tabela2[],2,FALSE)</f>
        <v>Caio Brito</v>
      </c>
      <c r="J1341" s="17">
        <f>IF(Tabela1[[#This Row],[Data de conclusão]]="",NETWORKDAYS(Tabela1[[#This Row],[Data de entrada]],$J$2),NETWORKDAYS(Tabela1[[#This Row],[Data de entrada]],Tabela1[[#This Row],[Data de conclusão]]))</f>
        <v>74</v>
      </c>
      <c r="K1341" s="1"/>
    </row>
    <row r="1342" spans="2:11" x14ac:dyDescent="0.25">
      <c r="B1342" s="3">
        <v>1449</v>
      </c>
      <c r="C1342" s="3" t="s">
        <v>7</v>
      </c>
      <c r="D1342" s="3" t="s">
        <v>12</v>
      </c>
      <c r="E1342" s="4">
        <v>42582</v>
      </c>
      <c r="F1342" s="4"/>
      <c r="G1342" s="3" t="s">
        <v>27</v>
      </c>
      <c r="H1342" s="5">
        <v>20326</v>
      </c>
      <c r="I1342" s="3" t="str">
        <f>VLOOKUP(Tabela1[[#This Row],[Advogado]],Tabela2[],2,FALSE)</f>
        <v>Caio Brito</v>
      </c>
      <c r="J1342" s="17">
        <f>IF(Tabela1[[#This Row],[Data de conclusão]]="",NETWORKDAYS(Tabela1[[#This Row],[Data de entrada]],$J$2),NETWORKDAYS(Tabela1[[#This Row],[Data de entrada]],Tabela1[[#This Row],[Data de conclusão]]))</f>
        <v>467</v>
      </c>
      <c r="K1342" s="1"/>
    </row>
    <row r="1343" spans="2:11" x14ac:dyDescent="0.25">
      <c r="B1343" s="3">
        <v>1450</v>
      </c>
      <c r="C1343" s="3" t="s">
        <v>8</v>
      </c>
      <c r="D1343" s="3" t="s">
        <v>13</v>
      </c>
      <c r="E1343" s="4">
        <v>42576</v>
      </c>
      <c r="F1343" s="4"/>
      <c r="G1343" s="3" t="s">
        <v>29</v>
      </c>
      <c r="H1343" s="5">
        <v>30902</v>
      </c>
      <c r="I1343" s="3" t="str">
        <f>VLOOKUP(Tabela1[[#This Row],[Advogado]],Tabela2[],2,FALSE)</f>
        <v>Caio Brito</v>
      </c>
      <c r="J1343" s="17">
        <f>IF(Tabela1[[#This Row],[Data de conclusão]]="",NETWORKDAYS(Tabela1[[#This Row],[Data de entrada]],$J$2),NETWORKDAYS(Tabela1[[#This Row],[Data de entrada]],Tabela1[[#This Row],[Data de conclusão]]))</f>
        <v>472</v>
      </c>
      <c r="K1343" s="1"/>
    </row>
    <row r="1344" spans="2:11" x14ac:dyDescent="0.25">
      <c r="B1344" s="3">
        <v>1451</v>
      </c>
      <c r="C1344" s="3" t="s">
        <v>9</v>
      </c>
      <c r="D1344" s="3" t="s">
        <v>14</v>
      </c>
      <c r="E1344" s="4">
        <v>43045</v>
      </c>
      <c r="F1344" s="4"/>
      <c r="G1344" s="3" t="s">
        <v>29</v>
      </c>
      <c r="H1344" s="5">
        <v>50513</v>
      </c>
      <c r="I1344" s="3" t="str">
        <f>VLOOKUP(Tabela1[[#This Row],[Advogado]],Tabela2[],2,FALSE)</f>
        <v>Renê Amaranto</v>
      </c>
      <c r="J1344" s="17">
        <f>IF(Tabela1[[#This Row],[Data de conclusão]]="",NETWORKDAYS(Tabela1[[#This Row],[Data de entrada]],$J$2),NETWORKDAYS(Tabela1[[#This Row],[Data de entrada]],Tabela1[[#This Row],[Data de conclusão]]))</f>
        <v>137</v>
      </c>
      <c r="K1344" s="1"/>
    </row>
    <row r="1345" spans="2:11" x14ac:dyDescent="0.25">
      <c r="B1345" s="3">
        <v>1452</v>
      </c>
      <c r="C1345" s="3" t="s">
        <v>7</v>
      </c>
      <c r="D1345" s="3" t="s">
        <v>15</v>
      </c>
      <c r="E1345" s="4">
        <v>42466</v>
      </c>
      <c r="F1345" s="4"/>
      <c r="G1345" s="3" t="s">
        <v>29</v>
      </c>
      <c r="H1345" s="5">
        <v>43192</v>
      </c>
      <c r="I1345" s="3" t="str">
        <f>VLOOKUP(Tabela1[[#This Row],[Advogado]],Tabela2[],2,FALSE)</f>
        <v>Renê Amaranto</v>
      </c>
      <c r="J1345" s="17">
        <f>IF(Tabela1[[#This Row],[Data de conclusão]]="",NETWORKDAYS(Tabela1[[#This Row],[Data de entrada]],$J$2),NETWORKDAYS(Tabela1[[#This Row],[Data de entrada]],Tabela1[[#This Row],[Data de conclusão]]))</f>
        <v>550</v>
      </c>
      <c r="K1345" s="1"/>
    </row>
    <row r="1346" spans="2:11" x14ac:dyDescent="0.25">
      <c r="B1346" s="3">
        <v>1453</v>
      </c>
      <c r="C1346" s="3" t="s">
        <v>8</v>
      </c>
      <c r="D1346" s="3" t="s">
        <v>16</v>
      </c>
      <c r="E1346" s="4">
        <v>42533</v>
      </c>
      <c r="F1346" s="4"/>
      <c r="G1346" s="3" t="s">
        <v>29</v>
      </c>
      <c r="H1346" s="5">
        <v>29904</v>
      </c>
      <c r="I1346" s="3" t="str">
        <f>VLOOKUP(Tabela1[[#This Row],[Advogado]],Tabela2[],2,FALSE)</f>
        <v>Renê Amaranto</v>
      </c>
      <c r="J1346" s="17">
        <f>IF(Tabela1[[#This Row],[Data de conclusão]]="",NETWORKDAYS(Tabela1[[#This Row],[Data de entrada]],$J$2),NETWORKDAYS(Tabela1[[#This Row],[Data de entrada]],Tabela1[[#This Row],[Data de conclusão]]))</f>
        <v>502</v>
      </c>
      <c r="K1346" s="1"/>
    </row>
    <row r="1347" spans="2:11" x14ac:dyDescent="0.25">
      <c r="B1347" s="3">
        <v>1454</v>
      </c>
      <c r="C1347" s="3" t="s">
        <v>9</v>
      </c>
      <c r="D1347" s="3" t="s">
        <v>17</v>
      </c>
      <c r="E1347" s="4">
        <v>42667</v>
      </c>
      <c r="F1347" s="4"/>
      <c r="G1347" s="3" t="s">
        <v>29</v>
      </c>
      <c r="H1347" s="5">
        <v>1704</v>
      </c>
      <c r="I1347" s="3" t="str">
        <f>VLOOKUP(Tabela1[[#This Row],[Advogado]],Tabela2[],2,FALSE)</f>
        <v>Renê Amaranto</v>
      </c>
      <c r="J1347" s="17">
        <f>IF(Tabela1[[#This Row],[Data de conclusão]]="",NETWORKDAYS(Tabela1[[#This Row],[Data de entrada]],$J$2),NETWORKDAYS(Tabela1[[#This Row],[Data de entrada]],Tabela1[[#This Row],[Data de conclusão]]))</f>
        <v>407</v>
      </c>
      <c r="K1347" s="1"/>
    </row>
    <row r="1348" spans="2:11" x14ac:dyDescent="0.25">
      <c r="B1348" s="3">
        <v>1455</v>
      </c>
      <c r="C1348" s="3" t="s">
        <v>7</v>
      </c>
      <c r="D1348" s="3" t="s">
        <v>10</v>
      </c>
      <c r="E1348" s="4">
        <v>42382</v>
      </c>
      <c r="F1348" s="4"/>
      <c r="G1348" s="3" t="s">
        <v>29</v>
      </c>
      <c r="H1348" s="5">
        <v>46240</v>
      </c>
      <c r="I1348" s="3" t="str">
        <f>VLOOKUP(Tabela1[[#This Row],[Advogado]],Tabela2[],2,FALSE)</f>
        <v>Caio Brito</v>
      </c>
      <c r="J1348" s="17">
        <f>IF(Tabela1[[#This Row],[Data de conclusão]]="",NETWORKDAYS(Tabela1[[#This Row],[Data de entrada]],$J$2),NETWORKDAYS(Tabela1[[#This Row],[Data de entrada]],Tabela1[[#This Row],[Data de conclusão]]))</f>
        <v>610</v>
      </c>
      <c r="K1348" s="1"/>
    </row>
    <row r="1349" spans="2:11" x14ac:dyDescent="0.25">
      <c r="B1349" s="3">
        <v>1456</v>
      </c>
      <c r="C1349" s="3" t="s">
        <v>8</v>
      </c>
      <c r="D1349" s="3" t="s">
        <v>11</v>
      </c>
      <c r="E1349" s="4">
        <v>42994</v>
      </c>
      <c r="F1349" s="4"/>
      <c r="G1349" s="3" t="s">
        <v>29</v>
      </c>
      <c r="H1349" s="5">
        <v>2488</v>
      </c>
      <c r="I1349" s="3" t="str">
        <f>VLOOKUP(Tabela1[[#This Row],[Advogado]],Tabela2[],2,FALSE)</f>
        <v>Caio Brito</v>
      </c>
      <c r="J1349" s="17">
        <f>IF(Tabela1[[#This Row],[Data de conclusão]]="",NETWORKDAYS(Tabela1[[#This Row],[Data de entrada]],$J$2),NETWORKDAYS(Tabela1[[#This Row],[Data de entrada]],Tabela1[[#This Row],[Data de conclusão]]))</f>
        <v>172</v>
      </c>
      <c r="K1349" s="1"/>
    </row>
    <row r="1350" spans="2:11" x14ac:dyDescent="0.25">
      <c r="B1350" s="3">
        <v>1457</v>
      </c>
      <c r="C1350" s="3" t="s">
        <v>9</v>
      </c>
      <c r="D1350" s="3" t="s">
        <v>12</v>
      </c>
      <c r="E1350" s="4">
        <v>42555</v>
      </c>
      <c r="F1350" s="4"/>
      <c r="G1350" s="3" t="s">
        <v>29</v>
      </c>
      <c r="H1350" s="5">
        <v>59591</v>
      </c>
      <c r="I1350" s="3" t="str">
        <f>VLOOKUP(Tabela1[[#This Row],[Advogado]],Tabela2[],2,FALSE)</f>
        <v>Caio Brito</v>
      </c>
      <c r="J1350" s="17">
        <f>IF(Tabela1[[#This Row],[Data de conclusão]]="",NETWORKDAYS(Tabela1[[#This Row],[Data de entrada]],$J$2),NETWORKDAYS(Tabela1[[#This Row],[Data de entrada]],Tabela1[[#This Row],[Data de conclusão]]))</f>
        <v>487</v>
      </c>
      <c r="K1350" s="1"/>
    </row>
    <row r="1351" spans="2:11" x14ac:dyDescent="0.25">
      <c r="B1351" s="3">
        <v>1458</v>
      </c>
      <c r="C1351" s="3" t="s">
        <v>7</v>
      </c>
      <c r="D1351" s="3" t="s">
        <v>13</v>
      </c>
      <c r="E1351" s="4">
        <v>43081</v>
      </c>
      <c r="F1351" s="4"/>
      <c r="G1351" s="3" t="s">
        <v>29</v>
      </c>
      <c r="H1351" s="5">
        <v>34525</v>
      </c>
      <c r="I1351" s="3" t="str">
        <f>VLOOKUP(Tabela1[[#This Row],[Advogado]],Tabela2[],2,FALSE)</f>
        <v>Caio Brito</v>
      </c>
      <c r="J1351" s="17">
        <f>IF(Tabela1[[#This Row],[Data de conclusão]]="",NETWORKDAYS(Tabela1[[#This Row],[Data de entrada]],$J$2),NETWORKDAYS(Tabela1[[#This Row],[Data de entrada]],Tabela1[[#This Row],[Data de conclusão]]))</f>
        <v>111</v>
      </c>
      <c r="K1351" s="1"/>
    </row>
    <row r="1352" spans="2:11" x14ac:dyDescent="0.25">
      <c r="B1352" s="3">
        <v>1459</v>
      </c>
      <c r="C1352" s="3" t="s">
        <v>8</v>
      </c>
      <c r="D1352" s="3" t="s">
        <v>14</v>
      </c>
      <c r="E1352" s="4">
        <v>42586</v>
      </c>
      <c r="F1352" s="4"/>
      <c r="G1352" s="3" t="s">
        <v>29</v>
      </c>
      <c r="H1352" s="5">
        <v>40058</v>
      </c>
      <c r="I1352" s="3" t="str">
        <f>VLOOKUP(Tabela1[[#This Row],[Advogado]],Tabela2[],2,FALSE)</f>
        <v>Renê Amaranto</v>
      </c>
      <c r="J1352" s="17">
        <f>IF(Tabela1[[#This Row],[Data de conclusão]]="",NETWORKDAYS(Tabela1[[#This Row],[Data de entrada]],$J$2),NETWORKDAYS(Tabela1[[#This Row],[Data de entrada]],Tabela1[[#This Row],[Data de conclusão]]))</f>
        <v>464</v>
      </c>
      <c r="K1352" s="1"/>
    </row>
    <row r="1353" spans="2:11" x14ac:dyDescent="0.25">
      <c r="B1353" s="3">
        <v>1460</v>
      </c>
      <c r="C1353" s="3" t="s">
        <v>9</v>
      </c>
      <c r="D1353" s="3" t="s">
        <v>15</v>
      </c>
      <c r="E1353" s="4">
        <v>42811</v>
      </c>
      <c r="F1353" s="4"/>
      <c r="G1353" s="3" t="s">
        <v>29</v>
      </c>
      <c r="H1353" s="5">
        <v>12519</v>
      </c>
      <c r="I1353" s="3" t="str">
        <f>VLOOKUP(Tabela1[[#This Row],[Advogado]],Tabela2[],2,FALSE)</f>
        <v>Renê Amaranto</v>
      </c>
      <c r="J1353" s="17">
        <f>IF(Tabela1[[#This Row],[Data de conclusão]]="",NETWORKDAYS(Tabela1[[#This Row],[Data de entrada]],$J$2),NETWORKDAYS(Tabela1[[#This Row],[Data de entrada]],Tabela1[[#This Row],[Data de conclusão]]))</f>
        <v>303</v>
      </c>
      <c r="K1353" s="1"/>
    </row>
    <row r="1354" spans="2:11" x14ac:dyDescent="0.25">
      <c r="B1354" s="3">
        <v>1461</v>
      </c>
      <c r="C1354" s="3" t="s">
        <v>7</v>
      </c>
      <c r="D1354" s="3" t="s">
        <v>16</v>
      </c>
      <c r="E1354" s="4">
        <v>42600</v>
      </c>
      <c r="F1354" s="4">
        <v>42706</v>
      </c>
      <c r="G1354" s="3" t="s">
        <v>28</v>
      </c>
      <c r="H1354" s="5">
        <v>29617</v>
      </c>
      <c r="I1354" s="3" t="str">
        <f>VLOOKUP(Tabela1[[#This Row],[Advogado]],Tabela2[],2,FALSE)</f>
        <v>Renê Amaranto</v>
      </c>
      <c r="J1354" s="17">
        <f>IF(Tabela1[[#This Row],[Data de conclusão]]="",NETWORKDAYS(Tabela1[[#This Row],[Data de entrada]],$J$2),NETWORKDAYS(Tabela1[[#This Row],[Data de entrada]],Tabela1[[#This Row],[Data de conclusão]]))</f>
        <v>77</v>
      </c>
      <c r="K1354" s="1"/>
    </row>
    <row r="1355" spans="2:11" x14ac:dyDescent="0.25">
      <c r="B1355" s="3">
        <v>1462</v>
      </c>
      <c r="C1355" s="3" t="s">
        <v>8</v>
      </c>
      <c r="D1355" s="3" t="s">
        <v>17</v>
      </c>
      <c r="E1355" s="4">
        <v>43019</v>
      </c>
      <c r="F1355" s="4"/>
      <c r="G1355" s="3" t="s">
        <v>27</v>
      </c>
      <c r="H1355" s="5">
        <v>35644</v>
      </c>
      <c r="I1355" s="3" t="str">
        <f>VLOOKUP(Tabela1[[#This Row],[Advogado]],Tabela2[],2,FALSE)</f>
        <v>Renê Amaranto</v>
      </c>
      <c r="J1355" s="17">
        <f>IF(Tabela1[[#This Row],[Data de conclusão]]="",NETWORKDAYS(Tabela1[[#This Row],[Data de entrada]],$J$2),NETWORKDAYS(Tabela1[[#This Row],[Data de entrada]],Tabela1[[#This Row],[Data de conclusão]]))</f>
        <v>155</v>
      </c>
      <c r="K1355" s="1"/>
    </row>
    <row r="1356" spans="2:11" x14ac:dyDescent="0.25">
      <c r="B1356" s="3">
        <v>1463</v>
      </c>
      <c r="C1356" s="3" t="s">
        <v>9</v>
      </c>
      <c r="D1356" s="3" t="s">
        <v>10</v>
      </c>
      <c r="E1356" s="4">
        <v>42895</v>
      </c>
      <c r="F1356" s="4"/>
      <c r="G1356" s="3" t="s">
        <v>29</v>
      </c>
      <c r="H1356" s="5">
        <v>48789</v>
      </c>
      <c r="I1356" s="3" t="str">
        <f>VLOOKUP(Tabela1[[#This Row],[Advogado]],Tabela2[],2,FALSE)</f>
        <v>Caio Brito</v>
      </c>
      <c r="J1356" s="17">
        <f>IF(Tabela1[[#This Row],[Data de conclusão]]="",NETWORKDAYS(Tabela1[[#This Row],[Data de entrada]],$J$2),NETWORKDAYS(Tabela1[[#This Row],[Data de entrada]],Tabela1[[#This Row],[Data de conclusão]]))</f>
        <v>243</v>
      </c>
      <c r="K1356" s="1"/>
    </row>
    <row r="1357" spans="2:11" x14ac:dyDescent="0.25">
      <c r="B1357" s="3">
        <v>1464</v>
      </c>
      <c r="C1357" s="3" t="s">
        <v>7</v>
      </c>
      <c r="D1357" s="3" t="s">
        <v>11</v>
      </c>
      <c r="E1357" s="4">
        <v>42929</v>
      </c>
      <c r="F1357" s="4"/>
      <c r="G1357" s="3" t="s">
        <v>29</v>
      </c>
      <c r="H1357" s="5">
        <v>59878</v>
      </c>
      <c r="I1357" s="3" t="str">
        <f>VLOOKUP(Tabela1[[#This Row],[Advogado]],Tabela2[],2,FALSE)</f>
        <v>Caio Brito</v>
      </c>
      <c r="J1357" s="17">
        <f>IF(Tabela1[[#This Row],[Data de conclusão]]="",NETWORKDAYS(Tabela1[[#This Row],[Data de entrada]],$J$2),NETWORKDAYS(Tabela1[[#This Row],[Data de entrada]],Tabela1[[#This Row],[Data de conclusão]]))</f>
        <v>219</v>
      </c>
      <c r="K1357" s="1"/>
    </row>
    <row r="1358" spans="2:11" x14ac:dyDescent="0.25">
      <c r="B1358" s="3">
        <v>1465</v>
      </c>
      <c r="C1358" s="3" t="s">
        <v>8</v>
      </c>
      <c r="D1358" s="3" t="s">
        <v>12</v>
      </c>
      <c r="E1358" s="4">
        <v>42775</v>
      </c>
      <c r="F1358" s="4"/>
      <c r="G1358" s="3" t="s">
        <v>29</v>
      </c>
      <c r="H1358" s="5">
        <v>43482</v>
      </c>
      <c r="I1358" s="3" t="str">
        <f>VLOOKUP(Tabela1[[#This Row],[Advogado]],Tabela2[],2,FALSE)</f>
        <v>Caio Brito</v>
      </c>
      <c r="J1358" s="17">
        <f>IF(Tabela1[[#This Row],[Data de conclusão]]="",NETWORKDAYS(Tabela1[[#This Row],[Data de entrada]],$J$2),NETWORKDAYS(Tabela1[[#This Row],[Data de entrada]],Tabela1[[#This Row],[Data de conclusão]]))</f>
        <v>329</v>
      </c>
      <c r="K1358" s="1"/>
    </row>
    <row r="1359" spans="2:11" x14ac:dyDescent="0.25">
      <c r="B1359" s="3">
        <v>1466</v>
      </c>
      <c r="C1359" s="3" t="s">
        <v>9</v>
      </c>
      <c r="D1359" s="3" t="s">
        <v>13</v>
      </c>
      <c r="E1359" s="4">
        <v>42712</v>
      </c>
      <c r="F1359" s="4"/>
      <c r="G1359" s="3" t="s">
        <v>29</v>
      </c>
      <c r="H1359" s="5">
        <v>29362</v>
      </c>
      <c r="I1359" s="3" t="str">
        <f>VLOOKUP(Tabela1[[#This Row],[Advogado]],Tabela2[],2,FALSE)</f>
        <v>Caio Brito</v>
      </c>
      <c r="J1359" s="17">
        <f>IF(Tabela1[[#This Row],[Data de conclusão]]="",NETWORKDAYS(Tabela1[[#This Row],[Data de entrada]],$J$2),NETWORKDAYS(Tabela1[[#This Row],[Data de entrada]],Tabela1[[#This Row],[Data de conclusão]]))</f>
        <v>374</v>
      </c>
      <c r="K1359" s="1"/>
    </row>
    <row r="1360" spans="2:11" x14ac:dyDescent="0.25">
      <c r="B1360" s="3">
        <v>1467</v>
      </c>
      <c r="C1360" s="3" t="s">
        <v>7</v>
      </c>
      <c r="D1360" s="3" t="s">
        <v>14</v>
      </c>
      <c r="E1360" s="4">
        <v>42519</v>
      </c>
      <c r="F1360" s="4"/>
      <c r="G1360" s="3" t="s">
        <v>29</v>
      </c>
      <c r="H1360" s="5">
        <v>36383</v>
      </c>
      <c r="I1360" s="3" t="str">
        <f>VLOOKUP(Tabela1[[#This Row],[Advogado]],Tabela2[],2,FALSE)</f>
        <v>Renê Amaranto</v>
      </c>
      <c r="J1360" s="17">
        <f>IF(Tabela1[[#This Row],[Data de conclusão]]="",NETWORKDAYS(Tabela1[[#This Row],[Data de entrada]],$J$2),NETWORKDAYS(Tabela1[[#This Row],[Data de entrada]],Tabela1[[#This Row],[Data de conclusão]]))</f>
        <v>512</v>
      </c>
      <c r="K1360" s="1"/>
    </row>
    <row r="1361" spans="2:11" x14ac:dyDescent="0.25">
      <c r="B1361" s="3">
        <v>1468</v>
      </c>
      <c r="C1361" s="3" t="s">
        <v>8</v>
      </c>
      <c r="D1361" s="3" t="s">
        <v>15</v>
      </c>
      <c r="E1361" s="4">
        <v>42796</v>
      </c>
      <c r="F1361" s="4"/>
      <c r="G1361" s="3" t="s">
        <v>29</v>
      </c>
      <c r="H1361" s="5">
        <v>7134</v>
      </c>
      <c r="I1361" s="3" t="str">
        <f>VLOOKUP(Tabela1[[#This Row],[Advogado]],Tabela2[],2,FALSE)</f>
        <v>Renê Amaranto</v>
      </c>
      <c r="J1361" s="17">
        <f>IF(Tabela1[[#This Row],[Data de conclusão]]="",NETWORKDAYS(Tabela1[[#This Row],[Data de entrada]],$J$2),NETWORKDAYS(Tabela1[[#This Row],[Data de entrada]],Tabela1[[#This Row],[Data de conclusão]]))</f>
        <v>314</v>
      </c>
      <c r="K1361" s="1"/>
    </row>
    <row r="1362" spans="2:11" x14ac:dyDescent="0.25">
      <c r="B1362" s="3">
        <v>1469</v>
      </c>
      <c r="C1362" s="3" t="s">
        <v>9</v>
      </c>
      <c r="D1362" s="3" t="s">
        <v>16</v>
      </c>
      <c r="E1362" s="4">
        <v>42987</v>
      </c>
      <c r="F1362" s="4"/>
      <c r="G1362" s="3" t="s">
        <v>29</v>
      </c>
      <c r="H1362" s="5">
        <v>59895</v>
      </c>
      <c r="I1362" s="3" t="str">
        <f>VLOOKUP(Tabela1[[#This Row],[Advogado]],Tabela2[],2,FALSE)</f>
        <v>Renê Amaranto</v>
      </c>
      <c r="J1362" s="17">
        <f>IF(Tabela1[[#This Row],[Data de conclusão]]="",NETWORKDAYS(Tabela1[[#This Row],[Data de entrada]],$J$2),NETWORKDAYS(Tabela1[[#This Row],[Data de entrada]],Tabela1[[#This Row],[Data de conclusão]]))</f>
        <v>177</v>
      </c>
      <c r="K1362" s="1"/>
    </row>
    <row r="1363" spans="2:11" x14ac:dyDescent="0.25">
      <c r="B1363" s="3">
        <v>1470</v>
      </c>
      <c r="C1363" s="3" t="s">
        <v>7</v>
      </c>
      <c r="D1363" s="3" t="s">
        <v>17</v>
      </c>
      <c r="E1363" s="4">
        <v>42445</v>
      </c>
      <c r="F1363" s="4"/>
      <c r="G1363" s="3" t="s">
        <v>29</v>
      </c>
      <c r="H1363" s="5">
        <v>4086</v>
      </c>
      <c r="I1363" s="3" t="str">
        <f>VLOOKUP(Tabela1[[#This Row],[Advogado]],Tabela2[],2,FALSE)</f>
        <v>Renê Amaranto</v>
      </c>
      <c r="J1363" s="17">
        <f>IF(Tabela1[[#This Row],[Data de conclusão]]="",NETWORKDAYS(Tabela1[[#This Row],[Data de entrada]],$J$2),NETWORKDAYS(Tabela1[[#This Row],[Data de entrada]],Tabela1[[#This Row],[Data de conclusão]]))</f>
        <v>565</v>
      </c>
      <c r="K1363" s="1"/>
    </row>
    <row r="1364" spans="2:11" x14ac:dyDescent="0.25">
      <c r="B1364" s="3">
        <v>1471</v>
      </c>
      <c r="C1364" s="3" t="s">
        <v>8</v>
      </c>
      <c r="D1364" s="3" t="s">
        <v>10</v>
      </c>
      <c r="E1364" s="4">
        <v>42858</v>
      </c>
      <c r="F1364" s="4"/>
      <c r="G1364" s="3" t="s">
        <v>29</v>
      </c>
      <c r="H1364" s="5">
        <v>41925</v>
      </c>
      <c r="I1364" s="3" t="str">
        <f>VLOOKUP(Tabela1[[#This Row],[Advogado]],Tabela2[],2,FALSE)</f>
        <v>Caio Brito</v>
      </c>
      <c r="J1364" s="17">
        <f>IF(Tabela1[[#This Row],[Data de conclusão]]="",NETWORKDAYS(Tabela1[[#This Row],[Data de entrada]],$J$2),NETWORKDAYS(Tabela1[[#This Row],[Data de entrada]],Tabela1[[#This Row],[Data de conclusão]]))</f>
        <v>270</v>
      </c>
      <c r="K1364" s="1"/>
    </row>
    <row r="1365" spans="2:11" x14ac:dyDescent="0.25">
      <c r="B1365" s="3">
        <v>1472</v>
      </c>
      <c r="C1365" s="3" t="s">
        <v>9</v>
      </c>
      <c r="D1365" s="3" t="s">
        <v>11</v>
      </c>
      <c r="E1365" s="4">
        <v>42862</v>
      </c>
      <c r="F1365" s="4"/>
      <c r="G1365" s="3" t="s">
        <v>29</v>
      </c>
      <c r="H1365" s="5">
        <v>41231</v>
      </c>
      <c r="I1365" s="3" t="str">
        <f>VLOOKUP(Tabela1[[#This Row],[Advogado]],Tabela2[],2,FALSE)</f>
        <v>Caio Brito</v>
      </c>
      <c r="J1365" s="17">
        <f>IF(Tabela1[[#This Row],[Data de conclusão]]="",NETWORKDAYS(Tabela1[[#This Row],[Data de entrada]],$J$2),NETWORKDAYS(Tabela1[[#This Row],[Data de entrada]],Tabela1[[#This Row],[Data de conclusão]]))</f>
        <v>267</v>
      </c>
      <c r="K1365" s="1"/>
    </row>
    <row r="1366" spans="2:11" x14ac:dyDescent="0.25">
      <c r="B1366" s="3">
        <v>1473</v>
      </c>
      <c r="C1366" s="3" t="s">
        <v>7</v>
      </c>
      <c r="D1366" s="3" t="s">
        <v>12</v>
      </c>
      <c r="E1366" s="4">
        <v>42522</v>
      </c>
      <c r="F1366" s="4"/>
      <c r="G1366" s="3" t="s">
        <v>29</v>
      </c>
      <c r="H1366" s="5">
        <v>35415</v>
      </c>
      <c r="I1366" s="3" t="str">
        <f>VLOOKUP(Tabela1[[#This Row],[Advogado]],Tabela2[],2,FALSE)</f>
        <v>Caio Brito</v>
      </c>
      <c r="J1366" s="17">
        <f>IF(Tabela1[[#This Row],[Data de conclusão]]="",NETWORKDAYS(Tabela1[[#This Row],[Data de entrada]],$J$2),NETWORKDAYS(Tabela1[[#This Row],[Data de entrada]],Tabela1[[#This Row],[Data de conclusão]]))</f>
        <v>510</v>
      </c>
      <c r="K1366" s="1"/>
    </row>
    <row r="1367" spans="2:11" x14ac:dyDescent="0.25">
      <c r="B1367" s="3">
        <v>1474</v>
      </c>
      <c r="C1367" s="3" t="s">
        <v>8</v>
      </c>
      <c r="D1367" s="3" t="s">
        <v>13</v>
      </c>
      <c r="E1367" s="4">
        <v>42433</v>
      </c>
      <c r="F1367" s="4">
        <v>42490</v>
      </c>
      <c r="G1367" s="3" t="s">
        <v>28</v>
      </c>
      <c r="H1367" s="5">
        <v>27137</v>
      </c>
      <c r="I1367" s="3" t="str">
        <f>VLOOKUP(Tabela1[[#This Row],[Advogado]],Tabela2[],2,FALSE)</f>
        <v>Caio Brito</v>
      </c>
      <c r="J1367" s="17">
        <f>IF(Tabela1[[#This Row],[Data de conclusão]]="",NETWORKDAYS(Tabela1[[#This Row],[Data de entrada]],$J$2),NETWORKDAYS(Tabela1[[#This Row],[Data de entrada]],Tabela1[[#This Row],[Data de conclusão]]))</f>
        <v>41</v>
      </c>
      <c r="K1367" s="1"/>
    </row>
    <row r="1368" spans="2:11" x14ac:dyDescent="0.25">
      <c r="B1368" s="3">
        <v>1475</v>
      </c>
      <c r="C1368" s="3" t="s">
        <v>9</v>
      </c>
      <c r="D1368" s="3" t="s">
        <v>14</v>
      </c>
      <c r="E1368" s="4">
        <v>42500</v>
      </c>
      <c r="F1368" s="4"/>
      <c r="G1368" s="3" t="s">
        <v>27</v>
      </c>
      <c r="H1368" s="5">
        <v>42391</v>
      </c>
      <c r="I1368" s="3" t="str">
        <f>VLOOKUP(Tabela1[[#This Row],[Advogado]],Tabela2[],2,FALSE)</f>
        <v>Renê Amaranto</v>
      </c>
      <c r="J1368" s="17">
        <f>IF(Tabela1[[#This Row],[Data de conclusão]]="",NETWORKDAYS(Tabela1[[#This Row],[Data de entrada]],$J$2),NETWORKDAYS(Tabela1[[#This Row],[Data de entrada]],Tabela1[[#This Row],[Data de conclusão]]))</f>
        <v>526</v>
      </c>
      <c r="K1368" s="1"/>
    </row>
    <row r="1369" spans="2:11" x14ac:dyDescent="0.25">
      <c r="B1369" s="3">
        <v>1476</v>
      </c>
      <c r="C1369" s="3" t="s">
        <v>7</v>
      </c>
      <c r="D1369" s="3" t="s">
        <v>15</v>
      </c>
      <c r="E1369" s="4">
        <v>42417</v>
      </c>
      <c r="F1369" s="4"/>
      <c r="G1369" s="3" t="s">
        <v>29</v>
      </c>
      <c r="H1369" s="5">
        <v>15749</v>
      </c>
      <c r="I1369" s="3" t="str">
        <f>VLOOKUP(Tabela1[[#This Row],[Advogado]],Tabela2[],2,FALSE)</f>
        <v>Renê Amaranto</v>
      </c>
      <c r="J1369" s="17">
        <f>IF(Tabela1[[#This Row],[Data de conclusão]]="",NETWORKDAYS(Tabela1[[#This Row],[Data de entrada]],$J$2),NETWORKDAYS(Tabela1[[#This Row],[Data de entrada]],Tabela1[[#This Row],[Data de conclusão]]))</f>
        <v>585</v>
      </c>
      <c r="K1369" s="1"/>
    </row>
    <row r="1370" spans="2:11" x14ac:dyDescent="0.25">
      <c r="B1370" s="3">
        <v>1477</v>
      </c>
      <c r="C1370" s="3" t="s">
        <v>8</v>
      </c>
      <c r="D1370" s="3" t="s">
        <v>16</v>
      </c>
      <c r="E1370" s="4">
        <v>42556</v>
      </c>
      <c r="F1370" s="4"/>
      <c r="G1370" s="3" t="s">
        <v>29</v>
      </c>
      <c r="H1370" s="5">
        <v>41911</v>
      </c>
      <c r="I1370" s="3" t="str">
        <f>VLOOKUP(Tabela1[[#This Row],[Advogado]],Tabela2[],2,FALSE)</f>
        <v>Renê Amaranto</v>
      </c>
      <c r="J1370" s="17">
        <f>IF(Tabela1[[#This Row],[Data de conclusão]]="",NETWORKDAYS(Tabela1[[#This Row],[Data de entrada]],$J$2),NETWORKDAYS(Tabela1[[#This Row],[Data de entrada]],Tabela1[[#This Row],[Data de conclusão]]))</f>
        <v>486</v>
      </c>
      <c r="K1370" s="1"/>
    </row>
    <row r="1371" spans="2:11" x14ac:dyDescent="0.25">
      <c r="B1371" s="3">
        <v>1478</v>
      </c>
      <c r="C1371" s="3" t="s">
        <v>9</v>
      </c>
      <c r="D1371" s="3" t="s">
        <v>17</v>
      </c>
      <c r="E1371" s="4">
        <v>42688</v>
      </c>
      <c r="F1371" s="4"/>
      <c r="G1371" s="3" t="s">
        <v>29</v>
      </c>
      <c r="H1371" s="5">
        <v>39727</v>
      </c>
      <c r="I1371" s="3" t="str">
        <f>VLOOKUP(Tabela1[[#This Row],[Advogado]],Tabela2[],2,FALSE)</f>
        <v>Renê Amaranto</v>
      </c>
      <c r="J1371" s="17">
        <f>IF(Tabela1[[#This Row],[Data de conclusão]]="",NETWORKDAYS(Tabela1[[#This Row],[Data de entrada]],$J$2),NETWORKDAYS(Tabela1[[#This Row],[Data de entrada]],Tabela1[[#This Row],[Data de conclusão]]))</f>
        <v>392</v>
      </c>
      <c r="K1371" s="1"/>
    </row>
    <row r="1372" spans="2:11" x14ac:dyDescent="0.25">
      <c r="B1372" s="3">
        <v>1479</v>
      </c>
      <c r="C1372" s="3" t="s">
        <v>7</v>
      </c>
      <c r="D1372" s="3" t="s">
        <v>10</v>
      </c>
      <c r="E1372" s="4">
        <v>42688</v>
      </c>
      <c r="F1372" s="4"/>
      <c r="G1372" s="3" t="s">
        <v>29</v>
      </c>
      <c r="H1372" s="5">
        <v>20782</v>
      </c>
      <c r="I1372" s="3" t="str">
        <f>VLOOKUP(Tabela1[[#This Row],[Advogado]],Tabela2[],2,FALSE)</f>
        <v>Caio Brito</v>
      </c>
      <c r="J1372" s="17">
        <f>IF(Tabela1[[#This Row],[Data de conclusão]]="",NETWORKDAYS(Tabela1[[#This Row],[Data de entrada]],$J$2),NETWORKDAYS(Tabela1[[#This Row],[Data de entrada]],Tabela1[[#This Row],[Data de conclusão]]))</f>
        <v>392</v>
      </c>
      <c r="K1372" s="1"/>
    </row>
    <row r="1373" spans="2:11" x14ac:dyDescent="0.25">
      <c r="B1373" s="3">
        <v>1480</v>
      </c>
      <c r="C1373" s="3" t="s">
        <v>8</v>
      </c>
      <c r="D1373" s="3" t="s">
        <v>11</v>
      </c>
      <c r="E1373" s="4">
        <v>42546</v>
      </c>
      <c r="F1373" s="4"/>
      <c r="G1373" s="3" t="s">
        <v>29</v>
      </c>
      <c r="H1373" s="5">
        <v>44803</v>
      </c>
      <c r="I1373" s="3" t="str">
        <f>VLOOKUP(Tabela1[[#This Row],[Advogado]],Tabela2[],2,FALSE)</f>
        <v>Caio Brito</v>
      </c>
      <c r="J1373" s="17">
        <f>IF(Tabela1[[#This Row],[Data de conclusão]]="",NETWORKDAYS(Tabela1[[#This Row],[Data de entrada]],$J$2),NETWORKDAYS(Tabela1[[#This Row],[Data de entrada]],Tabela1[[#This Row],[Data de conclusão]]))</f>
        <v>492</v>
      </c>
      <c r="K1373" s="1"/>
    </row>
    <row r="1374" spans="2:11" x14ac:dyDescent="0.25">
      <c r="B1374" s="3">
        <v>1481</v>
      </c>
      <c r="C1374" s="3" t="s">
        <v>9</v>
      </c>
      <c r="D1374" s="3" t="s">
        <v>12</v>
      </c>
      <c r="E1374" s="4">
        <v>42849</v>
      </c>
      <c r="F1374" s="4"/>
      <c r="G1374" s="3" t="s">
        <v>29</v>
      </c>
      <c r="H1374" s="5">
        <v>7437</v>
      </c>
      <c r="I1374" s="3" t="str">
        <f>VLOOKUP(Tabela1[[#This Row],[Advogado]],Tabela2[],2,FALSE)</f>
        <v>Caio Brito</v>
      </c>
      <c r="J1374" s="17">
        <f>IF(Tabela1[[#This Row],[Data de conclusão]]="",NETWORKDAYS(Tabela1[[#This Row],[Data de entrada]],$J$2),NETWORKDAYS(Tabela1[[#This Row],[Data de entrada]],Tabela1[[#This Row],[Data de conclusão]]))</f>
        <v>277</v>
      </c>
      <c r="K1374" s="1"/>
    </row>
    <row r="1375" spans="2:11" x14ac:dyDescent="0.25">
      <c r="B1375" s="3">
        <v>1482</v>
      </c>
      <c r="C1375" s="3" t="s">
        <v>7</v>
      </c>
      <c r="D1375" s="3" t="s">
        <v>13</v>
      </c>
      <c r="E1375" s="4">
        <v>42734</v>
      </c>
      <c r="F1375" s="4"/>
      <c r="G1375" s="3" t="s">
        <v>29</v>
      </c>
      <c r="H1375" s="5">
        <v>32333</v>
      </c>
      <c r="I1375" s="3" t="str">
        <f>VLOOKUP(Tabela1[[#This Row],[Advogado]],Tabela2[],2,FALSE)</f>
        <v>Caio Brito</v>
      </c>
      <c r="J1375" s="17">
        <f>IF(Tabela1[[#This Row],[Data de conclusão]]="",NETWORKDAYS(Tabela1[[#This Row],[Data de entrada]],$J$2),NETWORKDAYS(Tabela1[[#This Row],[Data de entrada]],Tabela1[[#This Row],[Data de conclusão]]))</f>
        <v>358</v>
      </c>
      <c r="K1375" s="1"/>
    </row>
    <row r="1376" spans="2:11" x14ac:dyDescent="0.25">
      <c r="B1376" s="3">
        <v>1483</v>
      </c>
      <c r="C1376" s="3" t="s">
        <v>8</v>
      </c>
      <c r="D1376" s="3" t="s">
        <v>14</v>
      </c>
      <c r="E1376" s="4">
        <v>42830</v>
      </c>
      <c r="F1376" s="4"/>
      <c r="G1376" s="3" t="s">
        <v>29</v>
      </c>
      <c r="H1376" s="5">
        <v>35681</v>
      </c>
      <c r="I1376" s="3" t="str">
        <f>VLOOKUP(Tabela1[[#This Row],[Advogado]],Tabela2[],2,FALSE)</f>
        <v>Renê Amaranto</v>
      </c>
      <c r="J1376" s="17">
        <f>IF(Tabela1[[#This Row],[Data de conclusão]]="",NETWORKDAYS(Tabela1[[#This Row],[Data de entrada]],$J$2),NETWORKDAYS(Tabela1[[#This Row],[Data de entrada]],Tabela1[[#This Row],[Data de conclusão]]))</f>
        <v>290</v>
      </c>
      <c r="K1376" s="1"/>
    </row>
    <row r="1377" spans="2:11" x14ac:dyDescent="0.25">
      <c r="B1377" s="3">
        <v>1484</v>
      </c>
      <c r="C1377" s="3" t="s">
        <v>9</v>
      </c>
      <c r="D1377" s="3" t="s">
        <v>15</v>
      </c>
      <c r="E1377" s="4">
        <v>43043</v>
      </c>
      <c r="F1377" s="4"/>
      <c r="G1377" s="3" t="s">
        <v>29</v>
      </c>
      <c r="H1377" s="5">
        <v>21702</v>
      </c>
      <c r="I1377" s="3" t="str">
        <f>VLOOKUP(Tabela1[[#This Row],[Advogado]],Tabela2[],2,FALSE)</f>
        <v>Renê Amaranto</v>
      </c>
      <c r="J1377" s="17">
        <f>IF(Tabela1[[#This Row],[Data de conclusão]]="",NETWORKDAYS(Tabela1[[#This Row],[Data de entrada]],$J$2),NETWORKDAYS(Tabela1[[#This Row],[Data de entrada]],Tabela1[[#This Row],[Data de conclusão]]))</f>
        <v>137</v>
      </c>
      <c r="K1377" s="1"/>
    </row>
    <row r="1378" spans="2:11" x14ac:dyDescent="0.25">
      <c r="B1378" s="3">
        <v>1485</v>
      </c>
      <c r="C1378" s="3" t="s">
        <v>7</v>
      </c>
      <c r="D1378" s="3" t="s">
        <v>16</v>
      </c>
      <c r="E1378" s="4">
        <v>42906</v>
      </c>
      <c r="F1378" s="4"/>
      <c r="G1378" s="3" t="s">
        <v>29</v>
      </c>
      <c r="H1378" s="5">
        <v>7185</v>
      </c>
      <c r="I1378" s="3" t="str">
        <f>VLOOKUP(Tabela1[[#This Row],[Advogado]],Tabela2[],2,FALSE)</f>
        <v>Renê Amaranto</v>
      </c>
      <c r="J1378" s="17">
        <f>IF(Tabela1[[#This Row],[Data de conclusão]]="",NETWORKDAYS(Tabela1[[#This Row],[Data de entrada]],$J$2),NETWORKDAYS(Tabela1[[#This Row],[Data de entrada]],Tabela1[[#This Row],[Data de conclusão]]))</f>
        <v>236</v>
      </c>
      <c r="K1378" s="1"/>
    </row>
    <row r="1379" spans="2:11" x14ac:dyDescent="0.25">
      <c r="B1379" s="3">
        <v>1486</v>
      </c>
      <c r="C1379" s="3" t="s">
        <v>8</v>
      </c>
      <c r="D1379" s="3" t="s">
        <v>17</v>
      </c>
      <c r="E1379" s="4">
        <v>42955</v>
      </c>
      <c r="F1379" s="4"/>
      <c r="G1379" s="3" t="s">
        <v>29</v>
      </c>
      <c r="H1379" s="5">
        <v>14757</v>
      </c>
      <c r="I1379" s="3" t="str">
        <f>VLOOKUP(Tabela1[[#This Row],[Advogado]],Tabela2[],2,FALSE)</f>
        <v>Renê Amaranto</v>
      </c>
      <c r="J1379" s="17">
        <f>IF(Tabela1[[#This Row],[Data de conclusão]]="",NETWORKDAYS(Tabela1[[#This Row],[Data de entrada]],$J$2),NETWORKDAYS(Tabela1[[#This Row],[Data de entrada]],Tabela1[[#This Row],[Data de conclusão]]))</f>
        <v>201</v>
      </c>
      <c r="K1379" s="1"/>
    </row>
    <row r="1380" spans="2:11" x14ac:dyDescent="0.25">
      <c r="B1380" s="3">
        <v>1487</v>
      </c>
      <c r="C1380" s="3" t="s">
        <v>9</v>
      </c>
      <c r="D1380" s="3" t="s">
        <v>10</v>
      </c>
      <c r="E1380" s="4">
        <v>42447</v>
      </c>
      <c r="F1380" s="4">
        <v>42493</v>
      </c>
      <c r="G1380" s="3" t="s">
        <v>28</v>
      </c>
      <c r="H1380" s="5">
        <v>44647</v>
      </c>
      <c r="I1380" s="3" t="str">
        <f>VLOOKUP(Tabela1[[#This Row],[Advogado]],Tabela2[],2,FALSE)</f>
        <v>Caio Brito</v>
      </c>
      <c r="J1380" s="17">
        <f>IF(Tabela1[[#This Row],[Data de conclusão]]="",NETWORKDAYS(Tabela1[[#This Row],[Data de entrada]],$J$2),NETWORKDAYS(Tabela1[[#This Row],[Data de entrada]],Tabela1[[#This Row],[Data de conclusão]]))</f>
        <v>33</v>
      </c>
      <c r="K1380" s="1"/>
    </row>
    <row r="1381" spans="2:11" x14ac:dyDescent="0.25">
      <c r="B1381" s="3">
        <v>1488</v>
      </c>
      <c r="C1381" s="3" t="s">
        <v>7</v>
      </c>
      <c r="D1381" s="3" t="s">
        <v>11</v>
      </c>
      <c r="E1381" s="4">
        <v>42855</v>
      </c>
      <c r="F1381" s="4"/>
      <c r="G1381" s="3" t="s">
        <v>27</v>
      </c>
      <c r="H1381" s="5">
        <v>25764</v>
      </c>
      <c r="I1381" s="3" t="str">
        <f>VLOOKUP(Tabela1[[#This Row],[Advogado]],Tabela2[],2,FALSE)</f>
        <v>Caio Brito</v>
      </c>
      <c r="J1381" s="17">
        <f>IF(Tabela1[[#This Row],[Data de conclusão]]="",NETWORKDAYS(Tabela1[[#This Row],[Data de entrada]],$J$2),NETWORKDAYS(Tabela1[[#This Row],[Data de entrada]],Tabela1[[#This Row],[Data de conclusão]]))</f>
        <v>272</v>
      </c>
      <c r="K1381" s="1"/>
    </row>
    <row r="1382" spans="2:11" x14ac:dyDescent="0.25">
      <c r="B1382" s="3">
        <v>1489</v>
      </c>
      <c r="C1382" s="3" t="s">
        <v>8</v>
      </c>
      <c r="D1382" s="3" t="s">
        <v>12</v>
      </c>
      <c r="E1382" s="4">
        <v>43057</v>
      </c>
      <c r="F1382" s="4"/>
      <c r="G1382" s="3" t="s">
        <v>29</v>
      </c>
      <c r="H1382" s="5">
        <v>54310</v>
      </c>
      <c r="I1382" s="3" t="str">
        <f>VLOOKUP(Tabela1[[#This Row],[Advogado]],Tabela2[],2,FALSE)</f>
        <v>Caio Brito</v>
      </c>
      <c r="J1382" s="17">
        <f>IF(Tabela1[[#This Row],[Data de conclusão]]="",NETWORKDAYS(Tabela1[[#This Row],[Data de entrada]],$J$2),NETWORKDAYS(Tabela1[[#This Row],[Data de entrada]],Tabela1[[#This Row],[Data de conclusão]]))</f>
        <v>127</v>
      </c>
      <c r="K1382" s="1"/>
    </row>
    <row r="1383" spans="2:11" x14ac:dyDescent="0.25">
      <c r="B1383" s="3">
        <v>1490</v>
      </c>
      <c r="C1383" s="3" t="s">
        <v>9</v>
      </c>
      <c r="D1383" s="3" t="s">
        <v>13</v>
      </c>
      <c r="E1383" s="4">
        <v>43080</v>
      </c>
      <c r="F1383" s="4"/>
      <c r="G1383" s="3" t="s">
        <v>29</v>
      </c>
      <c r="H1383" s="5">
        <v>53778</v>
      </c>
      <c r="I1383" s="3" t="str">
        <f>VLOOKUP(Tabela1[[#This Row],[Advogado]],Tabela2[],2,FALSE)</f>
        <v>Caio Brito</v>
      </c>
      <c r="J1383" s="17">
        <f>IF(Tabela1[[#This Row],[Data de conclusão]]="",NETWORKDAYS(Tabela1[[#This Row],[Data de entrada]],$J$2),NETWORKDAYS(Tabela1[[#This Row],[Data de entrada]],Tabela1[[#This Row],[Data de conclusão]]))</f>
        <v>112</v>
      </c>
      <c r="K1383" s="1"/>
    </row>
    <row r="1384" spans="2:11" x14ac:dyDescent="0.25">
      <c r="B1384" s="3">
        <v>1491</v>
      </c>
      <c r="C1384" s="3" t="s">
        <v>7</v>
      </c>
      <c r="D1384" s="3" t="s">
        <v>14</v>
      </c>
      <c r="E1384" s="4">
        <v>42803</v>
      </c>
      <c r="F1384" s="4"/>
      <c r="G1384" s="3" t="s">
        <v>29</v>
      </c>
      <c r="H1384" s="5">
        <v>13813</v>
      </c>
      <c r="I1384" s="3" t="str">
        <f>VLOOKUP(Tabela1[[#This Row],[Advogado]],Tabela2[],2,FALSE)</f>
        <v>Renê Amaranto</v>
      </c>
      <c r="J1384" s="17">
        <f>IF(Tabela1[[#This Row],[Data de conclusão]]="",NETWORKDAYS(Tabela1[[#This Row],[Data de entrada]],$J$2),NETWORKDAYS(Tabela1[[#This Row],[Data de entrada]],Tabela1[[#This Row],[Data de conclusão]]))</f>
        <v>309</v>
      </c>
      <c r="K1384" s="1"/>
    </row>
    <row r="1385" spans="2:11" x14ac:dyDescent="0.25">
      <c r="B1385" s="3">
        <v>1492</v>
      </c>
      <c r="C1385" s="3" t="s">
        <v>8</v>
      </c>
      <c r="D1385" s="3" t="s">
        <v>15</v>
      </c>
      <c r="E1385" s="4">
        <v>42709</v>
      </c>
      <c r="F1385" s="4"/>
      <c r="G1385" s="3" t="s">
        <v>29</v>
      </c>
      <c r="H1385" s="5">
        <v>28537</v>
      </c>
      <c r="I1385" s="3" t="str">
        <f>VLOOKUP(Tabela1[[#This Row],[Advogado]],Tabela2[],2,FALSE)</f>
        <v>Renê Amaranto</v>
      </c>
      <c r="J1385" s="17">
        <f>IF(Tabela1[[#This Row],[Data de conclusão]]="",NETWORKDAYS(Tabela1[[#This Row],[Data de entrada]],$J$2),NETWORKDAYS(Tabela1[[#This Row],[Data de entrada]],Tabela1[[#This Row],[Data de conclusão]]))</f>
        <v>377</v>
      </c>
      <c r="K1385" s="1"/>
    </row>
    <row r="1386" spans="2:11" x14ac:dyDescent="0.25">
      <c r="B1386" s="3">
        <v>1493</v>
      </c>
      <c r="C1386" s="3" t="s">
        <v>9</v>
      </c>
      <c r="D1386" s="3" t="s">
        <v>16</v>
      </c>
      <c r="E1386" s="4">
        <v>42741</v>
      </c>
      <c r="F1386" s="4"/>
      <c r="G1386" s="3" t="s">
        <v>29</v>
      </c>
      <c r="H1386" s="5">
        <v>23656</v>
      </c>
      <c r="I1386" s="3" t="str">
        <f>VLOOKUP(Tabela1[[#This Row],[Advogado]],Tabela2[],2,FALSE)</f>
        <v>Renê Amaranto</v>
      </c>
      <c r="J1386" s="17">
        <f>IF(Tabela1[[#This Row],[Data de conclusão]]="",NETWORKDAYS(Tabela1[[#This Row],[Data de entrada]],$J$2),NETWORKDAYS(Tabela1[[#This Row],[Data de entrada]],Tabela1[[#This Row],[Data de conclusão]]))</f>
        <v>353</v>
      </c>
      <c r="K1386" s="1"/>
    </row>
    <row r="1387" spans="2:11" x14ac:dyDescent="0.25">
      <c r="B1387" s="3">
        <v>1494</v>
      </c>
      <c r="C1387" s="3" t="s">
        <v>7</v>
      </c>
      <c r="D1387" s="3" t="s">
        <v>17</v>
      </c>
      <c r="E1387" s="4">
        <v>42614</v>
      </c>
      <c r="F1387" s="4"/>
      <c r="G1387" s="3" t="s">
        <v>29</v>
      </c>
      <c r="H1387" s="5">
        <v>22702</v>
      </c>
      <c r="I1387" s="3" t="str">
        <f>VLOOKUP(Tabela1[[#This Row],[Advogado]],Tabela2[],2,FALSE)</f>
        <v>Renê Amaranto</v>
      </c>
      <c r="J1387" s="17">
        <f>IF(Tabela1[[#This Row],[Data de conclusão]]="",NETWORKDAYS(Tabela1[[#This Row],[Data de entrada]],$J$2),NETWORKDAYS(Tabela1[[#This Row],[Data de entrada]],Tabela1[[#This Row],[Data de conclusão]]))</f>
        <v>444</v>
      </c>
      <c r="K1387" s="1"/>
    </row>
    <row r="1388" spans="2:11" x14ac:dyDescent="0.25">
      <c r="B1388" s="3">
        <v>1495</v>
      </c>
      <c r="C1388" s="3" t="s">
        <v>8</v>
      </c>
      <c r="D1388" s="3" t="s">
        <v>10</v>
      </c>
      <c r="E1388" s="4">
        <v>42655</v>
      </c>
      <c r="F1388" s="4"/>
      <c r="G1388" s="3" t="s">
        <v>29</v>
      </c>
      <c r="H1388" s="5">
        <v>46291</v>
      </c>
      <c r="I1388" s="3" t="str">
        <f>VLOOKUP(Tabela1[[#This Row],[Advogado]],Tabela2[],2,FALSE)</f>
        <v>Caio Brito</v>
      </c>
      <c r="J1388" s="17">
        <f>IF(Tabela1[[#This Row],[Data de conclusão]]="",NETWORKDAYS(Tabela1[[#This Row],[Data de entrada]],$J$2),NETWORKDAYS(Tabela1[[#This Row],[Data de entrada]],Tabela1[[#This Row],[Data de conclusão]]))</f>
        <v>415</v>
      </c>
      <c r="K1388" s="1"/>
    </row>
    <row r="1389" spans="2:11" x14ac:dyDescent="0.25">
      <c r="B1389" s="3">
        <v>1496</v>
      </c>
      <c r="C1389" s="3" t="s">
        <v>9</v>
      </c>
      <c r="D1389" s="3" t="s">
        <v>11</v>
      </c>
      <c r="E1389" s="4">
        <v>42746</v>
      </c>
      <c r="F1389" s="4"/>
      <c r="G1389" s="3" t="s">
        <v>29</v>
      </c>
      <c r="H1389" s="5">
        <v>54531</v>
      </c>
      <c r="I1389" s="3" t="str">
        <f>VLOOKUP(Tabela1[[#This Row],[Advogado]],Tabela2[],2,FALSE)</f>
        <v>Caio Brito</v>
      </c>
      <c r="J1389" s="17">
        <f>IF(Tabela1[[#This Row],[Data de conclusão]]="",NETWORKDAYS(Tabela1[[#This Row],[Data de entrada]],$J$2),NETWORKDAYS(Tabela1[[#This Row],[Data de entrada]],Tabela1[[#This Row],[Data de conclusão]]))</f>
        <v>350</v>
      </c>
      <c r="K1389" s="1"/>
    </row>
    <row r="1390" spans="2:11" x14ac:dyDescent="0.25">
      <c r="B1390" s="3">
        <v>1497</v>
      </c>
      <c r="C1390" s="3" t="s">
        <v>7</v>
      </c>
      <c r="D1390" s="3" t="s">
        <v>12</v>
      </c>
      <c r="E1390" s="4">
        <v>43057</v>
      </c>
      <c r="F1390" s="4"/>
      <c r="G1390" s="3" t="s">
        <v>29</v>
      </c>
      <c r="H1390" s="5">
        <v>12975</v>
      </c>
      <c r="I1390" s="3" t="str">
        <f>VLOOKUP(Tabela1[[#This Row],[Advogado]],Tabela2[],2,FALSE)</f>
        <v>Caio Brito</v>
      </c>
      <c r="J1390" s="17">
        <f>IF(Tabela1[[#This Row],[Data de conclusão]]="",NETWORKDAYS(Tabela1[[#This Row],[Data de entrada]],$J$2),NETWORKDAYS(Tabela1[[#This Row],[Data de entrada]],Tabela1[[#This Row],[Data de conclusão]]))</f>
        <v>127</v>
      </c>
      <c r="K1390" s="1"/>
    </row>
    <row r="1391" spans="2:11" x14ac:dyDescent="0.25">
      <c r="B1391" s="3">
        <v>1498</v>
      </c>
      <c r="C1391" s="3" t="s">
        <v>8</v>
      </c>
      <c r="D1391" s="3" t="s">
        <v>13</v>
      </c>
      <c r="E1391" s="4">
        <v>43072</v>
      </c>
      <c r="F1391" s="4"/>
      <c r="G1391" s="3" t="s">
        <v>29</v>
      </c>
      <c r="H1391" s="5">
        <v>10215</v>
      </c>
      <c r="I1391" s="3" t="str">
        <f>VLOOKUP(Tabela1[[#This Row],[Advogado]],Tabela2[],2,FALSE)</f>
        <v>Caio Brito</v>
      </c>
      <c r="J1391" s="17">
        <f>IF(Tabela1[[#This Row],[Data de conclusão]]="",NETWORKDAYS(Tabela1[[#This Row],[Data de entrada]],$J$2),NETWORKDAYS(Tabela1[[#This Row],[Data de entrada]],Tabela1[[#This Row],[Data de conclusão]]))</f>
        <v>117</v>
      </c>
      <c r="K1391" s="1"/>
    </row>
    <row r="1392" spans="2:11" x14ac:dyDescent="0.25">
      <c r="B1392" s="3">
        <v>1499</v>
      </c>
      <c r="C1392" s="3" t="s">
        <v>9</v>
      </c>
      <c r="D1392" s="3" t="s">
        <v>14</v>
      </c>
      <c r="E1392" s="4">
        <v>42885</v>
      </c>
      <c r="F1392" s="4"/>
      <c r="G1392" s="3" t="s">
        <v>29</v>
      </c>
      <c r="H1392" s="5">
        <v>19907</v>
      </c>
      <c r="I1392" s="3" t="str">
        <f>VLOOKUP(Tabela1[[#This Row],[Advogado]],Tabela2[],2,FALSE)</f>
        <v>Renê Amaranto</v>
      </c>
      <c r="J1392" s="17">
        <f>IF(Tabela1[[#This Row],[Data de conclusão]]="",NETWORKDAYS(Tabela1[[#This Row],[Data de entrada]],$J$2),NETWORKDAYS(Tabela1[[#This Row],[Data de entrada]],Tabela1[[#This Row],[Data de conclusão]]))</f>
        <v>251</v>
      </c>
      <c r="K1392" s="1"/>
    </row>
    <row r="1393" spans="2:11" x14ac:dyDescent="0.25">
      <c r="B1393" s="3">
        <v>1500</v>
      </c>
      <c r="C1393" s="3" t="s">
        <v>7</v>
      </c>
      <c r="D1393" s="3" t="s">
        <v>15</v>
      </c>
      <c r="E1393" s="4">
        <v>42719</v>
      </c>
      <c r="F1393" s="4">
        <v>42780</v>
      </c>
      <c r="G1393" s="3" t="s">
        <v>28</v>
      </c>
      <c r="H1393" s="5">
        <v>17662</v>
      </c>
      <c r="I1393" s="3" t="str">
        <f>VLOOKUP(Tabela1[[#This Row],[Advogado]],Tabela2[],2,FALSE)</f>
        <v>Renê Amaranto</v>
      </c>
      <c r="J1393" s="17">
        <f>IF(Tabela1[[#This Row],[Data de conclusão]]="",NETWORKDAYS(Tabela1[[#This Row],[Data de entrada]],$J$2),NETWORKDAYS(Tabela1[[#This Row],[Data de entrada]],Tabela1[[#This Row],[Data de conclusão]]))</f>
        <v>44</v>
      </c>
      <c r="K1393" s="1"/>
    </row>
    <row r="1394" spans="2:11" x14ac:dyDescent="0.25">
      <c r="B1394" s="3">
        <v>1501</v>
      </c>
      <c r="C1394" s="3" t="s">
        <v>8</v>
      </c>
      <c r="D1394" s="3" t="s">
        <v>16</v>
      </c>
      <c r="E1394" s="4">
        <v>42847</v>
      </c>
      <c r="F1394" s="4"/>
      <c r="G1394" s="3" t="s">
        <v>27</v>
      </c>
      <c r="H1394" s="5">
        <v>49293</v>
      </c>
      <c r="I1394" s="3" t="str">
        <f>VLOOKUP(Tabela1[[#This Row],[Advogado]],Tabela2[],2,FALSE)</f>
        <v>Renê Amaranto</v>
      </c>
      <c r="J1394" s="17">
        <f>IF(Tabela1[[#This Row],[Data de conclusão]]="",NETWORKDAYS(Tabela1[[#This Row],[Data de entrada]],$J$2),NETWORKDAYS(Tabela1[[#This Row],[Data de entrada]],Tabela1[[#This Row],[Data de conclusão]]))</f>
        <v>277</v>
      </c>
      <c r="K1394" s="1"/>
    </row>
    <row r="1395" spans="2:11" x14ac:dyDescent="0.25">
      <c r="B1395" s="3">
        <v>1502</v>
      </c>
      <c r="C1395" s="3" t="s">
        <v>9</v>
      </c>
      <c r="D1395" s="3" t="s">
        <v>17</v>
      </c>
      <c r="E1395" s="4">
        <v>42398</v>
      </c>
      <c r="F1395" s="4"/>
      <c r="G1395" s="3" t="s">
        <v>29</v>
      </c>
      <c r="H1395" s="5">
        <v>11195</v>
      </c>
      <c r="I1395" s="3" t="str">
        <f>VLOOKUP(Tabela1[[#This Row],[Advogado]],Tabela2[],2,FALSE)</f>
        <v>Renê Amaranto</v>
      </c>
      <c r="J1395" s="17">
        <f>IF(Tabela1[[#This Row],[Data de conclusão]]="",NETWORKDAYS(Tabela1[[#This Row],[Data de entrada]],$J$2),NETWORKDAYS(Tabela1[[#This Row],[Data de entrada]],Tabela1[[#This Row],[Data de conclusão]]))</f>
        <v>598</v>
      </c>
      <c r="K1395" s="1"/>
    </row>
    <row r="1396" spans="2:11" x14ac:dyDescent="0.25">
      <c r="B1396" s="3">
        <v>1503</v>
      </c>
      <c r="C1396" s="3" t="s">
        <v>7</v>
      </c>
      <c r="D1396" s="3" t="s">
        <v>10</v>
      </c>
      <c r="E1396" s="4">
        <v>42657</v>
      </c>
      <c r="F1396" s="4"/>
      <c r="G1396" s="3" t="s">
        <v>29</v>
      </c>
      <c r="H1396" s="5">
        <v>48974</v>
      </c>
      <c r="I1396" s="3" t="str">
        <f>VLOOKUP(Tabela1[[#This Row],[Advogado]],Tabela2[],2,FALSE)</f>
        <v>Caio Brito</v>
      </c>
      <c r="J1396" s="17">
        <f>IF(Tabela1[[#This Row],[Data de conclusão]]="",NETWORKDAYS(Tabela1[[#This Row],[Data de entrada]],$J$2),NETWORKDAYS(Tabela1[[#This Row],[Data de entrada]],Tabela1[[#This Row],[Data de conclusão]]))</f>
        <v>413</v>
      </c>
      <c r="K1396" s="1"/>
    </row>
    <row r="1397" spans="2:11" x14ac:dyDescent="0.25">
      <c r="B1397" s="3">
        <v>1504</v>
      </c>
      <c r="C1397" s="3" t="s">
        <v>8</v>
      </c>
      <c r="D1397" s="3" t="s">
        <v>11</v>
      </c>
      <c r="E1397" s="4">
        <v>42469</v>
      </c>
      <c r="F1397" s="4"/>
      <c r="G1397" s="3" t="s">
        <v>29</v>
      </c>
      <c r="H1397" s="5">
        <v>7470</v>
      </c>
      <c r="I1397" s="3" t="str">
        <f>VLOOKUP(Tabela1[[#This Row],[Advogado]],Tabela2[],2,FALSE)</f>
        <v>Caio Brito</v>
      </c>
      <c r="J1397" s="17">
        <f>IF(Tabela1[[#This Row],[Data de conclusão]]="",NETWORKDAYS(Tabela1[[#This Row],[Data de entrada]],$J$2),NETWORKDAYS(Tabela1[[#This Row],[Data de entrada]],Tabela1[[#This Row],[Data de conclusão]]))</f>
        <v>547</v>
      </c>
      <c r="K1397" s="1"/>
    </row>
    <row r="1398" spans="2:11" x14ac:dyDescent="0.25">
      <c r="B1398" s="3">
        <v>1505</v>
      </c>
      <c r="C1398" s="3" t="s">
        <v>9</v>
      </c>
      <c r="D1398" s="3" t="s">
        <v>12</v>
      </c>
      <c r="E1398" s="4">
        <v>42845</v>
      </c>
      <c r="F1398" s="4"/>
      <c r="G1398" s="3" t="s">
        <v>29</v>
      </c>
      <c r="H1398" s="5">
        <v>24738</v>
      </c>
      <c r="I1398" s="3" t="str">
        <f>VLOOKUP(Tabela1[[#This Row],[Advogado]],Tabela2[],2,FALSE)</f>
        <v>Caio Brito</v>
      </c>
      <c r="J1398" s="17">
        <f>IF(Tabela1[[#This Row],[Data de conclusão]]="",NETWORKDAYS(Tabela1[[#This Row],[Data de entrada]],$J$2),NETWORKDAYS(Tabela1[[#This Row],[Data de entrada]],Tabela1[[#This Row],[Data de conclusão]]))</f>
        <v>279</v>
      </c>
      <c r="K1398" s="1"/>
    </row>
    <row r="1399" spans="2:11" x14ac:dyDescent="0.25">
      <c r="B1399" s="3">
        <v>1506</v>
      </c>
      <c r="C1399" s="3" t="s">
        <v>7</v>
      </c>
      <c r="D1399" s="3" t="s">
        <v>13</v>
      </c>
      <c r="E1399" s="4">
        <v>42678</v>
      </c>
      <c r="F1399" s="4"/>
      <c r="G1399" s="3" t="s">
        <v>29</v>
      </c>
      <c r="H1399" s="5">
        <v>50259</v>
      </c>
      <c r="I1399" s="3" t="str">
        <f>VLOOKUP(Tabela1[[#This Row],[Advogado]],Tabela2[],2,FALSE)</f>
        <v>Caio Brito</v>
      </c>
      <c r="J1399" s="17">
        <f>IF(Tabela1[[#This Row],[Data de conclusão]]="",NETWORKDAYS(Tabela1[[#This Row],[Data de entrada]],$J$2),NETWORKDAYS(Tabela1[[#This Row],[Data de entrada]],Tabela1[[#This Row],[Data de conclusão]]))</f>
        <v>398</v>
      </c>
      <c r="K1399" s="1"/>
    </row>
    <row r="1400" spans="2:11" x14ac:dyDescent="0.25">
      <c r="B1400" s="3">
        <v>1507</v>
      </c>
      <c r="C1400" s="3" t="s">
        <v>8</v>
      </c>
      <c r="D1400" s="3" t="s">
        <v>14</v>
      </c>
      <c r="E1400" s="4">
        <v>42708</v>
      </c>
      <c r="F1400" s="4"/>
      <c r="G1400" s="3" t="s">
        <v>29</v>
      </c>
      <c r="H1400" s="5">
        <v>37337</v>
      </c>
      <c r="I1400" s="3" t="str">
        <f>VLOOKUP(Tabela1[[#This Row],[Advogado]],Tabela2[],2,FALSE)</f>
        <v>Renê Amaranto</v>
      </c>
      <c r="J1400" s="17">
        <f>IF(Tabela1[[#This Row],[Data de conclusão]]="",NETWORKDAYS(Tabela1[[#This Row],[Data de entrada]],$J$2),NETWORKDAYS(Tabela1[[#This Row],[Data de entrada]],Tabela1[[#This Row],[Data de conclusão]]))</f>
        <v>377</v>
      </c>
      <c r="K1400" s="1"/>
    </row>
    <row r="1401" spans="2:11" x14ac:dyDescent="0.25">
      <c r="B1401" s="3">
        <v>1508</v>
      </c>
      <c r="C1401" s="3" t="s">
        <v>9</v>
      </c>
      <c r="D1401" s="3" t="s">
        <v>15</v>
      </c>
      <c r="E1401" s="4">
        <v>42760</v>
      </c>
      <c r="F1401" s="4"/>
      <c r="G1401" s="3" t="s">
        <v>29</v>
      </c>
      <c r="H1401" s="5">
        <v>34780</v>
      </c>
      <c r="I1401" s="3" t="str">
        <f>VLOOKUP(Tabela1[[#This Row],[Advogado]],Tabela2[],2,FALSE)</f>
        <v>Renê Amaranto</v>
      </c>
      <c r="J1401" s="17">
        <f>IF(Tabela1[[#This Row],[Data de conclusão]]="",NETWORKDAYS(Tabela1[[#This Row],[Data de entrada]],$J$2),NETWORKDAYS(Tabela1[[#This Row],[Data de entrada]],Tabela1[[#This Row],[Data de conclusão]]))</f>
        <v>340</v>
      </c>
      <c r="K1401" s="1"/>
    </row>
    <row r="1402" spans="2:11" x14ac:dyDescent="0.25">
      <c r="B1402" s="3">
        <v>1509</v>
      </c>
      <c r="C1402" s="3" t="s">
        <v>7</v>
      </c>
      <c r="D1402" s="3" t="s">
        <v>16</v>
      </c>
      <c r="E1402" s="4">
        <v>42928</v>
      </c>
      <c r="F1402" s="4"/>
      <c r="G1402" s="3" t="s">
        <v>29</v>
      </c>
      <c r="H1402" s="5">
        <v>7242</v>
      </c>
      <c r="I1402" s="3" t="str">
        <f>VLOOKUP(Tabela1[[#This Row],[Advogado]],Tabela2[],2,FALSE)</f>
        <v>Renê Amaranto</v>
      </c>
      <c r="J1402" s="17">
        <f>IF(Tabela1[[#This Row],[Data de conclusão]]="",NETWORKDAYS(Tabela1[[#This Row],[Data de entrada]],$J$2),NETWORKDAYS(Tabela1[[#This Row],[Data de entrada]],Tabela1[[#This Row],[Data de conclusão]]))</f>
        <v>220</v>
      </c>
      <c r="K1402" s="1"/>
    </row>
    <row r="1403" spans="2:11" x14ac:dyDescent="0.25">
      <c r="B1403" s="3">
        <v>1510</v>
      </c>
      <c r="C1403" s="3" t="s">
        <v>8</v>
      </c>
      <c r="D1403" s="3" t="s">
        <v>17</v>
      </c>
      <c r="E1403" s="4">
        <v>42703</v>
      </c>
      <c r="F1403" s="4"/>
      <c r="G1403" s="3" t="s">
        <v>29</v>
      </c>
      <c r="H1403" s="5">
        <v>50203</v>
      </c>
      <c r="I1403" s="3" t="str">
        <f>VLOOKUP(Tabela1[[#This Row],[Advogado]],Tabela2[],2,FALSE)</f>
        <v>Renê Amaranto</v>
      </c>
      <c r="J1403" s="17">
        <f>IF(Tabela1[[#This Row],[Data de conclusão]]="",NETWORKDAYS(Tabela1[[#This Row],[Data de entrada]],$J$2),NETWORKDAYS(Tabela1[[#This Row],[Data de entrada]],Tabela1[[#This Row],[Data de conclusão]]))</f>
        <v>381</v>
      </c>
      <c r="K1403" s="1"/>
    </row>
    <row r="1404" spans="2:11" x14ac:dyDescent="0.25">
      <c r="B1404" s="3">
        <v>1511</v>
      </c>
      <c r="C1404" s="3" t="s">
        <v>9</v>
      </c>
      <c r="D1404" s="3" t="s">
        <v>10</v>
      </c>
      <c r="E1404" s="4">
        <v>42961</v>
      </c>
      <c r="F1404" s="4"/>
      <c r="G1404" s="3" t="s">
        <v>29</v>
      </c>
      <c r="H1404" s="5">
        <v>38517</v>
      </c>
      <c r="I1404" s="3" t="str">
        <f>VLOOKUP(Tabela1[[#This Row],[Advogado]],Tabela2[],2,FALSE)</f>
        <v>Caio Brito</v>
      </c>
      <c r="J1404" s="17">
        <f>IF(Tabela1[[#This Row],[Data de conclusão]]="",NETWORKDAYS(Tabela1[[#This Row],[Data de entrada]],$J$2),NETWORKDAYS(Tabela1[[#This Row],[Data de entrada]],Tabela1[[#This Row],[Data de conclusão]]))</f>
        <v>197</v>
      </c>
      <c r="K1404" s="1"/>
    </row>
    <row r="1405" spans="2:11" x14ac:dyDescent="0.25">
      <c r="B1405" s="3">
        <v>1512</v>
      </c>
      <c r="C1405" s="3" t="s">
        <v>7</v>
      </c>
      <c r="D1405" s="3" t="s">
        <v>11</v>
      </c>
      <c r="E1405" s="4">
        <v>42947</v>
      </c>
      <c r="F1405" s="4"/>
      <c r="G1405" s="3" t="s">
        <v>29</v>
      </c>
      <c r="H1405" s="5">
        <v>16025</v>
      </c>
      <c r="I1405" s="3" t="str">
        <f>VLOOKUP(Tabela1[[#This Row],[Advogado]],Tabela2[],2,FALSE)</f>
        <v>Caio Brito</v>
      </c>
      <c r="J1405" s="17">
        <f>IF(Tabela1[[#This Row],[Data de conclusão]]="",NETWORKDAYS(Tabela1[[#This Row],[Data de entrada]],$J$2),NETWORKDAYS(Tabela1[[#This Row],[Data de entrada]],Tabela1[[#This Row],[Data de conclusão]]))</f>
        <v>207</v>
      </c>
      <c r="K1405" s="1"/>
    </row>
    <row r="1406" spans="2:11" x14ac:dyDescent="0.25">
      <c r="B1406" s="3">
        <v>1513</v>
      </c>
      <c r="C1406" s="3" t="s">
        <v>8</v>
      </c>
      <c r="D1406" s="3" t="s">
        <v>12</v>
      </c>
      <c r="E1406" s="4">
        <v>42480</v>
      </c>
      <c r="F1406" s="4">
        <v>42592</v>
      </c>
      <c r="G1406" s="3" t="s">
        <v>28</v>
      </c>
      <c r="H1406" s="5">
        <v>41776</v>
      </c>
      <c r="I1406" s="3" t="str">
        <f>VLOOKUP(Tabela1[[#This Row],[Advogado]],Tabela2[],2,FALSE)</f>
        <v>Caio Brito</v>
      </c>
      <c r="J1406" s="17">
        <f>IF(Tabela1[[#This Row],[Data de conclusão]]="",NETWORKDAYS(Tabela1[[#This Row],[Data de entrada]],$J$2),NETWORKDAYS(Tabela1[[#This Row],[Data de entrada]],Tabela1[[#This Row],[Data de conclusão]]))</f>
        <v>81</v>
      </c>
      <c r="K1406" s="1"/>
    </row>
    <row r="1407" spans="2:11" x14ac:dyDescent="0.25">
      <c r="B1407" s="3">
        <v>1514</v>
      </c>
      <c r="C1407" s="3" t="s">
        <v>9</v>
      </c>
      <c r="D1407" s="3" t="s">
        <v>13</v>
      </c>
      <c r="E1407" s="4">
        <v>43007</v>
      </c>
      <c r="F1407" s="4"/>
      <c r="G1407" s="3" t="s">
        <v>27</v>
      </c>
      <c r="H1407" s="5">
        <v>24577</v>
      </c>
      <c r="I1407" s="3" t="str">
        <f>VLOOKUP(Tabela1[[#This Row],[Advogado]],Tabela2[],2,FALSE)</f>
        <v>Caio Brito</v>
      </c>
      <c r="J1407" s="17">
        <f>IF(Tabela1[[#This Row],[Data de conclusão]]="",NETWORKDAYS(Tabela1[[#This Row],[Data de entrada]],$J$2),NETWORKDAYS(Tabela1[[#This Row],[Data de entrada]],Tabela1[[#This Row],[Data de conclusão]]))</f>
        <v>163</v>
      </c>
      <c r="K1407" s="1"/>
    </row>
    <row r="1408" spans="2:11" x14ac:dyDescent="0.25">
      <c r="B1408" s="3">
        <v>1515</v>
      </c>
      <c r="C1408" s="3" t="s">
        <v>7</v>
      </c>
      <c r="D1408" s="3" t="s">
        <v>14</v>
      </c>
      <c r="E1408" s="4">
        <v>43089</v>
      </c>
      <c r="F1408" s="4"/>
      <c r="G1408" s="3" t="s">
        <v>29</v>
      </c>
      <c r="H1408" s="5">
        <v>8200</v>
      </c>
      <c r="I1408" s="3" t="str">
        <f>VLOOKUP(Tabela1[[#This Row],[Advogado]],Tabela2[],2,FALSE)</f>
        <v>Renê Amaranto</v>
      </c>
      <c r="J1408" s="17">
        <f>IF(Tabela1[[#This Row],[Data de conclusão]]="",NETWORKDAYS(Tabela1[[#This Row],[Data de entrada]],$J$2),NETWORKDAYS(Tabela1[[#This Row],[Data de entrada]],Tabela1[[#This Row],[Data de conclusão]]))</f>
        <v>105</v>
      </c>
      <c r="K1408" s="1"/>
    </row>
    <row r="1409" spans="2:11" x14ac:dyDescent="0.25">
      <c r="B1409" s="3">
        <v>1516</v>
      </c>
      <c r="C1409" s="3" t="s">
        <v>8</v>
      </c>
      <c r="D1409" s="3" t="s">
        <v>15</v>
      </c>
      <c r="E1409" s="4">
        <v>42481</v>
      </c>
      <c r="F1409" s="4"/>
      <c r="G1409" s="3" t="s">
        <v>29</v>
      </c>
      <c r="H1409" s="5">
        <v>32737</v>
      </c>
      <c r="I1409" s="3" t="str">
        <f>VLOOKUP(Tabela1[[#This Row],[Advogado]],Tabela2[],2,FALSE)</f>
        <v>Renê Amaranto</v>
      </c>
      <c r="J1409" s="17">
        <f>IF(Tabela1[[#This Row],[Data de conclusão]]="",NETWORKDAYS(Tabela1[[#This Row],[Data de entrada]],$J$2),NETWORKDAYS(Tabela1[[#This Row],[Data de entrada]],Tabela1[[#This Row],[Data de conclusão]]))</f>
        <v>539</v>
      </c>
      <c r="K1409" s="1"/>
    </row>
    <row r="1410" spans="2:11" x14ac:dyDescent="0.25">
      <c r="B1410" s="3">
        <v>1517</v>
      </c>
      <c r="C1410" s="3" t="s">
        <v>9</v>
      </c>
      <c r="D1410" s="3" t="s">
        <v>16</v>
      </c>
      <c r="E1410" s="4">
        <v>42585</v>
      </c>
      <c r="F1410" s="4"/>
      <c r="G1410" s="3" t="s">
        <v>29</v>
      </c>
      <c r="H1410" s="5">
        <v>21141</v>
      </c>
      <c r="I1410" s="3" t="str">
        <f>VLOOKUP(Tabela1[[#This Row],[Advogado]],Tabela2[],2,FALSE)</f>
        <v>Renê Amaranto</v>
      </c>
      <c r="J1410" s="17">
        <f>IF(Tabela1[[#This Row],[Data de conclusão]]="",NETWORKDAYS(Tabela1[[#This Row],[Data de entrada]],$J$2),NETWORKDAYS(Tabela1[[#This Row],[Data de entrada]],Tabela1[[#This Row],[Data de conclusão]]))</f>
        <v>465</v>
      </c>
      <c r="K1410" s="1"/>
    </row>
    <row r="1411" spans="2:11" x14ac:dyDescent="0.25">
      <c r="B1411" s="3">
        <v>1518</v>
      </c>
      <c r="C1411" s="3" t="s">
        <v>7</v>
      </c>
      <c r="D1411" s="3" t="s">
        <v>17</v>
      </c>
      <c r="E1411" s="4">
        <v>42678</v>
      </c>
      <c r="F1411" s="4"/>
      <c r="G1411" s="3" t="s">
        <v>29</v>
      </c>
      <c r="H1411" s="5">
        <v>29079</v>
      </c>
      <c r="I1411" s="3" t="str">
        <f>VLOOKUP(Tabela1[[#This Row],[Advogado]],Tabela2[],2,FALSE)</f>
        <v>Renê Amaranto</v>
      </c>
      <c r="J1411" s="17">
        <f>IF(Tabela1[[#This Row],[Data de conclusão]]="",NETWORKDAYS(Tabela1[[#This Row],[Data de entrada]],$J$2),NETWORKDAYS(Tabela1[[#This Row],[Data de entrada]],Tabela1[[#This Row],[Data de conclusão]]))</f>
        <v>398</v>
      </c>
      <c r="K1411" s="1"/>
    </row>
    <row r="1412" spans="2:11" x14ac:dyDescent="0.25">
      <c r="B1412" s="3">
        <v>1519</v>
      </c>
      <c r="C1412" s="3" t="s">
        <v>8</v>
      </c>
      <c r="D1412" s="3" t="s">
        <v>10</v>
      </c>
      <c r="E1412" s="4">
        <v>42667</v>
      </c>
      <c r="F1412" s="4"/>
      <c r="G1412" s="3" t="s">
        <v>29</v>
      </c>
      <c r="H1412" s="5">
        <v>9965</v>
      </c>
      <c r="I1412" s="3" t="str">
        <f>VLOOKUP(Tabela1[[#This Row],[Advogado]],Tabela2[],2,FALSE)</f>
        <v>Caio Brito</v>
      </c>
      <c r="J1412" s="17">
        <f>IF(Tabela1[[#This Row],[Data de conclusão]]="",NETWORKDAYS(Tabela1[[#This Row],[Data de entrada]],$J$2),NETWORKDAYS(Tabela1[[#This Row],[Data de entrada]],Tabela1[[#This Row],[Data de conclusão]]))</f>
        <v>407</v>
      </c>
      <c r="K1412" s="1"/>
    </row>
    <row r="1413" spans="2:11" x14ac:dyDescent="0.25">
      <c r="B1413" s="3">
        <v>1520</v>
      </c>
      <c r="C1413" s="3" t="s">
        <v>9</v>
      </c>
      <c r="D1413" s="3" t="s">
        <v>11</v>
      </c>
      <c r="E1413" s="4">
        <v>42650</v>
      </c>
      <c r="F1413" s="4"/>
      <c r="G1413" s="3" t="s">
        <v>29</v>
      </c>
      <c r="H1413" s="5">
        <v>49164</v>
      </c>
      <c r="I1413" s="3" t="str">
        <f>VLOOKUP(Tabela1[[#This Row],[Advogado]],Tabela2[],2,FALSE)</f>
        <v>Caio Brito</v>
      </c>
      <c r="J1413" s="17">
        <f>IF(Tabela1[[#This Row],[Data de conclusão]]="",NETWORKDAYS(Tabela1[[#This Row],[Data de entrada]],$J$2),NETWORKDAYS(Tabela1[[#This Row],[Data de entrada]],Tabela1[[#This Row],[Data de conclusão]]))</f>
        <v>418</v>
      </c>
      <c r="K1413" s="1"/>
    </row>
    <row r="1414" spans="2:11" x14ac:dyDescent="0.25">
      <c r="B1414" s="3">
        <v>1521</v>
      </c>
      <c r="C1414" s="3" t="s">
        <v>7</v>
      </c>
      <c r="D1414" s="3" t="s">
        <v>12</v>
      </c>
      <c r="E1414" s="4">
        <v>42418</v>
      </c>
      <c r="F1414" s="4"/>
      <c r="G1414" s="3" t="s">
        <v>29</v>
      </c>
      <c r="H1414" s="5">
        <v>5676</v>
      </c>
      <c r="I1414" s="3" t="str">
        <f>VLOOKUP(Tabela1[[#This Row],[Advogado]],Tabela2[],2,FALSE)</f>
        <v>Caio Brito</v>
      </c>
      <c r="J1414" s="17">
        <f>IF(Tabela1[[#This Row],[Data de conclusão]]="",NETWORKDAYS(Tabela1[[#This Row],[Data de entrada]],$J$2),NETWORKDAYS(Tabela1[[#This Row],[Data de entrada]],Tabela1[[#This Row],[Data de conclusão]]))</f>
        <v>584</v>
      </c>
      <c r="K1414" s="1"/>
    </row>
    <row r="1415" spans="2:11" x14ac:dyDescent="0.25">
      <c r="B1415" s="3">
        <v>1522</v>
      </c>
      <c r="C1415" s="3" t="s">
        <v>8</v>
      </c>
      <c r="D1415" s="3" t="s">
        <v>13</v>
      </c>
      <c r="E1415" s="4">
        <v>42604</v>
      </c>
      <c r="F1415" s="4"/>
      <c r="G1415" s="3" t="s">
        <v>29</v>
      </c>
      <c r="H1415" s="5">
        <v>30233</v>
      </c>
      <c r="I1415" s="3" t="str">
        <f>VLOOKUP(Tabela1[[#This Row],[Advogado]],Tabela2[],2,FALSE)</f>
        <v>Caio Brito</v>
      </c>
      <c r="J1415" s="17">
        <f>IF(Tabela1[[#This Row],[Data de conclusão]]="",NETWORKDAYS(Tabela1[[#This Row],[Data de entrada]],$J$2),NETWORKDAYS(Tabela1[[#This Row],[Data de entrada]],Tabela1[[#This Row],[Data de conclusão]]))</f>
        <v>452</v>
      </c>
      <c r="K1415" s="1"/>
    </row>
    <row r="1416" spans="2:11" x14ac:dyDescent="0.25">
      <c r="B1416" s="3">
        <v>1523</v>
      </c>
      <c r="C1416" s="3" t="s">
        <v>9</v>
      </c>
      <c r="D1416" s="3" t="s">
        <v>14</v>
      </c>
      <c r="E1416" s="4">
        <v>42658</v>
      </c>
      <c r="F1416" s="4"/>
      <c r="G1416" s="3" t="s">
        <v>29</v>
      </c>
      <c r="H1416" s="5">
        <v>13811</v>
      </c>
      <c r="I1416" s="3" t="str">
        <f>VLOOKUP(Tabela1[[#This Row],[Advogado]],Tabela2[],2,FALSE)</f>
        <v>Renê Amaranto</v>
      </c>
      <c r="J1416" s="17">
        <f>IF(Tabela1[[#This Row],[Data de conclusão]]="",NETWORKDAYS(Tabela1[[#This Row],[Data de entrada]],$J$2),NETWORKDAYS(Tabela1[[#This Row],[Data de entrada]],Tabela1[[#This Row],[Data de conclusão]]))</f>
        <v>412</v>
      </c>
      <c r="K1416" s="1"/>
    </row>
    <row r="1417" spans="2:11" x14ac:dyDescent="0.25">
      <c r="B1417" s="3">
        <v>1524</v>
      </c>
      <c r="C1417" s="3" t="s">
        <v>7</v>
      </c>
      <c r="D1417" s="3" t="s">
        <v>15</v>
      </c>
      <c r="E1417" s="4">
        <v>42700</v>
      </c>
      <c r="F1417" s="4"/>
      <c r="G1417" s="3" t="s">
        <v>29</v>
      </c>
      <c r="H1417" s="5">
        <v>12018</v>
      </c>
      <c r="I1417" s="3" t="str">
        <f>VLOOKUP(Tabela1[[#This Row],[Advogado]],Tabela2[],2,FALSE)</f>
        <v>Renê Amaranto</v>
      </c>
      <c r="J1417" s="17">
        <f>IF(Tabela1[[#This Row],[Data de conclusão]]="",NETWORKDAYS(Tabela1[[#This Row],[Data de entrada]],$J$2),NETWORKDAYS(Tabela1[[#This Row],[Data de entrada]],Tabela1[[#This Row],[Data de conclusão]]))</f>
        <v>382</v>
      </c>
      <c r="K1417" s="1"/>
    </row>
    <row r="1418" spans="2:11" x14ac:dyDescent="0.25">
      <c r="B1418" s="3">
        <v>1525</v>
      </c>
      <c r="C1418" s="3" t="s">
        <v>8</v>
      </c>
      <c r="D1418" s="3" t="s">
        <v>16</v>
      </c>
      <c r="E1418" s="4">
        <v>43088</v>
      </c>
      <c r="F1418" s="4"/>
      <c r="G1418" s="3" t="s">
        <v>29</v>
      </c>
      <c r="H1418" s="5">
        <v>48436</v>
      </c>
      <c r="I1418" s="3" t="str">
        <f>VLOOKUP(Tabela1[[#This Row],[Advogado]],Tabela2[],2,FALSE)</f>
        <v>Renê Amaranto</v>
      </c>
      <c r="J1418" s="17">
        <f>IF(Tabela1[[#This Row],[Data de conclusão]]="",NETWORKDAYS(Tabela1[[#This Row],[Data de entrada]],$J$2),NETWORKDAYS(Tabela1[[#This Row],[Data de entrada]],Tabela1[[#This Row],[Data de conclusão]]))</f>
        <v>106</v>
      </c>
      <c r="K1418" s="1"/>
    </row>
    <row r="1419" spans="2:11" x14ac:dyDescent="0.25">
      <c r="B1419" s="3">
        <v>1526</v>
      </c>
      <c r="C1419" s="3" t="s">
        <v>9</v>
      </c>
      <c r="D1419" s="3" t="s">
        <v>17</v>
      </c>
      <c r="E1419" s="4">
        <v>42948</v>
      </c>
      <c r="F1419" s="4">
        <v>42991</v>
      </c>
      <c r="G1419" s="3" t="s">
        <v>28</v>
      </c>
      <c r="H1419" s="5">
        <v>4130</v>
      </c>
      <c r="I1419" s="3" t="str">
        <f>VLOOKUP(Tabela1[[#This Row],[Advogado]],Tabela2[],2,FALSE)</f>
        <v>Renê Amaranto</v>
      </c>
      <c r="J1419" s="17">
        <f>IF(Tabela1[[#This Row],[Data de conclusão]]="",NETWORKDAYS(Tabela1[[#This Row],[Data de entrada]],$J$2),NETWORKDAYS(Tabela1[[#This Row],[Data de entrada]],Tabela1[[#This Row],[Data de conclusão]]))</f>
        <v>32</v>
      </c>
      <c r="K1419" s="1"/>
    </row>
    <row r="1420" spans="2:11" x14ac:dyDescent="0.25">
      <c r="B1420" s="3">
        <v>1527</v>
      </c>
      <c r="C1420" s="3" t="s">
        <v>7</v>
      </c>
      <c r="D1420" s="3" t="s">
        <v>10</v>
      </c>
      <c r="E1420" s="4">
        <v>42806</v>
      </c>
      <c r="F1420" s="4"/>
      <c r="G1420" s="3" t="s">
        <v>27</v>
      </c>
      <c r="H1420" s="5">
        <v>24687</v>
      </c>
      <c r="I1420" s="3" t="str">
        <f>VLOOKUP(Tabela1[[#This Row],[Advogado]],Tabela2[],2,FALSE)</f>
        <v>Caio Brito</v>
      </c>
      <c r="J1420" s="17">
        <f>IF(Tabela1[[#This Row],[Data de conclusão]]="",NETWORKDAYS(Tabela1[[#This Row],[Data de entrada]],$J$2),NETWORKDAYS(Tabela1[[#This Row],[Data de entrada]],Tabela1[[#This Row],[Data de conclusão]]))</f>
        <v>307</v>
      </c>
      <c r="K1420" s="1"/>
    </row>
    <row r="1421" spans="2:11" x14ac:dyDescent="0.25">
      <c r="B1421" s="3">
        <v>1528</v>
      </c>
      <c r="C1421" s="3" t="s">
        <v>8</v>
      </c>
      <c r="D1421" s="3" t="s">
        <v>11</v>
      </c>
      <c r="E1421" s="4">
        <v>42695</v>
      </c>
      <c r="F1421" s="4"/>
      <c r="G1421" s="3" t="s">
        <v>29</v>
      </c>
      <c r="H1421" s="5">
        <v>23234</v>
      </c>
      <c r="I1421" s="3" t="str">
        <f>VLOOKUP(Tabela1[[#This Row],[Advogado]],Tabela2[],2,FALSE)</f>
        <v>Caio Brito</v>
      </c>
      <c r="J1421" s="17">
        <f>IF(Tabela1[[#This Row],[Data de conclusão]]="",NETWORKDAYS(Tabela1[[#This Row],[Data de entrada]],$J$2),NETWORKDAYS(Tabela1[[#This Row],[Data de entrada]],Tabela1[[#This Row],[Data de conclusão]]))</f>
        <v>387</v>
      </c>
      <c r="K1421" s="1"/>
    </row>
    <row r="1422" spans="2:11" x14ac:dyDescent="0.25">
      <c r="B1422" s="3">
        <v>1529</v>
      </c>
      <c r="C1422" s="3" t="s">
        <v>9</v>
      </c>
      <c r="D1422" s="3" t="s">
        <v>12</v>
      </c>
      <c r="E1422" s="4">
        <v>43086</v>
      </c>
      <c r="F1422" s="4"/>
      <c r="G1422" s="3" t="s">
        <v>29</v>
      </c>
      <c r="H1422" s="5">
        <v>20535</v>
      </c>
      <c r="I1422" s="3" t="str">
        <f>VLOOKUP(Tabela1[[#This Row],[Advogado]],Tabela2[],2,FALSE)</f>
        <v>Caio Brito</v>
      </c>
      <c r="J1422" s="17">
        <f>IF(Tabela1[[#This Row],[Data de conclusão]]="",NETWORKDAYS(Tabela1[[#This Row],[Data de entrada]],$J$2),NETWORKDAYS(Tabela1[[#This Row],[Data de entrada]],Tabela1[[#This Row],[Data de conclusão]]))</f>
        <v>107</v>
      </c>
      <c r="K1422" s="1"/>
    </row>
    <row r="1423" spans="2:11" x14ac:dyDescent="0.25">
      <c r="B1423" s="3">
        <v>1530</v>
      </c>
      <c r="C1423" s="3" t="s">
        <v>7</v>
      </c>
      <c r="D1423" s="3" t="s">
        <v>13</v>
      </c>
      <c r="E1423" s="4">
        <v>42983</v>
      </c>
      <c r="F1423" s="4"/>
      <c r="G1423" s="3" t="s">
        <v>29</v>
      </c>
      <c r="H1423" s="5">
        <v>37178</v>
      </c>
      <c r="I1423" s="3" t="str">
        <f>VLOOKUP(Tabela1[[#This Row],[Advogado]],Tabela2[],2,FALSE)</f>
        <v>Caio Brito</v>
      </c>
      <c r="J1423" s="17">
        <f>IF(Tabela1[[#This Row],[Data de conclusão]]="",NETWORKDAYS(Tabela1[[#This Row],[Data de entrada]],$J$2),NETWORKDAYS(Tabela1[[#This Row],[Data de entrada]],Tabela1[[#This Row],[Data de conclusão]]))</f>
        <v>181</v>
      </c>
      <c r="K1423" s="1"/>
    </row>
    <row r="1424" spans="2:11" x14ac:dyDescent="0.25">
      <c r="B1424" s="3">
        <v>1531</v>
      </c>
      <c r="C1424" s="3" t="s">
        <v>8</v>
      </c>
      <c r="D1424" s="3" t="s">
        <v>14</v>
      </c>
      <c r="E1424" s="4">
        <v>42918</v>
      </c>
      <c r="F1424" s="4"/>
      <c r="G1424" s="3" t="s">
        <v>29</v>
      </c>
      <c r="H1424" s="5">
        <v>7521</v>
      </c>
      <c r="I1424" s="3" t="str">
        <f>VLOOKUP(Tabela1[[#This Row],[Advogado]],Tabela2[],2,FALSE)</f>
        <v>Renê Amaranto</v>
      </c>
      <c r="J1424" s="17">
        <f>IF(Tabela1[[#This Row],[Data de conclusão]]="",NETWORKDAYS(Tabela1[[#This Row],[Data de entrada]],$J$2),NETWORKDAYS(Tabela1[[#This Row],[Data de entrada]],Tabela1[[#This Row],[Data de conclusão]]))</f>
        <v>227</v>
      </c>
      <c r="K1424" s="1"/>
    </row>
    <row r="1425" spans="2:11" x14ac:dyDescent="0.25">
      <c r="B1425" s="3">
        <v>1532</v>
      </c>
      <c r="C1425" s="3" t="s">
        <v>9</v>
      </c>
      <c r="D1425" s="3" t="s">
        <v>15</v>
      </c>
      <c r="E1425" s="4">
        <v>42759</v>
      </c>
      <c r="F1425" s="4"/>
      <c r="G1425" s="3" t="s">
        <v>29</v>
      </c>
      <c r="H1425" s="5">
        <v>21681</v>
      </c>
      <c r="I1425" s="3" t="str">
        <f>VLOOKUP(Tabela1[[#This Row],[Advogado]],Tabela2[],2,FALSE)</f>
        <v>Renê Amaranto</v>
      </c>
      <c r="J1425" s="17">
        <f>IF(Tabela1[[#This Row],[Data de conclusão]]="",NETWORKDAYS(Tabela1[[#This Row],[Data de entrada]],$J$2),NETWORKDAYS(Tabela1[[#This Row],[Data de entrada]],Tabela1[[#This Row],[Data de conclusão]]))</f>
        <v>341</v>
      </c>
      <c r="K1425" s="1"/>
    </row>
    <row r="1426" spans="2:11" x14ac:dyDescent="0.25">
      <c r="B1426" s="3">
        <v>1533</v>
      </c>
      <c r="C1426" s="3" t="s">
        <v>7</v>
      </c>
      <c r="D1426" s="3" t="s">
        <v>16</v>
      </c>
      <c r="E1426" s="4">
        <v>42782</v>
      </c>
      <c r="F1426" s="4"/>
      <c r="G1426" s="3" t="s">
        <v>29</v>
      </c>
      <c r="H1426" s="5">
        <v>8220</v>
      </c>
      <c r="I1426" s="3" t="str">
        <f>VLOOKUP(Tabela1[[#This Row],[Advogado]],Tabela2[],2,FALSE)</f>
        <v>Renê Amaranto</v>
      </c>
      <c r="J1426" s="17">
        <f>IF(Tabela1[[#This Row],[Data de conclusão]]="",NETWORKDAYS(Tabela1[[#This Row],[Data de entrada]],$J$2),NETWORKDAYS(Tabela1[[#This Row],[Data de entrada]],Tabela1[[#This Row],[Data de conclusão]]))</f>
        <v>324</v>
      </c>
      <c r="K1426" s="1"/>
    </row>
    <row r="1427" spans="2:11" x14ac:dyDescent="0.25">
      <c r="B1427" s="3">
        <v>1534</v>
      </c>
      <c r="C1427" s="3" t="s">
        <v>8</v>
      </c>
      <c r="D1427" s="3" t="s">
        <v>17</v>
      </c>
      <c r="E1427" s="4">
        <v>42723</v>
      </c>
      <c r="F1427" s="4"/>
      <c r="G1427" s="3" t="s">
        <v>29</v>
      </c>
      <c r="H1427" s="5">
        <v>30207</v>
      </c>
      <c r="I1427" s="3" t="str">
        <f>VLOOKUP(Tabela1[[#This Row],[Advogado]],Tabela2[],2,FALSE)</f>
        <v>Renê Amaranto</v>
      </c>
      <c r="J1427" s="17">
        <f>IF(Tabela1[[#This Row],[Data de conclusão]]="",NETWORKDAYS(Tabela1[[#This Row],[Data de entrada]],$J$2),NETWORKDAYS(Tabela1[[#This Row],[Data de entrada]],Tabela1[[#This Row],[Data de conclusão]]))</f>
        <v>367</v>
      </c>
      <c r="K1427" s="1"/>
    </row>
    <row r="1428" spans="2:11" x14ac:dyDescent="0.25">
      <c r="B1428" s="3">
        <v>1535</v>
      </c>
      <c r="C1428" s="3" t="s">
        <v>9</v>
      </c>
      <c r="D1428" s="3" t="s">
        <v>10</v>
      </c>
      <c r="E1428" s="4">
        <v>42864</v>
      </c>
      <c r="F1428" s="4"/>
      <c r="G1428" s="3" t="s">
        <v>29</v>
      </c>
      <c r="H1428" s="5">
        <v>20159</v>
      </c>
      <c r="I1428" s="3" t="str">
        <f>VLOOKUP(Tabela1[[#This Row],[Advogado]],Tabela2[],2,FALSE)</f>
        <v>Caio Brito</v>
      </c>
      <c r="J1428" s="17">
        <f>IF(Tabela1[[#This Row],[Data de conclusão]]="",NETWORKDAYS(Tabela1[[#This Row],[Data de entrada]],$J$2),NETWORKDAYS(Tabela1[[#This Row],[Data de entrada]],Tabela1[[#This Row],[Data de conclusão]]))</f>
        <v>266</v>
      </c>
      <c r="K1428" s="1"/>
    </row>
    <row r="1429" spans="2:11" x14ac:dyDescent="0.25">
      <c r="B1429" s="3">
        <v>1536</v>
      </c>
      <c r="C1429" s="3" t="s">
        <v>7</v>
      </c>
      <c r="D1429" s="3" t="s">
        <v>11</v>
      </c>
      <c r="E1429" s="4">
        <v>42849</v>
      </c>
      <c r="F1429" s="4"/>
      <c r="G1429" s="3" t="s">
        <v>29</v>
      </c>
      <c r="H1429" s="5">
        <v>36359</v>
      </c>
      <c r="I1429" s="3" t="str">
        <f>VLOOKUP(Tabela1[[#This Row],[Advogado]],Tabela2[],2,FALSE)</f>
        <v>Caio Brito</v>
      </c>
      <c r="J1429" s="17">
        <f>IF(Tabela1[[#This Row],[Data de conclusão]]="",NETWORKDAYS(Tabela1[[#This Row],[Data de entrada]],$J$2),NETWORKDAYS(Tabela1[[#This Row],[Data de entrada]],Tabela1[[#This Row],[Data de conclusão]]))</f>
        <v>277</v>
      </c>
      <c r="K1429" s="1"/>
    </row>
    <row r="1430" spans="2:11" x14ac:dyDescent="0.25">
      <c r="B1430" s="3">
        <v>1537</v>
      </c>
      <c r="C1430" s="3" t="s">
        <v>8</v>
      </c>
      <c r="D1430" s="3" t="s">
        <v>12</v>
      </c>
      <c r="E1430" s="4">
        <v>42949</v>
      </c>
      <c r="F1430" s="4"/>
      <c r="G1430" s="3" t="s">
        <v>29</v>
      </c>
      <c r="H1430" s="5">
        <v>6900</v>
      </c>
      <c r="I1430" s="3" t="str">
        <f>VLOOKUP(Tabela1[[#This Row],[Advogado]],Tabela2[],2,FALSE)</f>
        <v>Caio Brito</v>
      </c>
      <c r="J1430" s="17">
        <f>IF(Tabela1[[#This Row],[Data de conclusão]]="",NETWORKDAYS(Tabela1[[#This Row],[Data de entrada]],$J$2),NETWORKDAYS(Tabela1[[#This Row],[Data de entrada]],Tabela1[[#This Row],[Data de conclusão]]))</f>
        <v>205</v>
      </c>
      <c r="K1430" s="1"/>
    </row>
    <row r="1431" spans="2:11" x14ac:dyDescent="0.25">
      <c r="B1431" s="3">
        <v>1538</v>
      </c>
      <c r="C1431" s="3" t="s">
        <v>9</v>
      </c>
      <c r="D1431" s="3" t="s">
        <v>13</v>
      </c>
      <c r="E1431" s="4">
        <v>42737</v>
      </c>
      <c r="F1431" s="4"/>
      <c r="G1431" s="3" t="s">
        <v>29</v>
      </c>
      <c r="H1431" s="5">
        <v>51781</v>
      </c>
      <c r="I1431" s="3" t="str">
        <f>VLOOKUP(Tabela1[[#This Row],[Advogado]],Tabela2[],2,FALSE)</f>
        <v>Caio Brito</v>
      </c>
      <c r="J1431" s="17">
        <f>IF(Tabela1[[#This Row],[Data de conclusão]]="",NETWORKDAYS(Tabela1[[#This Row],[Data de entrada]],$J$2),NETWORKDAYS(Tabela1[[#This Row],[Data de entrada]],Tabela1[[#This Row],[Data de conclusão]]))</f>
        <v>357</v>
      </c>
      <c r="K1431" s="1"/>
    </row>
    <row r="1432" spans="2:11" x14ac:dyDescent="0.25">
      <c r="B1432" s="3">
        <v>1539</v>
      </c>
      <c r="C1432" s="3" t="s">
        <v>7</v>
      </c>
      <c r="D1432" s="3" t="s">
        <v>14</v>
      </c>
      <c r="E1432" s="4">
        <v>42551</v>
      </c>
      <c r="F1432" s="4">
        <v>42695</v>
      </c>
      <c r="G1432" s="3" t="s">
        <v>28</v>
      </c>
      <c r="H1432" s="5">
        <v>10089</v>
      </c>
      <c r="I1432" s="3" t="str">
        <f>VLOOKUP(Tabela1[[#This Row],[Advogado]],Tabela2[],2,FALSE)</f>
        <v>Renê Amaranto</v>
      </c>
      <c r="J1432" s="17">
        <f>IF(Tabela1[[#This Row],[Data de conclusão]]="",NETWORKDAYS(Tabela1[[#This Row],[Data de entrada]],$J$2),NETWORKDAYS(Tabela1[[#This Row],[Data de entrada]],Tabela1[[#This Row],[Data de conclusão]]))</f>
        <v>103</v>
      </c>
      <c r="K1432" s="1"/>
    </row>
    <row r="1433" spans="2:11" x14ac:dyDescent="0.25">
      <c r="B1433" s="3">
        <v>1540</v>
      </c>
      <c r="C1433" s="3" t="s">
        <v>8</v>
      </c>
      <c r="D1433" s="3" t="s">
        <v>15</v>
      </c>
      <c r="E1433" s="4">
        <v>42565</v>
      </c>
      <c r="F1433" s="4"/>
      <c r="G1433" s="3" t="s">
        <v>27</v>
      </c>
      <c r="H1433" s="5">
        <v>2506</v>
      </c>
      <c r="I1433" s="3" t="str">
        <f>VLOOKUP(Tabela1[[#This Row],[Advogado]],Tabela2[],2,FALSE)</f>
        <v>Renê Amaranto</v>
      </c>
      <c r="J1433" s="17">
        <f>IF(Tabela1[[#This Row],[Data de conclusão]]="",NETWORKDAYS(Tabela1[[#This Row],[Data de entrada]],$J$2),NETWORKDAYS(Tabela1[[#This Row],[Data de entrada]],Tabela1[[#This Row],[Data de conclusão]]))</f>
        <v>479</v>
      </c>
      <c r="K1433" s="1"/>
    </row>
    <row r="1434" spans="2:11" x14ac:dyDescent="0.25">
      <c r="B1434" s="3">
        <v>1541</v>
      </c>
      <c r="C1434" s="3" t="s">
        <v>9</v>
      </c>
      <c r="D1434" s="3" t="s">
        <v>16</v>
      </c>
      <c r="E1434" s="4">
        <v>42952</v>
      </c>
      <c r="F1434" s="4"/>
      <c r="G1434" s="3" t="s">
        <v>29</v>
      </c>
      <c r="H1434" s="5">
        <v>30187</v>
      </c>
      <c r="I1434" s="3" t="str">
        <f>VLOOKUP(Tabela1[[#This Row],[Advogado]],Tabela2[],2,FALSE)</f>
        <v>Renê Amaranto</v>
      </c>
      <c r="J1434" s="17">
        <f>IF(Tabela1[[#This Row],[Data de conclusão]]="",NETWORKDAYS(Tabela1[[#This Row],[Data de entrada]],$J$2),NETWORKDAYS(Tabela1[[#This Row],[Data de entrada]],Tabela1[[#This Row],[Data de conclusão]]))</f>
        <v>202</v>
      </c>
      <c r="K1434" s="1"/>
    </row>
    <row r="1435" spans="2:11" x14ac:dyDescent="0.25">
      <c r="B1435" s="3">
        <v>1542</v>
      </c>
      <c r="C1435" s="3" t="s">
        <v>7</v>
      </c>
      <c r="D1435" s="3" t="s">
        <v>17</v>
      </c>
      <c r="E1435" s="4">
        <v>42799</v>
      </c>
      <c r="F1435" s="4"/>
      <c r="G1435" s="3" t="s">
        <v>29</v>
      </c>
      <c r="H1435" s="5">
        <v>31962</v>
      </c>
      <c r="I1435" s="3" t="str">
        <f>VLOOKUP(Tabela1[[#This Row],[Advogado]],Tabela2[],2,FALSE)</f>
        <v>Renê Amaranto</v>
      </c>
      <c r="J1435" s="17">
        <f>IF(Tabela1[[#This Row],[Data de conclusão]]="",NETWORKDAYS(Tabela1[[#This Row],[Data de entrada]],$J$2),NETWORKDAYS(Tabela1[[#This Row],[Data de entrada]],Tabela1[[#This Row],[Data de conclusão]]))</f>
        <v>312</v>
      </c>
      <c r="K1435" s="1"/>
    </row>
    <row r="1436" spans="2:11" x14ac:dyDescent="0.25">
      <c r="B1436" s="3">
        <v>1543</v>
      </c>
      <c r="C1436" s="3" t="s">
        <v>8</v>
      </c>
      <c r="D1436" s="3" t="s">
        <v>10</v>
      </c>
      <c r="E1436" s="4">
        <v>42817</v>
      </c>
      <c r="F1436" s="4"/>
      <c r="G1436" s="3" t="s">
        <v>29</v>
      </c>
      <c r="H1436" s="5">
        <v>50355</v>
      </c>
      <c r="I1436" s="3" t="str">
        <f>VLOOKUP(Tabela1[[#This Row],[Advogado]],Tabela2[],2,FALSE)</f>
        <v>Caio Brito</v>
      </c>
      <c r="J1436" s="17">
        <f>IF(Tabela1[[#This Row],[Data de conclusão]]="",NETWORKDAYS(Tabela1[[#This Row],[Data de entrada]],$J$2),NETWORKDAYS(Tabela1[[#This Row],[Data de entrada]],Tabela1[[#This Row],[Data de conclusão]]))</f>
        <v>299</v>
      </c>
      <c r="K1436" s="1"/>
    </row>
    <row r="1437" spans="2:11" x14ac:dyDescent="0.25">
      <c r="B1437" s="3">
        <v>1544</v>
      </c>
      <c r="C1437" s="3" t="s">
        <v>9</v>
      </c>
      <c r="D1437" s="3" t="s">
        <v>11</v>
      </c>
      <c r="E1437" s="4">
        <v>42522</v>
      </c>
      <c r="F1437" s="4"/>
      <c r="G1437" s="3" t="s">
        <v>29</v>
      </c>
      <c r="H1437" s="5">
        <v>28545</v>
      </c>
      <c r="I1437" s="3" t="str">
        <f>VLOOKUP(Tabela1[[#This Row],[Advogado]],Tabela2[],2,FALSE)</f>
        <v>Caio Brito</v>
      </c>
      <c r="J1437" s="17">
        <f>IF(Tabela1[[#This Row],[Data de conclusão]]="",NETWORKDAYS(Tabela1[[#This Row],[Data de entrada]],$J$2),NETWORKDAYS(Tabela1[[#This Row],[Data de entrada]],Tabela1[[#This Row],[Data de conclusão]]))</f>
        <v>510</v>
      </c>
      <c r="K1437" s="1"/>
    </row>
    <row r="1438" spans="2:11" x14ac:dyDescent="0.25">
      <c r="B1438" s="3">
        <v>1545</v>
      </c>
      <c r="C1438" s="3" t="s">
        <v>7</v>
      </c>
      <c r="D1438" s="3" t="s">
        <v>12</v>
      </c>
      <c r="E1438" s="4">
        <v>42436</v>
      </c>
      <c r="F1438" s="4"/>
      <c r="G1438" s="3" t="s">
        <v>29</v>
      </c>
      <c r="H1438" s="5">
        <v>46831</v>
      </c>
      <c r="I1438" s="3" t="str">
        <f>VLOOKUP(Tabela1[[#This Row],[Advogado]],Tabela2[],2,FALSE)</f>
        <v>Caio Brito</v>
      </c>
      <c r="J1438" s="17">
        <f>IF(Tabela1[[#This Row],[Data de conclusão]]="",NETWORKDAYS(Tabela1[[#This Row],[Data de entrada]],$J$2),NETWORKDAYS(Tabela1[[#This Row],[Data de entrada]],Tabela1[[#This Row],[Data de conclusão]]))</f>
        <v>572</v>
      </c>
      <c r="K1438" s="1"/>
    </row>
    <row r="1439" spans="2:11" x14ac:dyDescent="0.25">
      <c r="B1439" s="3">
        <v>1546</v>
      </c>
      <c r="C1439" s="3" t="s">
        <v>8</v>
      </c>
      <c r="D1439" s="3" t="s">
        <v>13</v>
      </c>
      <c r="E1439" s="4">
        <v>42484</v>
      </c>
      <c r="F1439" s="4"/>
      <c r="G1439" s="3" t="s">
        <v>29</v>
      </c>
      <c r="H1439" s="5">
        <v>37290</v>
      </c>
      <c r="I1439" s="3" t="str">
        <f>VLOOKUP(Tabela1[[#This Row],[Advogado]],Tabela2[],2,FALSE)</f>
        <v>Caio Brito</v>
      </c>
      <c r="J1439" s="17">
        <f>IF(Tabela1[[#This Row],[Data de conclusão]]="",NETWORKDAYS(Tabela1[[#This Row],[Data de entrada]],$J$2),NETWORKDAYS(Tabela1[[#This Row],[Data de entrada]],Tabela1[[#This Row],[Data de conclusão]]))</f>
        <v>537</v>
      </c>
      <c r="K1439" s="1"/>
    </row>
    <row r="1440" spans="2:11" x14ac:dyDescent="0.25">
      <c r="B1440" s="3">
        <v>1547</v>
      </c>
      <c r="C1440" s="3" t="s">
        <v>9</v>
      </c>
      <c r="D1440" s="3" t="s">
        <v>14</v>
      </c>
      <c r="E1440" s="4">
        <v>42557</v>
      </c>
      <c r="F1440" s="4"/>
      <c r="G1440" s="3" t="s">
        <v>29</v>
      </c>
      <c r="H1440" s="5">
        <v>43066</v>
      </c>
      <c r="I1440" s="3" t="str">
        <f>VLOOKUP(Tabela1[[#This Row],[Advogado]],Tabela2[],2,FALSE)</f>
        <v>Renê Amaranto</v>
      </c>
      <c r="J1440" s="17">
        <f>IF(Tabela1[[#This Row],[Data de conclusão]]="",NETWORKDAYS(Tabela1[[#This Row],[Data de entrada]],$J$2),NETWORKDAYS(Tabela1[[#This Row],[Data de entrada]],Tabela1[[#This Row],[Data de conclusão]]))</f>
        <v>485</v>
      </c>
      <c r="K1440" s="1"/>
    </row>
    <row r="1441" spans="2:11" x14ac:dyDescent="0.25">
      <c r="B1441" s="3">
        <v>1548</v>
      </c>
      <c r="C1441" s="3" t="s">
        <v>7</v>
      </c>
      <c r="D1441" s="3" t="s">
        <v>15</v>
      </c>
      <c r="E1441" s="4">
        <v>42374</v>
      </c>
      <c r="F1441" s="4"/>
      <c r="G1441" s="3" t="s">
        <v>29</v>
      </c>
      <c r="H1441" s="5">
        <v>22772</v>
      </c>
      <c r="I1441" s="3" t="str">
        <f>VLOOKUP(Tabela1[[#This Row],[Advogado]],Tabela2[],2,FALSE)</f>
        <v>Renê Amaranto</v>
      </c>
      <c r="J1441" s="17">
        <f>IF(Tabela1[[#This Row],[Data de conclusão]]="",NETWORKDAYS(Tabela1[[#This Row],[Data de entrada]],$J$2),NETWORKDAYS(Tabela1[[#This Row],[Data de entrada]],Tabela1[[#This Row],[Data de conclusão]]))</f>
        <v>616</v>
      </c>
      <c r="K1441" s="1"/>
    </row>
    <row r="1442" spans="2:11" x14ac:dyDescent="0.25">
      <c r="B1442" s="3">
        <v>1549</v>
      </c>
      <c r="C1442" s="3" t="s">
        <v>8</v>
      </c>
      <c r="D1442" s="3" t="s">
        <v>16</v>
      </c>
      <c r="E1442" s="4">
        <v>43055</v>
      </c>
      <c r="F1442" s="4"/>
      <c r="G1442" s="3" t="s">
        <v>29</v>
      </c>
      <c r="H1442" s="5">
        <v>47859</v>
      </c>
      <c r="I1442" s="3" t="str">
        <f>VLOOKUP(Tabela1[[#This Row],[Advogado]],Tabela2[],2,FALSE)</f>
        <v>Renê Amaranto</v>
      </c>
      <c r="J1442" s="17">
        <f>IF(Tabela1[[#This Row],[Data de conclusão]]="",NETWORKDAYS(Tabela1[[#This Row],[Data de entrada]],$J$2),NETWORKDAYS(Tabela1[[#This Row],[Data de entrada]],Tabela1[[#This Row],[Data de conclusão]]))</f>
        <v>129</v>
      </c>
      <c r="K1442" s="1"/>
    </row>
    <row r="1443" spans="2:11" x14ac:dyDescent="0.25">
      <c r="B1443" s="3">
        <v>1550</v>
      </c>
      <c r="C1443" s="3" t="s">
        <v>9</v>
      </c>
      <c r="D1443" s="3" t="s">
        <v>17</v>
      </c>
      <c r="E1443" s="4">
        <v>42829</v>
      </c>
      <c r="F1443" s="4"/>
      <c r="G1443" s="3" t="s">
        <v>29</v>
      </c>
      <c r="H1443" s="5">
        <v>29488</v>
      </c>
      <c r="I1443" s="3" t="str">
        <f>VLOOKUP(Tabela1[[#This Row],[Advogado]],Tabela2[],2,FALSE)</f>
        <v>Renê Amaranto</v>
      </c>
      <c r="J1443" s="17">
        <f>IF(Tabela1[[#This Row],[Data de conclusão]]="",NETWORKDAYS(Tabela1[[#This Row],[Data de entrada]],$J$2),NETWORKDAYS(Tabela1[[#This Row],[Data de entrada]],Tabela1[[#This Row],[Data de conclusão]]))</f>
        <v>291</v>
      </c>
      <c r="K1443" s="1"/>
    </row>
    <row r="1444" spans="2:11" x14ac:dyDescent="0.25">
      <c r="B1444" s="3">
        <v>1551</v>
      </c>
      <c r="C1444" s="3" t="s">
        <v>7</v>
      </c>
      <c r="D1444" s="3" t="s">
        <v>10</v>
      </c>
      <c r="E1444" s="4">
        <v>42970</v>
      </c>
      <c r="F1444" s="4"/>
      <c r="G1444" s="3" t="s">
        <v>29</v>
      </c>
      <c r="H1444" s="5">
        <v>5739</v>
      </c>
      <c r="I1444" s="3" t="str">
        <f>VLOOKUP(Tabela1[[#This Row],[Advogado]],Tabela2[],2,FALSE)</f>
        <v>Caio Brito</v>
      </c>
      <c r="J1444" s="17">
        <f>IF(Tabela1[[#This Row],[Data de conclusão]]="",NETWORKDAYS(Tabela1[[#This Row],[Data de entrada]],$J$2),NETWORKDAYS(Tabela1[[#This Row],[Data de entrada]],Tabela1[[#This Row],[Data de conclusão]]))</f>
        <v>190</v>
      </c>
      <c r="K1444" s="1"/>
    </row>
    <row r="1445" spans="2:11" x14ac:dyDescent="0.25">
      <c r="B1445" s="3">
        <v>1552</v>
      </c>
      <c r="C1445" s="3" t="s">
        <v>8</v>
      </c>
      <c r="D1445" s="3" t="s">
        <v>11</v>
      </c>
      <c r="E1445" s="4">
        <v>42590</v>
      </c>
      <c r="F1445" s="4">
        <v>42679</v>
      </c>
      <c r="G1445" s="3" t="s">
        <v>28</v>
      </c>
      <c r="H1445" s="5">
        <v>46223</v>
      </c>
      <c r="I1445" s="3" t="str">
        <f>VLOOKUP(Tabela1[[#This Row],[Advogado]],Tabela2[],2,FALSE)</f>
        <v>Caio Brito</v>
      </c>
      <c r="J1445" s="17">
        <f>IF(Tabela1[[#This Row],[Data de conclusão]]="",NETWORKDAYS(Tabela1[[#This Row],[Data de entrada]],$J$2),NETWORKDAYS(Tabela1[[#This Row],[Data de entrada]],Tabela1[[#This Row],[Data de conclusão]]))</f>
        <v>65</v>
      </c>
      <c r="K1445" s="1"/>
    </row>
    <row r="1446" spans="2:11" x14ac:dyDescent="0.25">
      <c r="B1446" s="3">
        <v>1553</v>
      </c>
      <c r="C1446" s="3" t="s">
        <v>9</v>
      </c>
      <c r="D1446" s="3" t="s">
        <v>12</v>
      </c>
      <c r="E1446" s="4">
        <v>42481</v>
      </c>
      <c r="F1446" s="4"/>
      <c r="G1446" s="3" t="s">
        <v>27</v>
      </c>
      <c r="H1446" s="5">
        <v>44692</v>
      </c>
      <c r="I1446" s="3" t="str">
        <f>VLOOKUP(Tabela1[[#This Row],[Advogado]],Tabela2[],2,FALSE)</f>
        <v>Caio Brito</v>
      </c>
      <c r="J1446" s="17">
        <f>IF(Tabela1[[#This Row],[Data de conclusão]]="",NETWORKDAYS(Tabela1[[#This Row],[Data de entrada]],$J$2),NETWORKDAYS(Tabela1[[#This Row],[Data de entrada]],Tabela1[[#This Row],[Data de conclusão]]))</f>
        <v>539</v>
      </c>
      <c r="K1446" s="1"/>
    </row>
    <row r="1447" spans="2:11" x14ac:dyDescent="0.25">
      <c r="B1447" s="3">
        <v>1554</v>
      </c>
      <c r="C1447" s="3" t="s">
        <v>7</v>
      </c>
      <c r="D1447" s="3" t="s">
        <v>13</v>
      </c>
      <c r="E1447" s="4">
        <v>42575</v>
      </c>
      <c r="F1447" s="4"/>
      <c r="G1447" s="3" t="s">
        <v>29</v>
      </c>
      <c r="H1447" s="5">
        <v>16207</v>
      </c>
      <c r="I1447" s="3" t="str">
        <f>VLOOKUP(Tabela1[[#This Row],[Advogado]],Tabela2[],2,FALSE)</f>
        <v>Caio Brito</v>
      </c>
      <c r="J1447" s="17">
        <f>IF(Tabela1[[#This Row],[Data de conclusão]]="",NETWORKDAYS(Tabela1[[#This Row],[Data de entrada]],$J$2),NETWORKDAYS(Tabela1[[#This Row],[Data de entrada]],Tabela1[[#This Row],[Data de conclusão]]))</f>
        <v>472</v>
      </c>
      <c r="K1447" s="1"/>
    </row>
    <row r="1448" spans="2:11" x14ac:dyDescent="0.25">
      <c r="B1448" s="3">
        <v>1555</v>
      </c>
      <c r="C1448" s="3" t="s">
        <v>8</v>
      </c>
      <c r="D1448" s="3" t="s">
        <v>14</v>
      </c>
      <c r="E1448" s="4">
        <v>42671</v>
      </c>
      <c r="F1448" s="4"/>
      <c r="G1448" s="3" t="s">
        <v>29</v>
      </c>
      <c r="H1448" s="5">
        <v>28330</v>
      </c>
      <c r="I1448" s="3" t="str">
        <f>VLOOKUP(Tabela1[[#This Row],[Advogado]],Tabela2[],2,FALSE)</f>
        <v>Renê Amaranto</v>
      </c>
      <c r="J1448" s="17">
        <f>IF(Tabela1[[#This Row],[Data de conclusão]]="",NETWORKDAYS(Tabela1[[#This Row],[Data de entrada]],$J$2),NETWORKDAYS(Tabela1[[#This Row],[Data de entrada]],Tabela1[[#This Row],[Data de conclusão]]))</f>
        <v>403</v>
      </c>
      <c r="K1448" s="1"/>
    </row>
    <row r="1449" spans="2:11" x14ac:dyDescent="0.25">
      <c r="B1449" s="3">
        <v>1556</v>
      </c>
      <c r="C1449" s="3" t="s">
        <v>9</v>
      </c>
      <c r="D1449" s="3" t="s">
        <v>15</v>
      </c>
      <c r="E1449" s="4">
        <v>42753</v>
      </c>
      <c r="F1449" s="4"/>
      <c r="G1449" s="3" t="s">
        <v>29</v>
      </c>
      <c r="H1449" s="5">
        <v>28623</v>
      </c>
      <c r="I1449" s="3" t="str">
        <f>VLOOKUP(Tabela1[[#This Row],[Advogado]],Tabela2[],2,FALSE)</f>
        <v>Renê Amaranto</v>
      </c>
      <c r="J1449" s="17">
        <f>IF(Tabela1[[#This Row],[Data de conclusão]]="",NETWORKDAYS(Tabela1[[#This Row],[Data de entrada]],$J$2),NETWORKDAYS(Tabela1[[#This Row],[Data de entrada]],Tabela1[[#This Row],[Data de conclusão]]))</f>
        <v>345</v>
      </c>
      <c r="K1449" s="1"/>
    </row>
    <row r="1450" spans="2:11" x14ac:dyDescent="0.25">
      <c r="B1450" s="3">
        <v>1557</v>
      </c>
      <c r="C1450" s="3" t="s">
        <v>7</v>
      </c>
      <c r="D1450" s="3" t="s">
        <v>16</v>
      </c>
      <c r="E1450" s="4">
        <v>42857</v>
      </c>
      <c r="F1450" s="4"/>
      <c r="G1450" s="3" t="s">
        <v>29</v>
      </c>
      <c r="H1450" s="5">
        <v>54147</v>
      </c>
      <c r="I1450" s="3" t="str">
        <f>VLOOKUP(Tabela1[[#This Row],[Advogado]],Tabela2[],2,FALSE)</f>
        <v>Renê Amaranto</v>
      </c>
      <c r="J1450" s="17">
        <f>IF(Tabela1[[#This Row],[Data de conclusão]]="",NETWORKDAYS(Tabela1[[#This Row],[Data de entrada]],$J$2),NETWORKDAYS(Tabela1[[#This Row],[Data de entrada]],Tabela1[[#This Row],[Data de conclusão]]))</f>
        <v>271</v>
      </c>
      <c r="K1450" s="1"/>
    </row>
    <row r="1451" spans="2:11" x14ac:dyDescent="0.25">
      <c r="B1451" s="3">
        <v>1558</v>
      </c>
      <c r="C1451" s="3" t="s">
        <v>8</v>
      </c>
      <c r="D1451" s="3" t="s">
        <v>17</v>
      </c>
      <c r="E1451" s="4">
        <v>43046</v>
      </c>
      <c r="F1451" s="4"/>
      <c r="G1451" s="3" t="s">
        <v>29</v>
      </c>
      <c r="H1451" s="5">
        <v>40459</v>
      </c>
      <c r="I1451" s="3" t="str">
        <f>VLOOKUP(Tabela1[[#This Row],[Advogado]],Tabela2[],2,FALSE)</f>
        <v>Renê Amaranto</v>
      </c>
      <c r="J1451" s="17">
        <f>IF(Tabela1[[#This Row],[Data de conclusão]]="",NETWORKDAYS(Tabela1[[#This Row],[Data de entrada]],$J$2),NETWORKDAYS(Tabela1[[#This Row],[Data de entrada]],Tabela1[[#This Row],[Data de conclusão]]))</f>
        <v>136</v>
      </c>
      <c r="K1451" s="1"/>
    </row>
    <row r="1452" spans="2:11" x14ac:dyDescent="0.25">
      <c r="B1452" s="3">
        <v>1559</v>
      </c>
      <c r="C1452" s="3" t="s">
        <v>9</v>
      </c>
      <c r="D1452" s="3" t="s">
        <v>10</v>
      </c>
      <c r="E1452" s="4">
        <v>42568</v>
      </c>
      <c r="F1452" s="4"/>
      <c r="G1452" s="3" t="s">
        <v>29</v>
      </c>
      <c r="H1452" s="5">
        <v>46170</v>
      </c>
      <c r="I1452" s="3" t="str">
        <f>VLOOKUP(Tabela1[[#This Row],[Advogado]],Tabela2[],2,FALSE)</f>
        <v>Caio Brito</v>
      </c>
      <c r="J1452" s="17">
        <f>IF(Tabela1[[#This Row],[Data de conclusão]]="",NETWORKDAYS(Tabela1[[#This Row],[Data de entrada]],$J$2),NETWORKDAYS(Tabela1[[#This Row],[Data de entrada]],Tabela1[[#This Row],[Data de conclusão]]))</f>
        <v>477</v>
      </c>
      <c r="K1452" s="1"/>
    </row>
    <row r="1453" spans="2:11" x14ac:dyDescent="0.25">
      <c r="B1453" s="3">
        <v>1560</v>
      </c>
      <c r="C1453" s="3" t="s">
        <v>7</v>
      </c>
      <c r="D1453" s="3" t="s">
        <v>11</v>
      </c>
      <c r="E1453" s="4">
        <v>42870</v>
      </c>
      <c r="F1453" s="4"/>
      <c r="G1453" s="3" t="s">
        <v>29</v>
      </c>
      <c r="H1453" s="5">
        <v>55436</v>
      </c>
      <c r="I1453" s="3" t="str">
        <f>VLOOKUP(Tabela1[[#This Row],[Advogado]],Tabela2[],2,FALSE)</f>
        <v>Caio Brito</v>
      </c>
      <c r="J1453" s="17">
        <f>IF(Tabela1[[#This Row],[Data de conclusão]]="",NETWORKDAYS(Tabela1[[#This Row],[Data de entrada]],$J$2),NETWORKDAYS(Tabela1[[#This Row],[Data de entrada]],Tabela1[[#This Row],[Data de conclusão]]))</f>
        <v>262</v>
      </c>
      <c r="K1453" s="1"/>
    </row>
    <row r="1454" spans="2:11" x14ac:dyDescent="0.25">
      <c r="B1454" s="3">
        <v>1561</v>
      </c>
      <c r="C1454" s="3" t="s">
        <v>8</v>
      </c>
      <c r="D1454" s="3" t="s">
        <v>12</v>
      </c>
      <c r="E1454" s="4">
        <v>42647</v>
      </c>
      <c r="F1454" s="4"/>
      <c r="G1454" s="3" t="s">
        <v>29</v>
      </c>
      <c r="H1454" s="5">
        <v>49480</v>
      </c>
      <c r="I1454" s="3" t="str">
        <f>VLOOKUP(Tabela1[[#This Row],[Advogado]],Tabela2[],2,FALSE)</f>
        <v>Caio Brito</v>
      </c>
      <c r="J1454" s="17">
        <f>IF(Tabela1[[#This Row],[Data de conclusão]]="",NETWORKDAYS(Tabela1[[#This Row],[Data de entrada]],$J$2),NETWORKDAYS(Tabela1[[#This Row],[Data de entrada]],Tabela1[[#This Row],[Data de conclusão]]))</f>
        <v>421</v>
      </c>
      <c r="K1454" s="1"/>
    </row>
    <row r="1455" spans="2:11" x14ac:dyDescent="0.25">
      <c r="B1455" s="3">
        <v>1562</v>
      </c>
      <c r="C1455" s="3" t="s">
        <v>9</v>
      </c>
      <c r="D1455" s="3" t="s">
        <v>13</v>
      </c>
      <c r="E1455" s="4">
        <v>42570</v>
      </c>
      <c r="F1455" s="4"/>
      <c r="G1455" s="3" t="s">
        <v>29</v>
      </c>
      <c r="H1455" s="5">
        <v>55803</v>
      </c>
      <c r="I1455" s="3" t="str">
        <f>VLOOKUP(Tabela1[[#This Row],[Advogado]],Tabela2[],2,FALSE)</f>
        <v>Caio Brito</v>
      </c>
      <c r="J1455" s="17">
        <f>IF(Tabela1[[#This Row],[Data de conclusão]]="",NETWORKDAYS(Tabela1[[#This Row],[Data de entrada]],$J$2),NETWORKDAYS(Tabela1[[#This Row],[Data de entrada]],Tabela1[[#This Row],[Data de conclusão]]))</f>
        <v>476</v>
      </c>
      <c r="K1455" s="1"/>
    </row>
    <row r="1456" spans="2:11" x14ac:dyDescent="0.25">
      <c r="B1456" s="3">
        <v>1563</v>
      </c>
      <c r="C1456" s="3" t="s">
        <v>7</v>
      </c>
      <c r="D1456" s="3" t="s">
        <v>14</v>
      </c>
      <c r="E1456" s="4">
        <v>42499</v>
      </c>
      <c r="F1456" s="4"/>
      <c r="G1456" s="3" t="s">
        <v>29</v>
      </c>
      <c r="H1456" s="5">
        <v>13643</v>
      </c>
      <c r="I1456" s="3" t="str">
        <f>VLOOKUP(Tabela1[[#This Row],[Advogado]],Tabela2[],2,FALSE)</f>
        <v>Renê Amaranto</v>
      </c>
      <c r="J1456" s="17">
        <f>IF(Tabela1[[#This Row],[Data de conclusão]]="",NETWORKDAYS(Tabela1[[#This Row],[Data de entrada]],$J$2),NETWORKDAYS(Tabela1[[#This Row],[Data de entrada]],Tabela1[[#This Row],[Data de conclusão]]))</f>
        <v>527</v>
      </c>
      <c r="K1456" s="1"/>
    </row>
    <row r="1457" spans="2:11" x14ac:dyDescent="0.25">
      <c r="B1457" s="3">
        <v>1564</v>
      </c>
      <c r="C1457" s="3" t="s">
        <v>8</v>
      </c>
      <c r="D1457" s="3" t="s">
        <v>15</v>
      </c>
      <c r="E1457" s="4">
        <v>42563</v>
      </c>
      <c r="F1457" s="4"/>
      <c r="G1457" s="3" t="s">
        <v>29</v>
      </c>
      <c r="H1457" s="5">
        <v>7556</v>
      </c>
      <c r="I1457" s="3" t="str">
        <f>VLOOKUP(Tabela1[[#This Row],[Advogado]],Tabela2[],2,FALSE)</f>
        <v>Renê Amaranto</v>
      </c>
      <c r="J1457" s="17">
        <f>IF(Tabela1[[#This Row],[Data de conclusão]]="",NETWORKDAYS(Tabela1[[#This Row],[Data de entrada]],$J$2),NETWORKDAYS(Tabela1[[#This Row],[Data de entrada]],Tabela1[[#This Row],[Data de conclusão]]))</f>
        <v>481</v>
      </c>
      <c r="K1457" s="1"/>
    </row>
    <row r="1458" spans="2:11" x14ac:dyDescent="0.25">
      <c r="B1458" s="3">
        <v>1565</v>
      </c>
      <c r="C1458" s="3" t="s">
        <v>9</v>
      </c>
      <c r="D1458" s="3" t="s">
        <v>16</v>
      </c>
      <c r="E1458" s="4">
        <v>42862</v>
      </c>
      <c r="F1458" s="4">
        <v>42949</v>
      </c>
      <c r="G1458" s="3" t="s">
        <v>28</v>
      </c>
      <c r="H1458" s="5">
        <v>49376</v>
      </c>
      <c r="I1458" s="3" t="str">
        <f>VLOOKUP(Tabela1[[#This Row],[Advogado]],Tabela2[],2,FALSE)</f>
        <v>Renê Amaranto</v>
      </c>
      <c r="J1458" s="17">
        <f>IF(Tabela1[[#This Row],[Data de conclusão]]="",NETWORKDAYS(Tabela1[[#This Row],[Data de entrada]],$J$2),NETWORKDAYS(Tabela1[[#This Row],[Data de entrada]],Tabela1[[#This Row],[Data de conclusão]]))</f>
        <v>63</v>
      </c>
      <c r="K1458" s="1"/>
    </row>
    <row r="1459" spans="2:11" x14ac:dyDescent="0.25">
      <c r="B1459" s="3">
        <v>1566</v>
      </c>
      <c r="C1459" s="3" t="s">
        <v>7</v>
      </c>
      <c r="D1459" s="3" t="s">
        <v>17</v>
      </c>
      <c r="E1459" s="4">
        <v>42651</v>
      </c>
      <c r="F1459" s="4"/>
      <c r="G1459" s="3" t="s">
        <v>27</v>
      </c>
      <c r="H1459" s="5">
        <v>48370</v>
      </c>
      <c r="I1459" s="3" t="str">
        <f>VLOOKUP(Tabela1[[#This Row],[Advogado]],Tabela2[],2,FALSE)</f>
        <v>Renê Amaranto</v>
      </c>
      <c r="J1459" s="17">
        <f>IF(Tabela1[[#This Row],[Data de conclusão]]="",NETWORKDAYS(Tabela1[[#This Row],[Data de entrada]],$J$2),NETWORKDAYS(Tabela1[[#This Row],[Data de entrada]],Tabela1[[#This Row],[Data de conclusão]]))</f>
        <v>417</v>
      </c>
      <c r="K1459" s="1"/>
    </row>
    <row r="1460" spans="2:11" x14ac:dyDescent="0.25">
      <c r="B1460" s="3">
        <v>1567</v>
      </c>
      <c r="C1460" s="3" t="s">
        <v>8</v>
      </c>
      <c r="D1460" s="3" t="s">
        <v>10</v>
      </c>
      <c r="E1460" s="4">
        <v>42501</v>
      </c>
      <c r="F1460" s="4"/>
      <c r="G1460" s="3" t="s">
        <v>29</v>
      </c>
      <c r="H1460" s="5">
        <v>12896</v>
      </c>
      <c r="I1460" s="3" t="str">
        <f>VLOOKUP(Tabela1[[#This Row],[Advogado]],Tabela2[],2,FALSE)</f>
        <v>Caio Brito</v>
      </c>
      <c r="J1460" s="17">
        <f>IF(Tabela1[[#This Row],[Data de conclusão]]="",NETWORKDAYS(Tabela1[[#This Row],[Data de entrada]],$J$2),NETWORKDAYS(Tabela1[[#This Row],[Data de entrada]],Tabela1[[#This Row],[Data de conclusão]]))</f>
        <v>525</v>
      </c>
      <c r="K1460" s="1"/>
    </row>
    <row r="1461" spans="2:11" x14ac:dyDescent="0.25">
      <c r="B1461" s="3">
        <v>1568</v>
      </c>
      <c r="C1461" s="3" t="s">
        <v>9</v>
      </c>
      <c r="D1461" s="3" t="s">
        <v>11</v>
      </c>
      <c r="E1461" s="4">
        <v>43065</v>
      </c>
      <c r="F1461" s="4"/>
      <c r="G1461" s="3" t="s">
        <v>29</v>
      </c>
      <c r="H1461" s="5">
        <v>23872</v>
      </c>
      <c r="I1461" s="3" t="str">
        <f>VLOOKUP(Tabela1[[#This Row],[Advogado]],Tabela2[],2,FALSE)</f>
        <v>Caio Brito</v>
      </c>
      <c r="J1461" s="17">
        <f>IF(Tabela1[[#This Row],[Data de conclusão]]="",NETWORKDAYS(Tabela1[[#This Row],[Data de entrada]],$J$2),NETWORKDAYS(Tabela1[[#This Row],[Data de entrada]],Tabela1[[#This Row],[Data de conclusão]]))</f>
        <v>122</v>
      </c>
      <c r="K1461" s="1"/>
    </row>
    <row r="1462" spans="2:11" x14ac:dyDescent="0.25">
      <c r="B1462" s="3">
        <v>1569</v>
      </c>
      <c r="C1462" s="3" t="s">
        <v>7</v>
      </c>
      <c r="D1462" s="3" t="s">
        <v>12</v>
      </c>
      <c r="E1462" s="4">
        <v>42782</v>
      </c>
      <c r="F1462" s="4"/>
      <c r="G1462" s="3" t="s">
        <v>29</v>
      </c>
      <c r="H1462" s="5">
        <v>43483</v>
      </c>
      <c r="I1462" s="3" t="str">
        <f>VLOOKUP(Tabela1[[#This Row],[Advogado]],Tabela2[],2,FALSE)</f>
        <v>Caio Brito</v>
      </c>
      <c r="J1462" s="17">
        <f>IF(Tabela1[[#This Row],[Data de conclusão]]="",NETWORKDAYS(Tabela1[[#This Row],[Data de entrada]],$J$2),NETWORKDAYS(Tabela1[[#This Row],[Data de entrada]],Tabela1[[#This Row],[Data de conclusão]]))</f>
        <v>324</v>
      </c>
      <c r="K1462" s="1"/>
    </row>
    <row r="1463" spans="2:11" x14ac:dyDescent="0.25">
      <c r="B1463" s="3">
        <v>1570</v>
      </c>
      <c r="C1463" s="3" t="s">
        <v>8</v>
      </c>
      <c r="D1463" s="3" t="s">
        <v>13</v>
      </c>
      <c r="E1463" s="4">
        <v>42818</v>
      </c>
      <c r="F1463" s="4"/>
      <c r="G1463" s="3" t="s">
        <v>29</v>
      </c>
      <c r="H1463" s="5">
        <v>46392</v>
      </c>
      <c r="I1463" s="3" t="str">
        <f>VLOOKUP(Tabela1[[#This Row],[Advogado]],Tabela2[],2,FALSE)</f>
        <v>Caio Brito</v>
      </c>
      <c r="J1463" s="17">
        <f>IF(Tabela1[[#This Row],[Data de conclusão]]="",NETWORKDAYS(Tabela1[[#This Row],[Data de entrada]],$J$2),NETWORKDAYS(Tabela1[[#This Row],[Data de entrada]],Tabela1[[#This Row],[Data de conclusão]]))</f>
        <v>298</v>
      </c>
      <c r="K1463" s="1"/>
    </row>
    <row r="1464" spans="2:11" x14ac:dyDescent="0.25">
      <c r="B1464" s="3">
        <v>1571</v>
      </c>
      <c r="C1464" s="3" t="s">
        <v>9</v>
      </c>
      <c r="D1464" s="3" t="s">
        <v>14</v>
      </c>
      <c r="E1464" s="4">
        <v>42949</v>
      </c>
      <c r="F1464" s="4"/>
      <c r="G1464" s="3" t="s">
        <v>29</v>
      </c>
      <c r="H1464" s="5">
        <v>23438</v>
      </c>
      <c r="I1464" s="3" t="str">
        <f>VLOOKUP(Tabela1[[#This Row],[Advogado]],Tabela2[],2,FALSE)</f>
        <v>Renê Amaranto</v>
      </c>
      <c r="J1464" s="17">
        <f>IF(Tabela1[[#This Row],[Data de conclusão]]="",NETWORKDAYS(Tabela1[[#This Row],[Data de entrada]],$J$2),NETWORKDAYS(Tabela1[[#This Row],[Data de entrada]],Tabela1[[#This Row],[Data de conclusão]]))</f>
        <v>205</v>
      </c>
      <c r="K1464" s="1"/>
    </row>
    <row r="1465" spans="2:11" x14ac:dyDescent="0.25">
      <c r="B1465" s="3">
        <v>1572</v>
      </c>
      <c r="C1465" s="3" t="s">
        <v>7</v>
      </c>
      <c r="D1465" s="3" t="s">
        <v>15</v>
      </c>
      <c r="E1465" s="4">
        <v>43051</v>
      </c>
      <c r="F1465" s="4"/>
      <c r="G1465" s="3" t="s">
        <v>29</v>
      </c>
      <c r="H1465" s="5">
        <v>4821</v>
      </c>
      <c r="I1465" s="3" t="str">
        <f>VLOOKUP(Tabela1[[#This Row],[Advogado]],Tabela2[],2,FALSE)</f>
        <v>Renê Amaranto</v>
      </c>
      <c r="J1465" s="17">
        <f>IF(Tabela1[[#This Row],[Data de conclusão]]="",NETWORKDAYS(Tabela1[[#This Row],[Data de entrada]],$J$2),NETWORKDAYS(Tabela1[[#This Row],[Data de entrada]],Tabela1[[#This Row],[Data de conclusão]]))</f>
        <v>132</v>
      </c>
      <c r="K1465" s="1"/>
    </row>
    <row r="1466" spans="2:11" x14ac:dyDescent="0.25">
      <c r="B1466" s="3">
        <v>1573</v>
      </c>
      <c r="C1466" s="3" t="s">
        <v>8</v>
      </c>
      <c r="D1466" s="3" t="s">
        <v>16</v>
      </c>
      <c r="E1466" s="4">
        <v>42498</v>
      </c>
      <c r="F1466" s="4"/>
      <c r="G1466" s="3" t="s">
        <v>29</v>
      </c>
      <c r="H1466" s="5">
        <v>45824</v>
      </c>
      <c r="I1466" s="3" t="str">
        <f>VLOOKUP(Tabela1[[#This Row],[Advogado]],Tabela2[],2,FALSE)</f>
        <v>Renê Amaranto</v>
      </c>
      <c r="J1466" s="17">
        <f>IF(Tabela1[[#This Row],[Data de conclusão]]="",NETWORKDAYS(Tabela1[[#This Row],[Data de entrada]],$J$2),NETWORKDAYS(Tabela1[[#This Row],[Data de entrada]],Tabela1[[#This Row],[Data de conclusão]]))</f>
        <v>527</v>
      </c>
      <c r="K1466" s="1"/>
    </row>
    <row r="1467" spans="2:11" x14ac:dyDescent="0.25">
      <c r="B1467" s="3">
        <v>1574</v>
      </c>
      <c r="C1467" s="3" t="s">
        <v>9</v>
      </c>
      <c r="D1467" s="3" t="s">
        <v>17</v>
      </c>
      <c r="E1467" s="4">
        <v>43015</v>
      </c>
      <c r="F1467" s="4"/>
      <c r="G1467" s="3" t="s">
        <v>29</v>
      </c>
      <c r="H1467" s="5">
        <v>46026</v>
      </c>
      <c r="I1467" s="3" t="str">
        <f>VLOOKUP(Tabela1[[#This Row],[Advogado]],Tabela2[],2,FALSE)</f>
        <v>Renê Amaranto</v>
      </c>
      <c r="J1467" s="17">
        <f>IF(Tabela1[[#This Row],[Data de conclusão]]="",NETWORKDAYS(Tabela1[[#This Row],[Data de entrada]],$J$2),NETWORKDAYS(Tabela1[[#This Row],[Data de entrada]],Tabela1[[#This Row],[Data de conclusão]]))</f>
        <v>157</v>
      </c>
      <c r="K1467" s="1"/>
    </row>
    <row r="1468" spans="2:11" x14ac:dyDescent="0.25">
      <c r="B1468" s="3">
        <v>1575</v>
      </c>
      <c r="C1468" s="3" t="s">
        <v>7</v>
      </c>
      <c r="D1468" s="3" t="s">
        <v>10</v>
      </c>
      <c r="E1468" s="4">
        <v>42830</v>
      </c>
      <c r="F1468" s="4"/>
      <c r="G1468" s="3" t="s">
        <v>29</v>
      </c>
      <c r="H1468" s="5">
        <v>15367</v>
      </c>
      <c r="I1468" s="3" t="str">
        <f>VLOOKUP(Tabela1[[#This Row],[Advogado]],Tabela2[],2,FALSE)</f>
        <v>Caio Brito</v>
      </c>
      <c r="J1468" s="17">
        <f>IF(Tabela1[[#This Row],[Data de conclusão]]="",NETWORKDAYS(Tabela1[[#This Row],[Data de entrada]],$J$2),NETWORKDAYS(Tabela1[[#This Row],[Data de entrada]],Tabela1[[#This Row],[Data de conclusão]]))</f>
        <v>290</v>
      </c>
      <c r="K1468" s="1"/>
    </row>
    <row r="1469" spans="2:11" x14ac:dyDescent="0.25">
      <c r="B1469" s="3">
        <v>1576</v>
      </c>
      <c r="C1469" s="3" t="s">
        <v>8</v>
      </c>
      <c r="D1469" s="3" t="s">
        <v>11</v>
      </c>
      <c r="E1469" s="4">
        <v>42613</v>
      </c>
      <c r="F1469" s="4"/>
      <c r="G1469" s="3" t="s">
        <v>29</v>
      </c>
      <c r="H1469" s="5">
        <v>22392</v>
      </c>
      <c r="I1469" s="3" t="str">
        <f>VLOOKUP(Tabela1[[#This Row],[Advogado]],Tabela2[],2,FALSE)</f>
        <v>Caio Brito</v>
      </c>
      <c r="J1469" s="17">
        <f>IF(Tabela1[[#This Row],[Data de conclusão]]="",NETWORKDAYS(Tabela1[[#This Row],[Data de entrada]],$J$2),NETWORKDAYS(Tabela1[[#This Row],[Data de entrada]],Tabela1[[#This Row],[Data de conclusão]]))</f>
        <v>445</v>
      </c>
      <c r="K1469" s="1"/>
    </row>
    <row r="1470" spans="2:11" x14ac:dyDescent="0.25">
      <c r="B1470" s="3">
        <v>1577</v>
      </c>
      <c r="C1470" s="3" t="s">
        <v>9</v>
      </c>
      <c r="D1470" s="3" t="s">
        <v>12</v>
      </c>
      <c r="E1470" s="4">
        <v>43048</v>
      </c>
      <c r="F1470" s="4"/>
      <c r="G1470" s="3" t="s">
        <v>29</v>
      </c>
      <c r="H1470" s="5">
        <v>14225</v>
      </c>
      <c r="I1470" s="3" t="str">
        <f>VLOOKUP(Tabela1[[#This Row],[Advogado]],Tabela2[],2,FALSE)</f>
        <v>Caio Brito</v>
      </c>
      <c r="J1470" s="17">
        <f>IF(Tabela1[[#This Row],[Data de conclusão]]="",NETWORKDAYS(Tabela1[[#This Row],[Data de entrada]],$J$2),NETWORKDAYS(Tabela1[[#This Row],[Data de entrada]],Tabela1[[#This Row],[Data de conclusão]]))</f>
        <v>134</v>
      </c>
      <c r="K1470" s="1"/>
    </row>
    <row r="1471" spans="2:11" x14ac:dyDescent="0.25">
      <c r="B1471" s="3">
        <v>1578</v>
      </c>
      <c r="C1471" s="3" t="s">
        <v>7</v>
      </c>
      <c r="D1471" s="3" t="s">
        <v>13</v>
      </c>
      <c r="E1471" s="4">
        <v>42657</v>
      </c>
      <c r="F1471" s="4">
        <v>42694</v>
      </c>
      <c r="G1471" s="3" t="s">
        <v>28</v>
      </c>
      <c r="H1471" s="5">
        <v>45819</v>
      </c>
      <c r="I1471" s="3" t="str">
        <f>VLOOKUP(Tabela1[[#This Row],[Advogado]],Tabela2[],2,FALSE)</f>
        <v>Caio Brito</v>
      </c>
      <c r="J1471" s="17">
        <f>IF(Tabela1[[#This Row],[Data de conclusão]]="",NETWORKDAYS(Tabela1[[#This Row],[Data de entrada]],$J$2),NETWORKDAYS(Tabela1[[#This Row],[Data de entrada]],Tabela1[[#This Row],[Data de conclusão]]))</f>
        <v>26</v>
      </c>
      <c r="K1471" s="1"/>
    </row>
    <row r="1472" spans="2:11" x14ac:dyDescent="0.25">
      <c r="B1472" s="3">
        <v>1579</v>
      </c>
      <c r="C1472" s="3" t="s">
        <v>8</v>
      </c>
      <c r="D1472" s="3" t="s">
        <v>14</v>
      </c>
      <c r="E1472" s="4">
        <v>42573</v>
      </c>
      <c r="F1472" s="4"/>
      <c r="G1472" s="3" t="s">
        <v>27</v>
      </c>
      <c r="H1472" s="5">
        <v>28361</v>
      </c>
      <c r="I1472" s="3" t="str">
        <f>VLOOKUP(Tabela1[[#This Row],[Advogado]],Tabela2[],2,FALSE)</f>
        <v>Renê Amaranto</v>
      </c>
      <c r="J1472" s="17">
        <f>IF(Tabela1[[#This Row],[Data de conclusão]]="",NETWORKDAYS(Tabela1[[#This Row],[Data de entrada]],$J$2),NETWORKDAYS(Tabela1[[#This Row],[Data de entrada]],Tabela1[[#This Row],[Data de conclusão]]))</f>
        <v>473</v>
      </c>
      <c r="K1472" s="1"/>
    </row>
    <row r="1473" spans="2:11" x14ac:dyDescent="0.25">
      <c r="B1473" s="3">
        <v>1580</v>
      </c>
      <c r="C1473" s="3" t="s">
        <v>9</v>
      </c>
      <c r="D1473" s="3" t="s">
        <v>15</v>
      </c>
      <c r="E1473" s="4">
        <v>42492</v>
      </c>
      <c r="F1473" s="4"/>
      <c r="G1473" s="3" t="s">
        <v>29</v>
      </c>
      <c r="H1473" s="5">
        <v>30904</v>
      </c>
      <c r="I1473" s="3" t="str">
        <f>VLOOKUP(Tabela1[[#This Row],[Advogado]],Tabela2[],2,FALSE)</f>
        <v>Renê Amaranto</v>
      </c>
      <c r="J1473" s="17">
        <f>IF(Tabela1[[#This Row],[Data de conclusão]]="",NETWORKDAYS(Tabela1[[#This Row],[Data de entrada]],$J$2),NETWORKDAYS(Tabela1[[#This Row],[Data de entrada]],Tabela1[[#This Row],[Data de conclusão]]))</f>
        <v>532</v>
      </c>
      <c r="K1473" s="1"/>
    </row>
    <row r="1474" spans="2:11" x14ac:dyDescent="0.25">
      <c r="B1474" s="3">
        <v>1581</v>
      </c>
      <c r="C1474" s="3" t="s">
        <v>7</v>
      </c>
      <c r="D1474" s="3" t="s">
        <v>16</v>
      </c>
      <c r="E1474" s="4">
        <v>42929</v>
      </c>
      <c r="F1474" s="4"/>
      <c r="G1474" s="3" t="s">
        <v>29</v>
      </c>
      <c r="H1474" s="5">
        <v>36644</v>
      </c>
      <c r="I1474" s="3" t="str">
        <f>VLOOKUP(Tabela1[[#This Row],[Advogado]],Tabela2[],2,FALSE)</f>
        <v>Renê Amaranto</v>
      </c>
      <c r="J1474" s="17">
        <f>IF(Tabela1[[#This Row],[Data de conclusão]]="",NETWORKDAYS(Tabela1[[#This Row],[Data de entrada]],$J$2),NETWORKDAYS(Tabela1[[#This Row],[Data de entrada]],Tabela1[[#This Row],[Data de conclusão]]))</f>
        <v>219</v>
      </c>
      <c r="K1474" s="1"/>
    </row>
    <row r="1475" spans="2:11" x14ac:dyDescent="0.25">
      <c r="B1475" s="3">
        <v>1582</v>
      </c>
      <c r="C1475" s="3" t="s">
        <v>8</v>
      </c>
      <c r="D1475" s="3" t="s">
        <v>17</v>
      </c>
      <c r="E1475" s="4">
        <v>42654</v>
      </c>
      <c r="F1475" s="4"/>
      <c r="G1475" s="3" t="s">
        <v>29</v>
      </c>
      <c r="H1475" s="5">
        <v>48102</v>
      </c>
      <c r="I1475" s="3" t="str">
        <f>VLOOKUP(Tabela1[[#This Row],[Advogado]],Tabela2[],2,FALSE)</f>
        <v>Renê Amaranto</v>
      </c>
      <c r="J1475" s="17">
        <f>IF(Tabela1[[#This Row],[Data de conclusão]]="",NETWORKDAYS(Tabela1[[#This Row],[Data de entrada]],$J$2),NETWORKDAYS(Tabela1[[#This Row],[Data de entrada]],Tabela1[[#This Row],[Data de conclusão]]))</f>
        <v>416</v>
      </c>
      <c r="K1475" s="1"/>
    </row>
    <row r="1476" spans="2:11" x14ac:dyDescent="0.25">
      <c r="B1476" s="3">
        <v>1583</v>
      </c>
      <c r="C1476" s="3" t="s">
        <v>9</v>
      </c>
      <c r="D1476" s="3" t="s">
        <v>10</v>
      </c>
      <c r="E1476" s="4">
        <v>43020</v>
      </c>
      <c r="F1476" s="4"/>
      <c r="G1476" s="3" t="s">
        <v>29</v>
      </c>
      <c r="H1476" s="5">
        <v>57013</v>
      </c>
      <c r="I1476" s="3" t="str">
        <f>VLOOKUP(Tabela1[[#This Row],[Advogado]],Tabela2[],2,FALSE)</f>
        <v>Caio Brito</v>
      </c>
      <c r="J1476" s="17">
        <f>IF(Tabela1[[#This Row],[Data de conclusão]]="",NETWORKDAYS(Tabela1[[#This Row],[Data de entrada]],$J$2),NETWORKDAYS(Tabela1[[#This Row],[Data de entrada]],Tabela1[[#This Row],[Data de conclusão]]))</f>
        <v>154</v>
      </c>
      <c r="K1476" s="1"/>
    </row>
    <row r="1477" spans="2:11" x14ac:dyDescent="0.25">
      <c r="B1477" s="3">
        <v>1584</v>
      </c>
      <c r="C1477" s="3" t="s">
        <v>7</v>
      </c>
      <c r="D1477" s="3" t="s">
        <v>11</v>
      </c>
      <c r="E1477" s="4">
        <v>42384</v>
      </c>
      <c r="F1477" s="4"/>
      <c r="G1477" s="3" t="s">
        <v>29</v>
      </c>
      <c r="H1477" s="5">
        <v>32330</v>
      </c>
      <c r="I1477" s="3" t="str">
        <f>VLOOKUP(Tabela1[[#This Row],[Advogado]],Tabela2[],2,FALSE)</f>
        <v>Caio Brito</v>
      </c>
      <c r="J1477" s="17">
        <f>IF(Tabela1[[#This Row],[Data de conclusão]]="",NETWORKDAYS(Tabela1[[#This Row],[Data de entrada]],$J$2),NETWORKDAYS(Tabela1[[#This Row],[Data de entrada]],Tabela1[[#This Row],[Data de conclusão]]))</f>
        <v>608</v>
      </c>
      <c r="K1477" s="1"/>
    </row>
    <row r="1478" spans="2:11" x14ac:dyDescent="0.25">
      <c r="B1478" s="3">
        <v>1585</v>
      </c>
      <c r="C1478" s="3" t="s">
        <v>8</v>
      </c>
      <c r="D1478" s="3" t="s">
        <v>12</v>
      </c>
      <c r="E1478" s="4">
        <v>42732</v>
      </c>
      <c r="F1478" s="4"/>
      <c r="G1478" s="3" t="s">
        <v>29</v>
      </c>
      <c r="H1478" s="5">
        <v>14438</v>
      </c>
      <c r="I1478" s="3" t="str">
        <f>VLOOKUP(Tabela1[[#This Row],[Advogado]],Tabela2[],2,FALSE)</f>
        <v>Caio Brito</v>
      </c>
      <c r="J1478" s="17">
        <f>IF(Tabela1[[#This Row],[Data de conclusão]]="",NETWORKDAYS(Tabela1[[#This Row],[Data de entrada]],$J$2),NETWORKDAYS(Tabela1[[#This Row],[Data de entrada]],Tabela1[[#This Row],[Data de conclusão]]))</f>
        <v>360</v>
      </c>
      <c r="K1478" s="1"/>
    </row>
    <row r="1479" spans="2:11" x14ac:dyDescent="0.25">
      <c r="B1479" s="3">
        <v>1586</v>
      </c>
      <c r="C1479" s="3" t="s">
        <v>9</v>
      </c>
      <c r="D1479" s="3" t="s">
        <v>13</v>
      </c>
      <c r="E1479" s="4">
        <v>42992</v>
      </c>
      <c r="F1479" s="4"/>
      <c r="G1479" s="3" t="s">
        <v>29</v>
      </c>
      <c r="H1479" s="5">
        <v>11736</v>
      </c>
      <c r="I1479" s="3" t="str">
        <f>VLOOKUP(Tabela1[[#This Row],[Advogado]],Tabela2[],2,FALSE)</f>
        <v>Caio Brito</v>
      </c>
      <c r="J1479" s="17">
        <f>IF(Tabela1[[#This Row],[Data de conclusão]]="",NETWORKDAYS(Tabela1[[#This Row],[Data de entrada]],$J$2),NETWORKDAYS(Tabela1[[#This Row],[Data de entrada]],Tabela1[[#This Row],[Data de conclusão]]))</f>
        <v>174</v>
      </c>
      <c r="K1479" s="1"/>
    </row>
    <row r="1480" spans="2:11" x14ac:dyDescent="0.25">
      <c r="B1480" s="3">
        <v>1587</v>
      </c>
      <c r="C1480" s="3" t="s">
        <v>7</v>
      </c>
      <c r="D1480" s="3" t="s">
        <v>14</v>
      </c>
      <c r="E1480" s="4">
        <v>43014</v>
      </c>
      <c r="F1480" s="4"/>
      <c r="G1480" s="3" t="s">
        <v>29</v>
      </c>
      <c r="H1480" s="5">
        <v>3132</v>
      </c>
      <c r="I1480" s="3" t="str">
        <f>VLOOKUP(Tabela1[[#This Row],[Advogado]],Tabela2[],2,FALSE)</f>
        <v>Renê Amaranto</v>
      </c>
      <c r="J1480" s="17">
        <f>IF(Tabela1[[#This Row],[Data de conclusão]]="",NETWORKDAYS(Tabela1[[#This Row],[Data de entrada]],$J$2),NETWORKDAYS(Tabela1[[#This Row],[Data de entrada]],Tabela1[[#This Row],[Data de conclusão]]))</f>
        <v>158</v>
      </c>
      <c r="K1480" s="1"/>
    </row>
    <row r="1481" spans="2:11" x14ac:dyDescent="0.25">
      <c r="B1481" s="3">
        <v>1588</v>
      </c>
      <c r="C1481" s="3" t="s">
        <v>8</v>
      </c>
      <c r="D1481" s="3" t="s">
        <v>15</v>
      </c>
      <c r="E1481" s="4">
        <v>42479</v>
      </c>
      <c r="F1481" s="4"/>
      <c r="G1481" s="3" t="s">
        <v>29</v>
      </c>
      <c r="H1481" s="5">
        <v>22809</v>
      </c>
      <c r="I1481" s="3" t="str">
        <f>VLOOKUP(Tabela1[[#This Row],[Advogado]],Tabela2[],2,FALSE)</f>
        <v>Renê Amaranto</v>
      </c>
      <c r="J1481" s="17">
        <f>IF(Tabela1[[#This Row],[Data de conclusão]]="",NETWORKDAYS(Tabela1[[#This Row],[Data de entrada]],$J$2),NETWORKDAYS(Tabela1[[#This Row],[Data de entrada]],Tabela1[[#This Row],[Data de conclusão]]))</f>
        <v>541</v>
      </c>
      <c r="K1481" s="1"/>
    </row>
    <row r="1482" spans="2:11" x14ac:dyDescent="0.25">
      <c r="B1482" s="3">
        <v>1589</v>
      </c>
      <c r="C1482" s="3" t="s">
        <v>9</v>
      </c>
      <c r="D1482" s="3" t="s">
        <v>16</v>
      </c>
      <c r="E1482" s="4">
        <v>42528</v>
      </c>
      <c r="F1482" s="4"/>
      <c r="G1482" s="3" t="s">
        <v>29</v>
      </c>
      <c r="H1482" s="5">
        <v>47355</v>
      </c>
      <c r="I1482" s="3" t="str">
        <f>VLOOKUP(Tabela1[[#This Row],[Advogado]],Tabela2[],2,FALSE)</f>
        <v>Renê Amaranto</v>
      </c>
      <c r="J1482" s="17">
        <f>IF(Tabela1[[#This Row],[Data de conclusão]]="",NETWORKDAYS(Tabela1[[#This Row],[Data de entrada]],$J$2),NETWORKDAYS(Tabela1[[#This Row],[Data de entrada]],Tabela1[[#This Row],[Data de conclusão]]))</f>
        <v>506</v>
      </c>
      <c r="K1482" s="1"/>
    </row>
    <row r="1483" spans="2:11" x14ac:dyDescent="0.25">
      <c r="B1483" s="3">
        <v>1590</v>
      </c>
      <c r="C1483" s="3" t="s">
        <v>7</v>
      </c>
      <c r="D1483" s="3" t="s">
        <v>17</v>
      </c>
      <c r="E1483" s="4">
        <v>42946</v>
      </c>
      <c r="F1483" s="4"/>
      <c r="G1483" s="3" t="s">
        <v>29</v>
      </c>
      <c r="H1483" s="5">
        <v>45645</v>
      </c>
      <c r="I1483" s="3" t="str">
        <f>VLOOKUP(Tabela1[[#This Row],[Advogado]],Tabela2[],2,FALSE)</f>
        <v>Renê Amaranto</v>
      </c>
      <c r="J1483" s="17">
        <f>IF(Tabela1[[#This Row],[Data de conclusão]]="",NETWORKDAYS(Tabela1[[#This Row],[Data de entrada]],$J$2),NETWORKDAYS(Tabela1[[#This Row],[Data de entrada]],Tabela1[[#This Row],[Data de conclusão]]))</f>
        <v>207</v>
      </c>
      <c r="K1483" s="1"/>
    </row>
    <row r="1484" spans="2:11" x14ac:dyDescent="0.25">
      <c r="B1484" s="3">
        <v>1591</v>
      </c>
      <c r="C1484" s="3" t="s">
        <v>8</v>
      </c>
      <c r="D1484" s="3" t="s">
        <v>10</v>
      </c>
      <c r="E1484" s="4">
        <v>43062</v>
      </c>
      <c r="F1484" s="4">
        <v>43104</v>
      </c>
      <c r="G1484" s="3" t="s">
        <v>28</v>
      </c>
      <c r="H1484" s="5">
        <v>52174</v>
      </c>
      <c r="I1484" s="3" t="str">
        <f>VLOOKUP(Tabela1[[#This Row],[Advogado]],Tabela2[],2,FALSE)</f>
        <v>Caio Brito</v>
      </c>
      <c r="J1484" s="17">
        <f>IF(Tabela1[[#This Row],[Data de conclusão]]="",NETWORKDAYS(Tabela1[[#This Row],[Data de entrada]],$J$2),NETWORKDAYS(Tabela1[[#This Row],[Data de entrada]],Tabela1[[#This Row],[Data de conclusão]]))</f>
        <v>31</v>
      </c>
      <c r="K1484" s="1"/>
    </row>
    <row r="1485" spans="2:11" x14ac:dyDescent="0.25">
      <c r="B1485" s="3">
        <v>1592</v>
      </c>
      <c r="C1485" s="3" t="s">
        <v>9</v>
      </c>
      <c r="D1485" s="3" t="s">
        <v>11</v>
      </c>
      <c r="E1485" s="4">
        <v>42372</v>
      </c>
      <c r="F1485" s="4"/>
      <c r="G1485" s="3" t="s">
        <v>27</v>
      </c>
      <c r="H1485" s="5">
        <v>12017</v>
      </c>
      <c r="I1485" s="3" t="str">
        <f>VLOOKUP(Tabela1[[#This Row],[Advogado]],Tabela2[],2,FALSE)</f>
        <v>Caio Brito</v>
      </c>
      <c r="J1485" s="17">
        <f>IF(Tabela1[[#This Row],[Data de conclusão]]="",NETWORKDAYS(Tabela1[[#This Row],[Data de entrada]],$J$2),NETWORKDAYS(Tabela1[[#This Row],[Data de entrada]],Tabela1[[#This Row],[Data de conclusão]]))</f>
        <v>617</v>
      </c>
      <c r="K1485" s="1"/>
    </row>
    <row r="1486" spans="2:11" x14ac:dyDescent="0.25">
      <c r="B1486" s="3">
        <v>1593</v>
      </c>
      <c r="C1486" s="3" t="s">
        <v>7</v>
      </c>
      <c r="D1486" s="3" t="s">
        <v>12</v>
      </c>
      <c r="E1486" s="4">
        <v>42976</v>
      </c>
      <c r="F1486" s="4"/>
      <c r="G1486" s="3" t="s">
        <v>29</v>
      </c>
      <c r="H1486" s="5">
        <v>22965</v>
      </c>
      <c r="I1486" s="3" t="str">
        <f>VLOOKUP(Tabela1[[#This Row],[Advogado]],Tabela2[],2,FALSE)</f>
        <v>Caio Brito</v>
      </c>
      <c r="J1486" s="17">
        <f>IF(Tabela1[[#This Row],[Data de conclusão]]="",NETWORKDAYS(Tabela1[[#This Row],[Data de entrada]],$J$2),NETWORKDAYS(Tabela1[[#This Row],[Data de entrada]],Tabela1[[#This Row],[Data de conclusão]]))</f>
        <v>186</v>
      </c>
      <c r="K1486" s="1"/>
    </row>
    <row r="1487" spans="2:11" x14ac:dyDescent="0.25">
      <c r="B1487" s="3">
        <v>1594</v>
      </c>
      <c r="C1487" s="3" t="s">
        <v>8</v>
      </c>
      <c r="D1487" s="3" t="s">
        <v>13</v>
      </c>
      <c r="E1487" s="4">
        <v>42565</v>
      </c>
      <c r="F1487" s="4"/>
      <c r="G1487" s="3" t="s">
        <v>29</v>
      </c>
      <c r="H1487" s="5">
        <v>31538</v>
      </c>
      <c r="I1487" s="3" t="str">
        <f>VLOOKUP(Tabela1[[#This Row],[Advogado]],Tabela2[],2,FALSE)</f>
        <v>Caio Brito</v>
      </c>
      <c r="J1487" s="17">
        <f>IF(Tabela1[[#This Row],[Data de conclusão]]="",NETWORKDAYS(Tabela1[[#This Row],[Data de entrada]],$J$2),NETWORKDAYS(Tabela1[[#This Row],[Data de entrada]],Tabela1[[#This Row],[Data de conclusão]]))</f>
        <v>479</v>
      </c>
      <c r="K1487" s="1"/>
    </row>
    <row r="1488" spans="2:11" x14ac:dyDescent="0.25">
      <c r="B1488" s="3">
        <v>1595</v>
      </c>
      <c r="C1488" s="3" t="s">
        <v>9</v>
      </c>
      <c r="D1488" s="3" t="s">
        <v>14</v>
      </c>
      <c r="E1488" s="4">
        <v>42725</v>
      </c>
      <c r="F1488" s="4"/>
      <c r="G1488" s="3" t="s">
        <v>29</v>
      </c>
      <c r="H1488" s="5">
        <v>34363</v>
      </c>
      <c r="I1488" s="3" t="str">
        <f>VLOOKUP(Tabela1[[#This Row],[Advogado]],Tabela2[],2,FALSE)</f>
        <v>Renê Amaranto</v>
      </c>
      <c r="J1488" s="17">
        <f>IF(Tabela1[[#This Row],[Data de conclusão]]="",NETWORKDAYS(Tabela1[[#This Row],[Data de entrada]],$J$2),NETWORKDAYS(Tabela1[[#This Row],[Data de entrada]],Tabela1[[#This Row],[Data de conclusão]]))</f>
        <v>365</v>
      </c>
      <c r="K1488" s="1"/>
    </row>
    <row r="1489" spans="2:11" x14ac:dyDescent="0.25">
      <c r="B1489" s="3">
        <v>1596</v>
      </c>
      <c r="C1489" s="3" t="s">
        <v>7</v>
      </c>
      <c r="D1489" s="3" t="s">
        <v>15</v>
      </c>
      <c r="E1489" s="4">
        <v>42569</v>
      </c>
      <c r="F1489" s="4"/>
      <c r="G1489" s="3" t="s">
        <v>29</v>
      </c>
      <c r="H1489" s="5">
        <v>21406</v>
      </c>
      <c r="I1489" s="3" t="str">
        <f>VLOOKUP(Tabela1[[#This Row],[Advogado]],Tabela2[],2,FALSE)</f>
        <v>Renê Amaranto</v>
      </c>
      <c r="J1489" s="17">
        <f>IF(Tabela1[[#This Row],[Data de conclusão]]="",NETWORKDAYS(Tabela1[[#This Row],[Data de entrada]],$J$2),NETWORKDAYS(Tabela1[[#This Row],[Data de entrada]],Tabela1[[#This Row],[Data de conclusão]]))</f>
        <v>477</v>
      </c>
      <c r="K1489" s="1"/>
    </row>
    <row r="1490" spans="2:11" x14ac:dyDescent="0.25">
      <c r="B1490" s="3">
        <v>1597</v>
      </c>
      <c r="C1490" s="3" t="s">
        <v>8</v>
      </c>
      <c r="D1490" s="3" t="s">
        <v>16</v>
      </c>
      <c r="E1490" s="4">
        <v>42704</v>
      </c>
      <c r="F1490" s="4"/>
      <c r="G1490" s="3" t="s">
        <v>29</v>
      </c>
      <c r="H1490" s="5">
        <v>22075</v>
      </c>
      <c r="I1490" s="3" t="str">
        <f>VLOOKUP(Tabela1[[#This Row],[Advogado]],Tabela2[],2,FALSE)</f>
        <v>Renê Amaranto</v>
      </c>
      <c r="J1490" s="17">
        <f>IF(Tabela1[[#This Row],[Data de conclusão]]="",NETWORKDAYS(Tabela1[[#This Row],[Data de entrada]],$J$2),NETWORKDAYS(Tabela1[[#This Row],[Data de entrada]],Tabela1[[#This Row],[Data de conclusão]]))</f>
        <v>380</v>
      </c>
      <c r="K1490" s="1"/>
    </row>
    <row r="1491" spans="2:11" x14ac:dyDescent="0.25">
      <c r="B1491" s="3">
        <v>1598</v>
      </c>
      <c r="C1491" s="3" t="s">
        <v>9</v>
      </c>
      <c r="D1491" s="3" t="s">
        <v>17</v>
      </c>
      <c r="E1491" s="4">
        <v>42465</v>
      </c>
      <c r="F1491" s="4"/>
      <c r="G1491" s="3" t="s">
        <v>29</v>
      </c>
      <c r="H1491" s="5">
        <v>2266</v>
      </c>
      <c r="I1491" s="3" t="str">
        <f>VLOOKUP(Tabela1[[#This Row],[Advogado]],Tabela2[],2,FALSE)</f>
        <v>Renê Amaranto</v>
      </c>
      <c r="J1491" s="17">
        <f>IF(Tabela1[[#This Row],[Data de conclusão]]="",NETWORKDAYS(Tabela1[[#This Row],[Data de entrada]],$J$2),NETWORKDAYS(Tabela1[[#This Row],[Data de entrada]],Tabela1[[#This Row],[Data de conclusão]]))</f>
        <v>551</v>
      </c>
      <c r="K1491" s="1"/>
    </row>
    <row r="1492" spans="2:11" x14ac:dyDescent="0.25">
      <c r="B1492" s="3">
        <v>1599</v>
      </c>
      <c r="C1492" s="3" t="s">
        <v>7</v>
      </c>
      <c r="D1492" s="3" t="s">
        <v>10</v>
      </c>
      <c r="E1492" s="4">
        <v>42663</v>
      </c>
      <c r="F1492" s="4"/>
      <c r="G1492" s="3" t="s">
        <v>29</v>
      </c>
      <c r="H1492" s="5">
        <v>53013</v>
      </c>
      <c r="I1492" s="3" t="str">
        <f>VLOOKUP(Tabela1[[#This Row],[Advogado]],Tabela2[],2,FALSE)</f>
        <v>Caio Brito</v>
      </c>
      <c r="J1492" s="17">
        <f>IF(Tabela1[[#This Row],[Data de conclusão]]="",NETWORKDAYS(Tabela1[[#This Row],[Data de entrada]],$J$2),NETWORKDAYS(Tabela1[[#This Row],[Data de entrada]],Tabela1[[#This Row],[Data de conclusão]]))</f>
        <v>409</v>
      </c>
      <c r="K1492" s="1"/>
    </row>
    <row r="1493" spans="2:11" x14ac:dyDescent="0.25">
      <c r="B1493" s="3">
        <v>1600</v>
      </c>
      <c r="C1493" s="3" t="s">
        <v>8</v>
      </c>
      <c r="D1493" s="3" t="s">
        <v>11</v>
      </c>
      <c r="E1493" s="4">
        <v>42841</v>
      </c>
      <c r="F1493" s="4"/>
      <c r="G1493" s="3" t="s">
        <v>29</v>
      </c>
      <c r="H1493" s="5">
        <v>22316</v>
      </c>
      <c r="I1493" s="3" t="str">
        <f>VLOOKUP(Tabela1[[#This Row],[Advogado]],Tabela2[],2,FALSE)</f>
        <v>Caio Brito</v>
      </c>
      <c r="J1493" s="17">
        <f>IF(Tabela1[[#This Row],[Data de conclusão]]="",NETWORKDAYS(Tabela1[[#This Row],[Data de entrada]],$J$2),NETWORKDAYS(Tabela1[[#This Row],[Data de entrada]],Tabela1[[#This Row],[Data de conclusão]]))</f>
        <v>282</v>
      </c>
      <c r="K1493" s="1"/>
    </row>
    <row r="1494" spans="2:11" x14ac:dyDescent="0.25">
      <c r="B1494" s="3">
        <v>1601</v>
      </c>
      <c r="C1494" s="3" t="s">
        <v>9</v>
      </c>
      <c r="D1494" s="3" t="s">
        <v>12</v>
      </c>
      <c r="E1494" s="4">
        <v>42480</v>
      </c>
      <c r="F1494" s="4"/>
      <c r="G1494" s="3" t="s">
        <v>29</v>
      </c>
      <c r="H1494" s="5">
        <v>53546</v>
      </c>
      <c r="I1494" s="3" t="str">
        <f>VLOOKUP(Tabela1[[#This Row],[Advogado]],Tabela2[],2,FALSE)</f>
        <v>Caio Brito</v>
      </c>
      <c r="J1494" s="17">
        <f>IF(Tabela1[[#This Row],[Data de conclusão]]="",NETWORKDAYS(Tabela1[[#This Row],[Data de entrada]],$J$2),NETWORKDAYS(Tabela1[[#This Row],[Data de entrada]],Tabela1[[#This Row],[Data de conclusão]]))</f>
        <v>540</v>
      </c>
      <c r="K1494" s="1"/>
    </row>
    <row r="1495" spans="2:11" x14ac:dyDescent="0.25">
      <c r="B1495" s="3">
        <v>1602</v>
      </c>
      <c r="C1495" s="3" t="s">
        <v>7</v>
      </c>
      <c r="D1495" s="3" t="s">
        <v>13</v>
      </c>
      <c r="E1495" s="4">
        <v>42449</v>
      </c>
      <c r="F1495" s="4"/>
      <c r="G1495" s="3" t="s">
        <v>29</v>
      </c>
      <c r="H1495" s="5">
        <v>56521</v>
      </c>
      <c r="I1495" s="3" t="str">
        <f>VLOOKUP(Tabela1[[#This Row],[Advogado]],Tabela2[],2,FALSE)</f>
        <v>Caio Brito</v>
      </c>
      <c r="J1495" s="17">
        <f>IF(Tabela1[[#This Row],[Data de conclusão]]="",NETWORKDAYS(Tabela1[[#This Row],[Data de entrada]],$J$2),NETWORKDAYS(Tabela1[[#This Row],[Data de entrada]],Tabela1[[#This Row],[Data de conclusão]]))</f>
        <v>562</v>
      </c>
      <c r="K1495" s="1"/>
    </row>
    <row r="1496" spans="2:11" x14ac:dyDescent="0.25">
      <c r="B1496" s="3">
        <v>1603</v>
      </c>
      <c r="C1496" s="3" t="s">
        <v>8</v>
      </c>
      <c r="D1496" s="3" t="s">
        <v>14</v>
      </c>
      <c r="E1496" s="4">
        <v>42391</v>
      </c>
      <c r="F1496" s="4"/>
      <c r="G1496" s="3" t="s">
        <v>29</v>
      </c>
      <c r="H1496" s="5">
        <v>54753</v>
      </c>
      <c r="I1496" s="3" t="str">
        <f>VLOOKUP(Tabela1[[#This Row],[Advogado]],Tabela2[],2,FALSE)</f>
        <v>Renê Amaranto</v>
      </c>
      <c r="J1496" s="17">
        <f>IF(Tabela1[[#This Row],[Data de conclusão]]="",NETWORKDAYS(Tabela1[[#This Row],[Data de entrada]],$J$2),NETWORKDAYS(Tabela1[[#This Row],[Data de entrada]],Tabela1[[#This Row],[Data de conclusão]]))</f>
        <v>603</v>
      </c>
      <c r="K1496" s="1"/>
    </row>
    <row r="1497" spans="2:11" x14ac:dyDescent="0.25">
      <c r="B1497" s="3">
        <v>1604</v>
      </c>
      <c r="C1497" s="3" t="s">
        <v>9</v>
      </c>
      <c r="D1497" s="3" t="s">
        <v>15</v>
      </c>
      <c r="E1497" s="4">
        <v>42718</v>
      </c>
      <c r="F1497" s="4">
        <v>42755</v>
      </c>
      <c r="G1497" s="3" t="s">
        <v>28</v>
      </c>
      <c r="H1497" s="5">
        <v>35813</v>
      </c>
      <c r="I1497" s="3" t="str">
        <f>VLOOKUP(Tabela1[[#This Row],[Advogado]],Tabela2[],2,FALSE)</f>
        <v>Renê Amaranto</v>
      </c>
      <c r="J1497" s="17">
        <f>IF(Tabela1[[#This Row],[Data de conclusão]]="",NETWORKDAYS(Tabela1[[#This Row],[Data de entrada]],$J$2),NETWORKDAYS(Tabela1[[#This Row],[Data de entrada]],Tabela1[[#This Row],[Data de conclusão]]))</f>
        <v>28</v>
      </c>
      <c r="K1497" s="1"/>
    </row>
    <row r="1498" spans="2:11" x14ac:dyDescent="0.25">
      <c r="B1498" s="3">
        <v>1605</v>
      </c>
      <c r="C1498" s="3" t="s">
        <v>7</v>
      </c>
      <c r="D1498" s="3" t="s">
        <v>16</v>
      </c>
      <c r="E1498" s="4">
        <v>42923</v>
      </c>
      <c r="F1498" s="4"/>
      <c r="G1498" s="3" t="s">
        <v>27</v>
      </c>
      <c r="H1498" s="5">
        <v>23035</v>
      </c>
      <c r="I1498" s="3" t="str">
        <f>VLOOKUP(Tabela1[[#This Row],[Advogado]],Tabela2[],2,FALSE)</f>
        <v>Renê Amaranto</v>
      </c>
      <c r="J1498" s="17">
        <f>IF(Tabela1[[#This Row],[Data de conclusão]]="",NETWORKDAYS(Tabela1[[#This Row],[Data de entrada]],$J$2),NETWORKDAYS(Tabela1[[#This Row],[Data de entrada]],Tabela1[[#This Row],[Data de conclusão]]))</f>
        <v>223</v>
      </c>
      <c r="K1498" s="1"/>
    </row>
    <row r="1499" spans="2:11" x14ac:dyDescent="0.25">
      <c r="B1499" s="3">
        <v>1606</v>
      </c>
      <c r="C1499" s="3" t="s">
        <v>8</v>
      </c>
      <c r="D1499" s="3" t="s">
        <v>17</v>
      </c>
      <c r="E1499" s="4">
        <v>42927</v>
      </c>
      <c r="F1499" s="4"/>
      <c r="G1499" s="3" t="s">
        <v>29</v>
      </c>
      <c r="H1499" s="5">
        <v>19876</v>
      </c>
      <c r="I1499" s="3" t="str">
        <f>VLOOKUP(Tabela1[[#This Row],[Advogado]],Tabela2[],2,FALSE)</f>
        <v>Renê Amaranto</v>
      </c>
      <c r="J1499" s="17">
        <f>IF(Tabela1[[#This Row],[Data de conclusão]]="",NETWORKDAYS(Tabela1[[#This Row],[Data de entrada]],$J$2),NETWORKDAYS(Tabela1[[#This Row],[Data de entrada]],Tabela1[[#This Row],[Data de conclusão]]))</f>
        <v>221</v>
      </c>
      <c r="K1499" s="1"/>
    </row>
    <row r="1500" spans="2:11" x14ac:dyDescent="0.25">
      <c r="B1500" s="3">
        <v>1607</v>
      </c>
      <c r="C1500" s="3" t="s">
        <v>9</v>
      </c>
      <c r="D1500" s="3" t="s">
        <v>10</v>
      </c>
      <c r="E1500" s="4">
        <v>42932</v>
      </c>
      <c r="F1500" s="4"/>
      <c r="G1500" s="3" t="s">
        <v>29</v>
      </c>
      <c r="H1500" s="5">
        <v>41948</v>
      </c>
      <c r="I1500" s="3" t="str">
        <f>VLOOKUP(Tabela1[[#This Row],[Advogado]],Tabela2[],2,FALSE)</f>
        <v>Caio Brito</v>
      </c>
      <c r="J1500" s="17">
        <f>IF(Tabela1[[#This Row],[Data de conclusão]]="",NETWORKDAYS(Tabela1[[#This Row],[Data de entrada]],$J$2),NETWORKDAYS(Tabela1[[#This Row],[Data de entrada]],Tabela1[[#This Row],[Data de conclusão]]))</f>
        <v>217</v>
      </c>
      <c r="K1500" s="1"/>
    </row>
    <row r="1501" spans="2:11" x14ac:dyDescent="0.25">
      <c r="B1501" s="3">
        <v>1608</v>
      </c>
      <c r="C1501" s="3" t="s">
        <v>7</v>
      </c>
      <c r="D1501" s="3" t="s">
        <v>11</v>
      </c>
      <c r="E1501" s="4">
        <v>42879</v>
      </c>
      <c r="F1501" s="4"/>
      <c r="G1501" s="3" t="s">
        <v>29</v>
      </c>
      <c r="H1501" s="5">
        <v>47552</v>
      </c>
      <c r="I1501" s="3" t="str">
        <f>VLOOKUP(Tabela1[[#This Row],[Advogado]],Tabela2[],2,FALSE)</f>
        <v>Caio Brito</v>
      </c>
      <c r="J1501" s="17">
        <f>IF(Tabela1[[#This Row],[Data de conclusão]]="",NETWORKDAYS(Tabela1[[#This Row],[Data de entrada]],$J$2),NETWORKDAYS(Tabela1[[#This Row],[Data de entrada]],Tabela1[[#This Row],[Data de conclusão]]))</f>
        <v>255</v>
      </c>
      <c r="K1501" s="1"/>
    </row>
    <row r="1502" spans="2:11" x14ac:dyDescent="0.25">
      <c r="B1502" s="3">
        <v>1609</v>
      </c>
      <c r="C1502" s="3" t="s">
        <v>8</v>
      </c>
      <c r="D1502" s="3" t="s">
        <v>12</v>
      </c>
      <c r="E1502" s="4">
        <v>42445</v>
      </c>
      <c r="F1502" s="4"/>
      <c r="G1502" s="3" t="s">
        <v>29</v>
      </c>
      <c r="H1502" s="5">
        <v>1398</v>
      </c>
      <c r="I1502" s="3" t="str">
        <f>VLOOKUP(Tabela1[[#This Row],[Advogado]],Tabela2[],2,FALSE)</f>
        <v>Caio Brito</v>
      </c>
      <c r="J1502" s="17">
        <f>IF(Tabela1[[#This Row],[Data de conclusão]]="",NETWORKDAYS(Tabela1[[#This Row],[Data de entrada]],$J$2),NETWORKDAYS(Tabela1[[#This Row],[Data de entrada]],Tabela1[[#This Row],[Data de conclusão]]))</f>
        <v>565</v>
      </c>
      <c r="K1502" s="1"/>
    </row>
    <row r="1503" spans="2:11" x14ac:dyDescent="0.25">
      <c r="B1503" s="3">
        <v>1610</v>
      </c>
      <c r="C1503" s="3" t="s">
        <v>9</v>
      </c>
      <c r="D1503" s="3" t="s">
        <v>13</v>
      </c>
      <c r="E1503" s="4">
        <v>42409</v>
      </c>
      <c r="F1503" s="4"/>
      <c r="G1503" s="3" t="s">
        <v>29</v>
      </c>
      <c r="H1503" s="5">
        <v>50971</v>
      </c>
      <c r="I1503" s="3" t="str">
        <f>VLOOKUP(Tabela1[[#This Row],[Advogado]],Tabela2[],2,FALSE)</f>
        <v>Caio Brito</v>
      </c>
      <c r="J1503" s="17">
        <f>IF(Tabela1[[#This Row],[Data de conclusão]]="",NETWORKDAYS(Tabela1[[#This Row],[Data de entrada]],$J$2),NETWORKDAYS(Tabela1[[#This Row],[Data de entrada]],Tabela1[[#This Row],[Data de conclusão]]))</f>
        <v>591</v>
      </c>
      <c r="K1503" s="1"/>
    </row>
    <row r="1504" spans="2:11" x14ac:dyDescent="0.25">
      <c r="B1504" s="3">
        <v>1611</v>
      </c>
      <c r="C1504" s="3" t="s">
        <v>7</v>
      </c>
      <c r="D1504" s="3" t="s">
        <v>14</v>
      </c>
      <c r="E1504" s="4">
        <v>42408</v>
      </c>
      <c r="F1504" s="4"/>
      <c r="G1504" s="3" t="s">
        <v>29</v>
      </c>
      <c r="H1504" s="5">
        <v>44429</v>
      </c>
      <c r="I1504" s="3" t="str">
        <f>VLOOKUP(Tabela1[[#This Row],[Advogado]],Tabela2[],2,FALSE)</f>
        <v>Renê Amaranto</v>
      </c>
      <c r="J1504" s="17">
        <f>IF(Tabela1[[#This Row],[Data de conclusão]]="",NETWORKDAYS(Tabela1[[#This Row],[Data de entrada]],$J$2),NETWORKDAYS(Tabela1[[#This Row],[Data de entrada]],Tabela1[[#This Row],[Data de conclusão]]))</f>
        <v>592</v>
      </c>
      <c r="K1504" s="1"/>
    </row>
    <row r="1505" spans="2:11" x14ac:dyDescent="0.25">
      <c r="B1505" s="3">
        <v>1612</v>
      </c>
      <c r="C1505" s="3" t="s">
        <v>8</v>
      </c>
      <c r="D1505" s="3" t="s">
        <v>15</v>
      </c>
      <c r="E1505" s="4">
        <v>43041</v>
      </c>
      <c r="F1505" s="4"/>
      <c r="G1505" s="3" t="s">
        <v>29</v>
      </c>
      <c r="H1505" s="5">
        <v>27409</v>
      </c>
      <c r="I1505" s="3" t="str">
        <f>VLOOKUP(Tabela1[[#This Row],[Advogado]],Tabela2[],2,FALSE)</f>
        <v>Renê Amaranto</v>
      </c>
      <c r="J1505" s="17">
        <f>IF(Tabela1[[#This Row],[Data de conclusão]]="",NETWORKDAYS(Tabela1[[#This Row],[Data de entrada]],$J$2),NETWORKDAYS(Tabela1[[#This Row],[Data de entrada]],Tabela1[[#This Row],[Data de conclusão]]))</f>
        <v>139</v>
      </c>
      <c r="K1505" s="1"/>
    </row>
    <row r="1506" spans="2:11" x14ac:dyDescent="0.25">
      <c r="B1506" s="3">
        <v>1613</v>
      </c>
      <c r="C1506" s="3" t="s">
        <v>9</v>
      </c>
      <c r="D1506" s="3" t="s">
        <v>16</v>
      </c>
      <c r="E1506" s="4">
        <v>42542</v>
      </c>
      <c r="F1506" s="4"/>
      <c r="G1506" s="3" t="s">
        <v>29</v>
      </c>
      <c r="H1506" s="5">
        <v>3487</v>
      </c>
      <c r="I1506" s="3" t="str">
        <f>VLOOKUP(Tabela1[[#This Row],[Advogado]],Tabela2[],2,FALSE)</f>
        <v>Renê Amaranto</v>
      </c>
      <c r="J1506" s="17">
        <f>IF(Tabela1[[#This Row],[Data de conclusão]]="",NETWORKDAYS(Tabela1[[#This Row],[Data de entrada]],$J$2),NETWORKDAYS(Tabela1[[#This Row],[Data de entrada]],Tabela1[[#This Row],[Data de conclusão]]))</f>
        <v>496</v>
      </c>
      <c r="K1506" s="1"/>
    </row>
    <row r="1507" spans="2:11" x14ac:dyDescent="0.25">
      <c r="B1507" s="3">
        <v>1614</v>
      </c>
      <c r="C1507" s="3" t="s">
        <v>7</v>
      </c>
      <c r="D1507" s="3" t="s">
        <v>17</v>
      </c>
      <c r="E1507" s="4">
        <v>42853</v>
      </c>
      <c r="F1507" s="4"/>
      <c r="G1507" s="3" t="s">
        <v>29</v>
      </c>
      <c r="H1507" s="5">
        <v>5710</v>
      </c>
      <c r="I1507" s="3" t="str">
        <f>VLOOKUP(Tabela1[[#This Row],[Advogado]],Tabela2[],2,FALSE)</f>
        <v>Renê Amaranto</v>
      </c>
      <c r="J1507" s="17">
        <f>IF(Tabela1[[#This Row],[Data de conclusão]]="",NETWORKDAYS(Tabela1[[#This Row],[Data de entrada]],$J$2),NETWORKDAYS(Tabela1[[#This Row],[Data de entrada]],Tabela1[[#This Row],[Data de conclusão]]))</f>
        <v>273</v>
      </c>
      <c r="K1507" s="1"/>
    </row>
    <row r="1508" spans="2:11" x14ac:dyDescent="0.25">
      <c r="B1508" s="3">
        <v>1615</v>
      </c>
      <c r="C1508" s="3" t="s">
        <v>8</v>
      </c>
      <c r="D1508" s="3" t="s">
        <v>10</v>
      </c>
      <c r="E1508" s="4">
        <v>42960</v>
      </c>
      <c r="F1508" s="4"/>
      <c r="G1508" s="3" t="s">
        <v>29</v>
      </c>
      <c r="H1508" s="5">
        <v>32424</v>
      </c>
      <c r="I1508" s="3" t="str">
        <f>VLOOKUP(Tabela1[[#This Row],[Advogado]],Tabela2[],2,FALSE)</f>
        <v>Caio Brito</v>
      </c>
      <c r="J1508" s="17">
        <f>IF(Tabela1[[#This Row],[Data de conclusão]]="",NETWORKDAYS(Tabela1[[#This Row],[Data de entrada]],$J$2),NETWORKDAYS(Tabela1[[#This Row],[Data de entrada]],Tabela1[[#This Row],[Data de conclusão]]))</f>
        <v>197</v>
      </c>
      <c r="K1508" s="1"/>
    </row>
    <row r="1509" spans="2:11" x14ac:dyDescent="0.25">
      <c r="B1509" s="3">
        <v>1616</v>
      </c>
      <c r="C1509" s="3" t="s">
        <v>9</v>
      </c>
      <c r="D1509" s="3" t="s">
        <v>11</v>
      </c>
      <c r="E1509" s="4">
        <v>42435</v>
      </c>
      <c r="F1509" s="4"/>
      <c r="G1509" s="3" t="s">
        <v>29</v>
      </c>
      <c r="H1509" s="5">
        <v>32099</v>
      </c>
      <c r="I1509" s="3" t="str">
        <f>VLOOKUP(Tabela1[[#This Row],[Advogado]],Tabela2[],2,FALSE)</f>
        <v>Caio Brito</v>
      </c>
      <c r="J1509" s="17">
        <f>IF(Tabela1[[#This Row],[Data de conclusão]]="",NETWORKDAYS(Tabela1[[#This Row],[Data de entrada]],$J$2),NETWORKDAYS(Tabela1[[#This Row],[Data de entrada]],Tabela1[[#This Row],[Data de conclusão]]))</f>
        <v>572</v>
      </c>
      <c r="K1509" s="1"/>
    </row>
    <row r="1510" spans="2:11" x14ac:dyDescent="0.25">
      <c r="B1510" s="3">
        <v>1617</v>
      </c>
      <c r="C1510" s="3" t="s">
        <v>7</v>
      </c>
      <c r="D1510" s="3" t="s">
        <v>12</v>
      </c>
      <c r="E1510" s="4">
        <v>42471</v>
      </c>
      <c r="F1510" s="4">
        <v>42552</v>
      </c>
      <c r="G1510" s="3" t="s">
        <v>28</v>
      </c>
      <c r="H1510" s="5">
        <v>30334</v>
      </c>
      <c r="I1510" s="3" t="str">
        <f>VLOOKUP(Tabela1[[#This Row],[Advogado]],Tabela2[],2,FALSE)</f>
        <v>Caio Brito</v>
      </c>
      <c r="J1510" s="17">
        <f>IF(Tabela1[[#This Row],[Data de conclusão]]="",NETWORKDAYS(Tabela1[[#This Row],[Data de entrada]],$J$2),NETWORKDAYS(Tabela1[[#This Row],[Data de entrada]],Tabela1[[#This Row],[Data de conclusão]]))</f>
        <v>60</v>
      </c>
      <c r="K1510" s="1"/>
    </row>
    <row r="1511" spans="2:11" x14ac:dyDescent="0.25">
      <c r="B1511" s="3">
        <v>1618</v>
      </c>
      <c r="C1511" s="3" t="s">
        <v>8</v>
      </c>
      <c r="D1511" s="3" t="s">
        <v>13</v>
      </c>
      <c r="E1511" s="4">
        <v>42849</v>
      </c>
      <c r="F1511" s="4"/>
      <c r="G1511" s="3" t="s">
        <v>27</v>
      </c>
      <c r="H1511" s="5">
        <v>7665</v>
      </c>
      <c r="I1511" s="3" t="str">
        <f>VLOOKUP(Tabela1[[#This Row],[Advogado]],Tabela2[],2,FALSE)</f>
        <v>Caio Brito</v>
      </c>
      <c r="J1511" s="17">
        <f>IF(Tabela1[[#This Row],[Data de conclusão]]="",NETWORKDAYS(Tabela1[[#This Row],[Data de entrada]],$J$2),NETWORKDAYS(Tabela1[[#This Row],[Data de entrada]],Tabela1[[#This Row],[Data de conclusão]]))</f>
        <v>277</v>
      </c>
      <c r="K1511" s="1"/>
    </row>
    <row r="1512" spans="2:11" x14ac:dyDescent="0.25">
      <c r="B1512" s="3">
        <v>1619</v>
      </c>
      <c r="C1512" s="3" t="s">
        <v>9</v>
      </c>
      <c r="D1512" s="3" t="s">
        <v>14</v>
      </c>
      <c r="E1512" s="4">
        <v>42901</v>
      </c>
      <c r="F1512" s="4"/>
      <c r="G1512" s="3" t="s">
        <v>29</v>
      </c>
      <c r="H1512" s="5">
        <v>55380</v>
      </c>
      <c r="I1512" s="3" t="str">
        <f>VLOOKUP(Tabela1[[#This Row],[Advogado]],Tabela2[],2,FALSE)</f>
        <v>Renê Amaranto</v>
      </c>
      <c r="J1512" s="17">
        <f>IF(Tabela1[[#This Row],[Data de conclusão]]="",NETWORKDAYS(Tabela1[[#This Row],[Data de entrada]],$J$2),NETWORKDAYS(Tabela1[[#This Row],[Data de entrada]],Tabela1[[#This Row],[Data de conclusão]]))</f>
        <v>239</v>
      </c>
      <c r="K1512" s="1"/>
    </row>
    <row r="1513" spans="2:11" x14ac:dyDescent="0.25">
      <c r="B1513" s="3">
        <v>1620</v>
      </c>
      <c r="C1513" s="3" t="s">
        <v>7</v>
      </c>
      <c r="D1513" s="3" t="s">
        <v>15</v>
      </c>
      <c r="E1513" s="4">
        <v>42449</v>
      </c>
      <c r="F1513" s="4"/>
      <c r="G1513" s="3" t="s">
        <v>29</v>
      </c>
      <c r="H1513" s="5">
        <v>19505</v>
      </c>
      <c r="I1513" s="3" t="str">
        <f>VLOOKUP(Tabela1[[#This Row],[Advogado]],Tabela2[],2,FALSE)</f>
        <v>Renê Amaranto</v>
      </c>
      <c r="J1513" s="17">
        <f>IF(Tabela1[[#This Row],[Data de conclusão]]="",NETWORKDAYS(Tabela1[[#This Row],[Data de entrada]],$J$2),NETWORKDAYS(Tabela1[[#This Row],[Data de entrada]],Tabela1[[#This Row],[Data de conclusão]]))</f>
        <v>562</v>
      </c>
      <c r="K1513" s="1"/>
    </row>
    <row r="1514" spans="2:11" x14ac:dyDescent="0.25">
      <c r="B1514" s="3">
        <v>1621</v>
      </c>
      <c r="C1514" s="3" t="s">
        <v>8</v>
      </c>
      <c r="D1514" s="3" t="s">
        <v>16</v>
      </c>
      <c r="E1514" s="4">
        <v>43043</v>
      </c>
      <c r="F1514" s="4"/>
      <c r="G1514" s="3" t="s">
        <v>29</v>
      </c>
      <c r="H1514" s="5">
        <v>12252</v>
      </c>
      <c r="I1514" s="3" t="str">
        <f>VLOOKUP(Tabela1[[#This Row],[Advogado]],Tabela2[],2,FALSE)</f>
        <v>Renê Amaranto</v>
      </c>
      <c r="J1514" s="17">
        <f>IF(Tabela1[[#This Row],[Data de conclusão]]="",NETWORKDAYS(Tabela1[[#This Row],[Data de entrada]],$J$2),NETWORKDAYS(Tabela1[[#This Row],[Data de entrada]],Tabela1[[#This Row],[Data de conclusão]]))</f>
        <v>137</v>
      </c>
      <c r="K1514" s="1"/>
    </row>
    <row r="1515" spans="2:11" x14ac:dyDescent="0.25">
      <c r="B1515" s="3">
        <v>1622</v>
      </c>
      <c r="C1515" s="3" t="s">
        <v>9</v>
      </c>
      <c r="D1515" s="3" t="s">
        <v>17</v>
      </c>
      <c r="E1515" s="4">
        <v>42741</v>
      </c>
      <c r="F1515" s="4"/>
      <c r="G1515" s="3" t="s">
        <v>29</v>
      </c>
      <c r="H1515" s="5">
        <v>3732</v>
      </c>
      <c r="I1515" s="3" t="str">
        <f>VLOOKUP(Tabela1[[#This Row],[Advogado]],Tabela2[],2,FALSE)</f>
        <v>Renê Amaranto</v>
      </c>
      <c r="J1515" s="17">
        <f>IF(Tabela1[[#This Row],[Data de conclusão]]="",NETWORKDAYS(Tabela1[[#This Row],[Data de entrada]],$J$2),NETWORKDAYS(Tabela1[[#This Row],[Data de entrada]],Tabela1[[#This Row],[Data de conclusão]]))</f>
        <v>353</v>
      </c>
      <c r="K1515" s="1"/>
    </row>
    <row r="1516" spans="2:11" x14ac:dyDescent="0.25">
      <c r="B1516" s="3">
        <v>1623</v>
      </c>
      <c r="C1516" s="3" t="s">
        <v>7</v>
      </c>
      <c r="D1516" s="3" t="s">
        <v>10</v>
      </c>
      <c r="E1516" s="4">
        <v>42604</v>
      </c>
      <c r="F1516" s="4"/>
      <c r="G1516" s="3" t="s">
        <v>29</v>
      </c>
      <c r="H1516" s="5">
        <v>19247</v>
      </c>
      <c r="I1516" s="3" t="str">
        <f>VLOOKUP(Tabela1[[#This Row],[Advogado]],Tabela2[],2,FALSE)</f>
        <v>Caio Brito</v>
      </c>
      <c r="J1516" s="17">
        <f>IF(Tabela1[[#This Row],[Data de conclusão]]="",NETWORKDAYS(Tabela1[[#This Row],[Data de entrada]],$J$2),NETWORKDAYS(Tabela1[[#This Row],[Data de entrada]],Tabela1[[#This Row],[Data de conclusão]]))</f>
        <v>452</v>
      </c>
      <c r="K1516" s="1"/>
    </row>
    <row r="1517" spans="2:11" x14ac:dyDescent="0.25">
      <c r="B1517" s="3">
        <v>1624</v>
      </c>
      <c r="C1517" s="3" t="s">
        <v>8</v>
      </c>
      <c r="D1517" s="3" t="s">
        <v>11</v>
      </c>
      <c r="E1517" s="4">
        <v>42946</v>
      </c>
      <c r="F1517" s="4"/>
      <c r="G1517" s="3" t="s">
        <v>29</v>
      </c>
      <c r="H1517" s="5">
        <v>23868</v>
      </c>
      <c r="I1517" s="3" t="str">
        <f>VLOOKUP(Tabela1[[#This Row],[Advogado]],Tabela2[],2,FALSE)</f>
        <v>Caio Brito</v>
      </c>
      <c r="J1517" s="17">
        <f>IF(Tabela1[[#This Row],[Data de conclusão]]="",NETWORKDAYS(Tabela1[[#This Row],[Data de entrada]],$J$2),NETWORKDAYS(Tabela1[[#This Row],[Data de entrada]],Tabela1[[#This Row],[Data de conclusão]]))</f>
        <v>207</v>
      </c>
      <c r="K1517" s="1"/>
    </row>
    <row r="1518" spans="2:11" x14ac:dyDescent="0.25">
      <c r="B1518" s="3">
        <v>1625</v>
      </c>
      <c r="C1518" s="3" t="s">
        <v>9</v>
      </c>
      <c r="D1518" s="3" t="s">
        <v>12</v>
      </c>
      <c r="E1518" s="4">
        <v>42395</v>
      </c>
      <c r="F1518" s="4"/>
      <c r="G1518" s="3" t="s">
        <v>29</v>
      </c>
      <c r="H1518" s="5">
        <v>53854</v>
      </c>
      <c r="I1518" s="3" t="str">
        <f>VLOOKUP(Tabela1[[#This Row],[Advogado]],Tabela2[],2,FALSE)</f>
        <v>Caio Brito</v>
      </c>
      <c r="J1518" s="17">
        <f>IF(Tabela1[[#This Row],[Data de conclusão]]="",NETWORKDAYS(Tabela1[[#This Row],[Data de entrada]],$J$2),NETWORKDAYS(Tabela1[[#This Row],[Data de entrada]],Tabela1[[#This Row],[Data de conclusão]]))</f>
        <v>601</v>
      </c>
      <c r="K1518" s="1"/>
    </row>
    <row r="1519" spans="2:11" x14ac:dyDescent="0.25">
      <c r="B1519" s="3">
        <v>1626</v>
      </c>
      <c r="C1519" s="3" t="s">
        <v>7</v>
      </c>
      <c r="D1519" s="3" t="s">
        <v>13</v>
      </c>
      <c r="E1519" s="4">
        <v>43094</v>
      </c>
      <c r="F1519" s="4"/>
      <c r="G1519" s="3" t="s">
        <v>29</v>
      </c>
      <c r="H1519" s="5">
        <v>53244</v>
      </c>
      <c r="I1519" s="3" t="str">
        <f>VLOOKUP(Tabela1[[#This Row],[Advogado]],Tabela2[],2,FALSE)</f>
        <v>Caio Brito</v>
      </c>
      <c r="J1519" s="17">
        <f>IF(Tabela1[[#This Row],[Data de conclusão]]="",NETWORKDAYS(Tabela1[[#This Row],[Data de entrada]],$J$2),NETWORKDAYS(Tabela1[[#This Row],[Data de entrada]],Tabela1[[#This Row],[Data de conclusão]]))</f>
        <v>102</v>
      </c>
      <c r="K1519" s="1"/>
    </row>
    <row r="1520" spans="2:11" x14ac:dyDescent="0.25">
      <c r="B1520" s="3">
        <v>1627</v>
      </c>
      <c r="C1520" s="3" t="s">
        <v>8</v>
      </c>
      <c r="D1520" s="3" t="s">
        <v>14</v>
      </c>
      <c r="E1520" s="4">
        <v>43022</v>
      </c>
      <c r="F1520" s="4"/>
      <c r="G1520" s="3" t="s">
        <v>29</v>
      </c>
      <c r="H1520" s="5">
        <v>27245</v>
      </c>
      <c r="I1520" s="3" t="str">
        <f>VLOOKUP(Tabela1[[#This Row],[Advogado]],Tabela2[],2,FALSE)</f>
        <v>Renê Amaranto</v>
      </c>
      <c r="J1520" s="17">
        <f>IF(Tabela1[[#This Row],[Data de conclusão]]="",NETWORKDAYS(Tabela1[[#This Row],[Data de entrada]],$J$2),NETWORKDAYS(Tabela1[[#This Row],[Data de entrada]],Tabela1[[#This Row],[Data de conclusão]]))</f>
        <v>152</v>
      </c>
      <c r="K1520" s="1"/>
    </row>
    <row r="1521" spans="2:11" x14ac:dyDescent="0.25">
      <c r="B1521" s="3">
        <v>1628</v>
      </c>
      <c r="C1521" s="3" t="s">
        <v>9</v>
      </c>
      <c r="D1521" s="3" t="s">
        <v>15</v>
      </c>
      <c r="E1521" s="4">
        <v>42851</v>
      </c>
      <c r="F1521" s="4"/>
      <c r="G1521" s="3" t="s">
        <v>29</v>
      </c>
      <c r="H1521" s="5">
        <v>45817</v>
      </c>
      <c r="I1521" s="3" t="str">
        <f>VLOOKUP(Tabela1[[#This Row],[Advogado]],Tabela2[],2,FALSE)</f>
        <v>Renê Amaranto</v>
      </c>
      <c r="J1521" s="17">
        <f>IF(Tabela1[[#This Row],[Data de conclusão]]="",NETWORKDAYS(Tabela1[[#This Row],[Data de entrada]],$J$2),NETWORKDAYS(Tabela1[[#This Row],[Data de entrada]],Tabela1[[#This Row],[Data de conclusão]]))</f>
        <v>275</v>
      </c>
      <c r="K1521" s="1"/>
    </row>
    <row r="1522" spans="2:11" x14ac:dyDescent="0.25">
      <c r="B1522" s="3">
        <v>1629</v>
      </c>
      <c r="C1522" s="3" t="s">
        <v>7</v>
      </c>
      <c r="D1522" s="3" t="s">
        <v>16</v>
      </c>
      <c r="E1522" s="4">
        <v>42728</v>
      </c>
      <c r="F1522" s="4"/>
      <c r="G1522" s="3" t="s">
        <v>29</v>
      </c>
      <c r="H1522" s="5">
        <v>8716</v>
      </c>
      <c r="I1522" s="3" t="str">
        <f>VLOOKUP(Tabela1[[#This Row],[Advogado]],Tabela2[],2,FALSE)</f>
        <v>Renê Amaranto</v>
      </c>
      <c r="J1522" s="17">
        <f>IF(Tabela1[[#This Row],[Data de conclusão]]="",NETWORKDAYS(Tabela1[[#This Row],[Data de entrada]],$J$2),NETWORKDAYS(Tabela1[[#This Row],[Data de entrada]],Tabela1[[#This Row],[Data de conclusão]]))</f>
        <v>362</v>
      </c>
      <c r="K1522" s="1"/>
    </row>
    <row r="1523" spans="2:11" x14ac:dyDescent="0.25">
      <c r="B1523" s="3">
        <v>1630</v>
      </c>
      <c r="C1523" s="3" t="s">
        <v>8</v>
      </c>
      <c r="D1523" s="3" t="s">
        <v>17</v>
      </c>
      <c r="E1523" s="4">
        <v>42593</v>
      </c>
      <c r="F1523" s="4">
        <v>42662</v>
      </c>
      <c r="G1523" s="3" t="s">
        <v>28</v>
      </c>
      <c r="H1523" s="5">
        <v>20564</v>
      </c>
      <c r="I1523" s="3" t="str">
        <f>VLOOKUP(Tabela1[[#This Row],[Advogado]],Tabela2[],2,FALSE)</f>
        <v>Renê Amaranto</v>
      </c>
      <c r="J1523" s="17">
        <f>IF(Tabela1[[#This Row],[Data de conclusão]]="",NETWORKDAYS(Tabela1[[#This Row],[Data de entrada]],$J$2),NETWORKDAYS(Tabela1[[#This Row],[Data de entrada]],Tabela1[[#This Row],[Data de conclusão]]))</f>
        <v>50</v>
      </c>
      <c r="K1523" s="1"/>
    </row>
    <row r="1524" spans="2:11" x14ac:dyDescent="0.25">
      <c r="B1524" s="3">
        <v>1631</v>
      </c>
      <c r="C1524" s="3" t="s">
        <v>9</v>
      </c>
      <c r="D1524" s="3" t="s">
        <v>10</v>
      </c>
      <c r="E1524" s="4">
        <v>42388</v>
      </c>
      <c r="F1524" s="4"/>
      <c r="G1524" s="3" t="s">
        <v>27</v>
      </c>
      <c r="H1524" s="5">
        <v>56944</v>
      </c>
      <c r="I1524" s="3" t="str">
        <f>VLOOKUP(Tabela1[[#This Row],[Advogado]],Tabela2[],2,FALSE)</f>
        <v>Caio Brito</v>
      </c>
      <c r="J1524" s="17">
        <f>IF(Tabela1[[#This Row],[Data de conclusão]]="",NETWORKDAYS(Tabela1[[#This Row],[Data de entrada]],$J$2),NETWORKDAYS(Tabela1[[#This Row],[Data de entrada]],Tabela1[[#This Row],[Data de conclusão]]))</f>
        <v>606</v>
      </c>
      <c r="K1524" s="1"/>
    </row>
    <row r="1525" spans="2:11" x14ac:dyDescent="0.25">
      <c r="B1525" s="3">
        <v>1632</v>
      </c>
      <c r="C1525" s="3" t="s">
        <v>7</v>
      </c>
      <c r="D1525" s="3" t="s">
        <v>11</v>
      </c>
      <c r="E1525" s="4">
        <v>42651</v>
      </c>
      <c r="F1525" s="4"/>
      <c r="G1525" s="3" t="s">
        <v>29</v>
      </c>
      <c r="H1525" s="5">
        <v>56871</v>
      </c>
      <c r="I1525" s="3" t="str">
        <f>VLOOKUP(Tabela1[[#This Row],[Advogado]],Tabela2[],2,FALSE)</f>
        <v>Caio Brito</v>
      </c>
      <c r="J1525" s="17">
        <f>IF(Tabela1[[#This Row],[Data de conclusão]]="",NETWORKDAYS(Tabela1[[#This Row],[Data de entrada]],$J$2),NETWORKDAYS(Tabela1[[#This Row],[Data de entrada]],Tabela1[[#This Row],[Data de conclusão]]))</f>
        <v>417</v>
      </c>
      <c r="K1525" s="1"/>
    </row>
    <row r="1526" spans="2:11" x14ac:dyDescent="0.25">
      <c r="B1526" s="3">
        <v>1633</v>
      </c>
      <c r="C1526" s="3" t="s">
        <v>8</v>
      </c>
      <c r="D1526" s="3" t="s">
        <v>12</v>
      </c>
      <c r="E1526" s="4">
        <v>42854</v>
      </c>
      <c r="F1526" s="4"/>
      <c r="G1526" s="3" t="s">
        <v>29</v>
      </c>
      <c r="H1526" s="5">
        <v>15475</v>
      </c>
      <c r="I1526" s="3" t="str">
        <f>VLOOKUP(Tabela1[[#This Row],[Advogado]],Tabela2[],2,FALSE)</f>
        <v>Caio Brito</v>
      </c>
      <c r="J1526" s="17">
        <f>IF(Tabela1[[#This Row],[Data de conclusão]]="",NETWORKDAYS(Tabela1[[#This Row],[Data de entrada]],$J$2),NETWORKDAYS(Tabela1[[#This Row],[Data de entrada]],Tabela1[[#This Row],[Data de conclusão]]))</f>
        <v>272</v>
      </c>
      <c r="K1526" s="1"/>
    </row>
    <row r="1527" spans="2:11" x14ac:dyDescent="0.25">
      <c r="B1527" s="3">
        <v>1634</v>
      </c>
      <c r="C1527" s="3" t="s">
        <v>9</v>
      </c>
      <c r="D1527" s="3" t="s">
        <v>13</v>
      </c>
      <c r="E1527" s="4">
        <v>42875</v>
      </c>
      <c r="F1527" s="4"/>
      <c r="G1527" s="3" t="s">
        <v>29</v>
      </c>
      <c r="H1527" s="5">
        <v>7017</v>
      </c>
      <c r="I1527" s="3" t="str">
        <f>VLOOKUP(Tabela1[[#This Row],[Advogado]],Tabela2[],2,FALSE)</f>
        <v>Caio Brito</v>
      </c>
      <c r="J1527" s="17">
        <f>IF(Tabela1[[#This Row],[Data de conclusão]]="",NETWORKDAYS(Tabela1[[#This Row],[Data de entrada]],$J$2),NETWORKDAYS(Tabela1[[#This Row],[Data de entrada]],Tabela1[[#This Row],[Data de conclusão]]))</f>
        <v>257</v>
      </c>
      <c r="K1527" s="1"/>
    </row>
    <row r="1528" spans="2:11" x14ac:dyDescent="0.25">
      <c r="B1528" s="3">
        <v>1635</v>
      </c>
      <c r="C1528" s="3" t="s">
        <v>7</v>
      </c>
      <c r="D1528" s="3" t="s">
        <v>14</v>
      </c>
      <c r="E1528" s="4">
        <v>42869</v>
      </c>
      <c r="F1528" s="4"/>
      <c r="G1528" s="3" t="s">
        <v>29</v>
      </c>
      <c r="H1528" s="5">
        <v>48088</v>
      </c>
      <c r="I1528" s="3" t="str">
        <f>VLOOKUP(Tabela1[[#This Row],[Advogado]],Tabela2[],2,FALSE)</f>
        <v>Renê Amaranto</v>
      </c>
      <c r="J1528" s="17">
        <f>IF(Tabela1[[#This Row],[Data de conclusão]]="",NETWORKDAYS(Tabela1[[#This Row],[Data de entrada]],$J$2),NETWORKDAYS(Tabela1[[#This Row],[Data de entrada]],Tabela1[[#This Row],[Data de conclusão]]))</f>
        <v>262</v>
      </c>
      <c r="K1528" s="1"/>
    </row>
    <row r="1529" spans="2:11" x14ac:dyDescent="0.25">
      <c r="B1529" s="3">
        <v>1636</v>
      </c>
      <c r="C1529" s="3" t="s">
        <v>8</v>
      </c>
      <c r="D1529" s="3" t="s">
        <v>15</v>
      </c>
      <c r="E1529" s="4">
        <v>42817</v>
      </c>
      <c r="F1529" s="4"/>
      <c r="G1529" s="3" t="s">
        <v>29</v>
      </c>
      <c r="H1529" s="5">
        <v>36733</v>
      </c>
      <c r="I1529" s="3" t="str">
        <f>VLOOKUP(Tabela1[[#This Row],[Advogado]],Tabela2[],2,FALSE)</f>
        <v>Renê Amaranto</v>
      </c>
      <c r="J1529" s="17">
        <f>IF(Tabela1[[#This Row],[Data de conclusão]]="",NETWORKDAYS(Tabela1[[#This Row],[Data de entrada]],$J$2),NETWORKDAYS(Tabela1[[#This Row],[Data de entrada]],Tabela1[[#This Row],[Data de conclusão]]))</f>
        <v>299</v>
      </c>
      <c r="K1529" s="1"/>
    </row>
    <row r="1530" spans="2:11" x14ac:dyDescent="0.25">
      <c r="B1530" s="3">
        <v>1637</v>
      </c>
      <c r="C1530" s="3" t="s">
        <v>9</v>
      </c>
      <c r="D1530" s="3" t="s">
        <v>16</v>
      </c>
      <c r="E1530" s="4">
        <v>42463</v>
      </c>
      <c r="F1530" s="4"/>
      <c r="G1530" s="3" t="s">
        <v>29</v>
      </c>
      <c r="H1530" s="5">
        <v>49986</v>
      </c>
      <c r="I1530" s="3" t="str">
        <f>VLOOKUP(Tabela1[[#This Row],[Advogado]],Tabela2[],2,FALSE)</f>
        <v>Renê Amaranto</v>
      </c>
      <c r="J1530" s="17">
        <f>IF(Tabela1[[#This Row],[Data de conclusão]]="",NETWORKDAYS(Tabela1[[#This Row],[Data de entrada]],$J$2),NETWORKDAYS(Tabela1[[#This Row],[Data de entrada]],Tabela1[[#This Row],[Data de conclusão]]))</f>
        <v>552</v>
      </c>
      <c r="K1530" s="1"/>
    </row>
    <row r="1531" spans="2:11" x14ac:dyDescent="0.25">
      <c r="B1531" s="3">
        <v>1638</v>
      </c>
      <c r="C1531" s="3" t="s">
        <v>7</v>
      </c>
      <c r="D1531" s="3" t="s">
        <v>17</v>
      </c>
      <c r="E1531" s="4">
        <v>42766</v>
      </c>
      <c r="F1531" s="4"/>
      <c r="G1531" s="3" t="s">
        <v>29</v>
      </c>
      <c r="H1531" s="5">
        <v>34148</v>
      </c>
      <c r="I1531" s="3" t="str">
        <f>VLOOKUP(Tabela1[[#This Row],[Advogado]],Tabela2[],2,FALSE)</f>
        <v>Renê Amaranto</v>
      </c>
      <c r="J1531" s="17">
        <f>IF(Tabela1[[#This Row],[Data de conclusão]]="",NETWORKDAYS(Tabela1[[#This Row],[Data de entrada]],$J$2),NETWORKDAYS(Tabela1[[#This Row],[Data de entrada]],Tabela1[[#This Row],[Data de conclusão]]))</f>
        <v>336</v>
      </c>
      <c r="K1531" s="1"/>
    </row>
    <row r="1532" spans="2:11" x14ac:dyDescent="0.25">
      <c r="B1532" s="3">
        <v>1639</v>
      </c>
      <c r="C1532" s="3" t="s">
        <v>8</v>
      </c>
      <c r="D1532" s="3" t="s">
        <v>10</v>
      </c>
      <c r="E1532" s="4">
        <v>42742</v>
      </c>
      <c r="F1532" s="4"/>
      <c r="G1532" s="3" t="s">
        <v>29</v>
      </c>
      <c r="H1532" s="5">
        <v>7730</v>
      </c>
      <c r="I1532" s="3" t="str">
        <f>VLOOKUP(Tabela1[[#This Row],[Advogado]],Tabela2[],2,FALSE)</f>
        <v>Caio Brito</v>
      </c>
      <c r="J1532" s="17">
        <f>IF(Tabela1[[#This Row],[Data de conclusão]]="",NETWORKDAYS(Tabela1[[#This Row],[Data de entrada]],$J$2),NETWORKDAYS(Tabela1[[#This Row],[Data de entrada]],Tabela1[[#This Row],[Data de conclusão]]))</f>
        <v>352</v>
      </c>
      <c r="K1532" s="1"/>
    </row>
    <row r="1533" spans="2:11" x14ac:dyDescent="0.25">
      <c r="B1533" s="3">
        <v>1640</v>
      </c>
      <c r="C1533" s="3" t="s">
        <v>9</v>
      </c>
      <c r="D1533" s="3" t="s">
        <v>11</v>
      </c>
      <c r="E1533" s="4">
        <v>42628</v>
      </c>
      <c r="F1533" s="4"/>
      <c r="G1533" s="3" t="s">
        <v>29</v>
      </c>
      <c r="H1533" s="5">
        <v>40161</v>
      </c>
      <c r="I1533" s="3" t="str">
        <f>VLOOKUP(Tabela1[[#This Row],[Advogado]],Tabela2[],2,FALSE)</f>
        <v>Caio Brito</v>
      </c>
      <c r="J1533" s="17">
        <f>IF(Tabela1[[#This Row],[Data de conclusão]]="",NETWORKDAYS(Tabela1[[#This Row],[Data de entrada]],$J$2),NETWORKDAYS(Tabela1[[#This Row],[Data de entrada]],Tabela1[[#This Row],[Data de conclusão]]))</f>
        <v>434</v>
      </c>
      <c r="K1533" s="1"/>
    </row>
    <row r="1534" spans="2:11" x14ac:dyDescent="0.25">
      <c r="B1534" s="3">
        <v>1641</v>
      </c>
      <c r="C1534" s="3" t="s">
        <v>7</v>
      </c>
      <c r="D1534" s="3" t="s">
        <v>12</v>
      </c>
      <c r="E1534" s="4">
        <v>43098</v>
      </c>
      <c r="F1534" s="4"/>
      <c r="G1534" s="3" t="s">
        <v>29</v>
      </c>
      <c r="H1534" s="5">
        <v>34179</v>
      </c>
      <c r="I1534" s="3" t="str">
        <f>VLOOKUP(Tabela1[[#This Row],[Advogado]],Tabela2[],2,FALSE)</f>
        <v>Caio Brito</v>
      </c>
      <c r="J1534" s="17">
        <f>IF(Tabela1[[#This Row],[Data de conclusão]]="",NETWORKDAYS(Tabela1[[#This Row],[Data de entrada]],$J$2),NETWORKDAYS(Tabela1[[#This Row],[Data de entrada]],Tabela1[[#This Row],[Data de conclusão]]))</f>
        <v>98</v>
      </c>
      <c r="K1534" s="1"/>
    </row>
    <row r="1535" spans="2:11" x14ac:dyDescent="0.25">
      <c r="B1535" s="3">
        <v>1642</v>
      </c>
      <c r="C1535" s="3" t="s">
        <v>8</v>
      </c>
      <c r="D1535" s="3" t="s">
        <v>13</v>
      </c>
      <c r="E1535" s="4">
        <v>42828</v>
      </c>
      <c r="F1535" s="4"/>
      <c r="G1535" s="3" t="s">
        <v>29</v>
      </c>
      <c r="H1535" s="5">
        <v>33815</v>
      </c>
      <c r="I1535" s="3" t="str">
        <f>VLOOKUP(Tabela1[[#This Row],[Advogado]],Tabela2[],2,FALSE)</f>
        <v>Caio Brito</v>
      </c>
      <c r="J1535" s="17">
        <f>IF(Tabela1[[#This Row],[Data de conclusão]]="",NETWORKDAYS(Tabela1[[#This Row],[Data de entrada]],$J$2),NETWORKDAYS(Tabela1[[#This Row],[Data de entrada]],Tabela1[[#This Row],[Data de conclusão]]))</f>
        <v>292</v>
      </c>
      <c r="K1535" s="1"/>
    </row>
    <row r="1536" spans="2:11" x14ac:dyDescent="0.25">
      <c r="B1536" s="3">
        <v>1643</v>
      </c>
      <c r="C1536" s="3" t="s">
        <v>9</v>
      </c>
      <c r="D1536" s="3" t="s">
        <v>14</v>
      </c>
      <c r="E1536" s="4">
        <v>42656</v>
      </c>
      <c r="F1536" s="4">
        <v>42747</v>
      </c>
      <c r="G1536" s="3" t="s">
        <v>28</v>
      </c>
      <c r="H1536" s="5">
        <v>31922</v>
      </c>
      <c r="I1536" s="3" t="str">
        <f>VLOOKUP(Tabela1[[#This Row],[Advogado]],Tabela2[],2,FALSE)</f>
        <v>Renê Amaranto</v>
      </c>
      <c r="J1536" s="17">
        <f>IF(Tabela1[[#This Row],[Data de conclusão]]="",NETWORKDAYS(Tabela1[[#This Row],[Data de entrada]],$J$2),NETWORKDAYS(Tabela1[[#This Row],[Data de entrada]],Tabela1[[#This Row],[Data de conclusão]]))</f>
        <v>66</v>
      </c>
      <c r="K1536" s="1"/>
    </row>
    <row r="1537" spans="2:11" x14ac:dyDescent="0.25">
      <c r="B1537" s="3">
        <v>1644</v>
      </c>
      <c r="C1537" s="3" t="s">
        <v>7</v>
      </c>
      <c r="D1537" s="3" t="s">
        <v>15</v>
      </c>
      <c r="E1537" s="4">
        <v>42468</v>
      </c>
      <c r="F1537" s="4"/>
      <c r="G1537" s="3" t="s">
        <v>27</v>
      </c>
      <c r="H1537" s="5">
        <v>41599</v>
      </c>
      <c r="I1537" s="3" t="str">
        <f>VLOOKUP(Tabela1[[#This Row],[Advogado]],Tabela2[],2,FALSE)</f>
        <v>Renê Amaranto</v>
      </c>
      <c r="J1537" s="17">
        <f>IF(Tabela1[[#This Row],[Data de conclusão]]="",NETWORKDAYS(Tabela1[[#This Row],[Data de entrada]],$J$2),NETWORKDAYS(Tabela1[[#This Row],[Data de entrada]],Tabela1[[#This Row],[Data de conclusão]]))</f>
        <v>548</v>
      </c>
      <c r="K1537" s="1"/>
    </row>
    <row r="1538" spans="2:11" x14ac:dyDescent="0.25">
      <c r="B1538" s="3">
        <v>1645</v>
      </c>
      <c r="C1538" s="3" t="s">
        <v>8</v>
      </c>
      <c r="D1538" s="3" t="s">
        <v>16</v>
      </c>
      <c r="E1538" s="4">
        <v>42935</v>
      </c>
      <c r="F1538" s="4"/>
      <c r="G1538" s="3" t="s">
        <v>29</v>
      </c>
      <c r="H1538" s="5">
        <v>16191</v>
      </c>
      <c r="I1538" s="3" t="str">
        <f>VLOOKUP(Tabela1[[#This Row],[Advogado]],Tabela2[],2,FALSE)</f>
        <v>Renê Amaranto</v>
      </c>
      <c r="J1538" s="17">
        <f>IF(Tabela1[[#This Row],[Data de conclusão]]="",NETWORKDAYS(Tabela1[[#This Row],[Data de entrada]],$J$2),NETWORKDAYS(Tabela1[[#This Row],[Data de entrada]],Tabela1[[#This Row],[Data de conclusão]]))</f>
        <v>215</v>
      </c>
      <c r="K1538" s="1"/>
    </row>
    <row r="1539" spans="2:11" x14ac:dyDescent="0.25">
      <c r="B1539" s="3">
        <v>1646</v>
      </c>
      <c r="C1539" s="3" t="s">
        <v>9</v>
      </c>
      <c r="D1539" s="3" t="s">
        <v>17</v>
      </c>
      <c r="E1539" s="4">
        <v>42761</v>
      </c>
      <c r="F1539" s="4"/>
      <c r="G1539" s="3" t="s">
        <v>29</v>
      </c>
      <c r="H1539" s="5">
        <v>38985</v>
      </c>
      <c r="I1539" s="3" t="str">
        <f>VLOOKUP(Tabela1[[#This Row],[Advogado]],Tabela2[],2,FALSE)</f>
        <v>Renê Amaranto</v>
      </c>
      <c r="J1539" s="17">
        <f>IF(Tabela1[[#This Row],[Data de conclusão]]="",NETWORKDAYS(Tabela1[[#This Row],[Data de entrada]],$J$2),NETWORKDAYS(Tabela1[[#This Row],[Data de entrada]],Tabela1[[#This Row],[Data de conclusão]]))</f>
        <v>339</v>
      </c>
      <c r="K1539" s="1"/>
    </row>
    <row r="1540" spans="2:11" x14ac:dyDescent="0.25">
      <c r="B1540" s="3">
        <v>1647</v>
      </c>
      <c r="C1540" s="3" t="s">
        <v>7</v>
      </c>
      <c r="D1540" s="3" t="s">
        <v>10</v>
      </c>
      <c r="E1540" s="4">
        <v>42989</v>
      </c>
      <c r="F1540" s="4"/>
      <c r="G1540" s="3" t="s">
        <v>29</v>
      </c>
      <c r="H1540" s="5">
        <v>21839</v>
      </c>
      <c r="I1540" s="3" t="str">
        <f>VLOOKUP(Tabela1[[#This Row],[Advogado]],Tabela2[],2,FALSE)</f>
        <v>Caio Brito</v>
      </c>
      <c r="J1540" s="17">
        <f>IF(Tabela1[[#This Row],[Data de conclusão]]="",NETWORKDAYS(Tabela1[[#This Row],[Data de entrada]],$J$2),NETWORKDAYS(Tabela1[[#This Row],[Data de entrada]],Tabela1[[#This Row],[Data de conclusão]]))</f>
        <v>177</v>
      </c>
      <c r="K1540" s="1"/>
    </row>
    <row r="1541" spans="2:11" x14ac:dyDescent="0.25">
      <c r="B1541" s="3">
        <v>1648</v>
      </c>
      <c r="C1541" s="3" t="s">
        <v>8</v>
      </c>
      <c r="D1541" s="3" t="s">
        <v>11</v>
      </c>
      <c r="E1541" s="4">
        <v>42510</v>
      </c>
      <c r="F1541" s="4"/>
      <c r="G1541" s="3" t="s">
        <v>29</v>
      </c>
      <c r="H1541" s="5">
        <v>47107</v>
      </c>
      <c r="I1541" s="3" t="str">
        <f>VLOOKUP(Tabela1[[#This Row],[Advogado]],Tabela2[],2,FALSE)</f>
        <v>Caio Brito</v>
      </c>
      <c r="J1541" s="17">
        <f>IF(Tabela1[[#This Row],[Data de conclusão]]="",NETWORKDAYS(Tabela1[[#This Row],[Data de entrada]],$J$2),NETWORKDAYS(Tabela1[[#This Row],[Data de entrada]],Tabela1[[#This Row],[Data de conclusão]]))</f>
        <v>518</v>
      </c>
      <c r="K1541" s="1"/>
    </row>
    <row r="1542" spans="2:11" x14ac:dyDescent="0.25">
      <c r="B1542" s="3">
        <v>1649</v>
      </c>
      <c r="C1542" s="3" t="s">
        <v>9</v>
      </c>
      <c r="D1542" s="3" t="s">
        <v>12</v>
      </c>
      <c r="E1542" s="4">
        <v>42762</v>
      </c>
      <c r="F1542" s="4"/>
      <c r="G1542" s="3" t="s">
        <v>29</v>
      </c>
      <c r="H1542" s="5">
        <v>43615</v>
      </c>
      <c r="I1542" s="3" t="str">
        <f>VLOOKUP(Tabela1[[#This Row],[Advogado]],Tabela2[],2,FALSE)</f>
        <v>Caio Brito</v>
      </c>
      <c r="J1542" s="17">
        <f>IF(Tabela1[[#This Row],[Data de conclusão]]="",NETWORKDAYS(Tabela1[[#This Row],[Data de entrada]],$J$2),NETWORKDAYS(Tabela1[[#This Row],[Data de entrada]],Tabela1[[#This Row],[Data de conclusão]]))</f>
        <v>338</v>
      </c>
      <c r="K1542" s="1"/>
    </row>
    <row r="1543" spans="2:11" x14ac:dyDescent="0.25">
      <c r="B1543" s="3">
        <v>1650</v>
      </c>
      <c r="C1543" s="3" t="s">
        <v>7</v>
      </c>
      <c r="D1543" s="3" t="s">
        <v>13</v>
      </c>
      <c r="E1543" s="4">
        <v>42565</v>
      </c>
      <c r="F1543" s="4"/>
      <c r="G1543" s="3" t="s">
        <v>29</v>
      </c>
      <c r="H1543" s="5">
        <v>40688</v>
      </c>
      <c r="I1543" s="3" t="str">
        <f>VLOOKUP(Tabela1[[#This Row],[Advogado]],Tabela2[],2,FALSE)</f>
        <v>Caio Brito</v>
      </c>
      <c r="J1543" s="17">
        <f>IF(Tabela1[[#This Row],[Data de conclusão]]="",NETWORKDAYS(Tabela1[[#This Row],[Data de entrada]],$J$2),NETWORKDAYS(Tabela1[[#This Row],[Data de entrada]],Tabela1[[#This Row],[Data de conclusão]]))</f>
        <v>479</v>
      </c>
      <c r="K1543" s="1"/>
    </row>
    <row r="1544" spans="2:11" x14ac:dyDescent="0.25">
      <c r="B1544" s="3">
        <v>1651</v>
      </c>
      <c r="C1544" s="3" t="s">
        <v>8</v>
      </c>
      <c r="D1544" s="3" t="s">
        <v>14</v>
      </c>
      <c r="E1544" s="4">
        <v>42655</v>
      </c>
      <c r="F1544" s="4"/>
      <c r="G1544" s="3" t="s">
        <v>29</v>
      </c>
      <c r="H1544" s="5">
        <v>14585</v>
      </c>
      <c r="I1544" s="3" t="str">
        <f>VLOOKUP(Tabela1[[#This Row],[Advogado]],Tabela2[],2,FALSE)</f>
        <v>Renê Amaranto</v>
      </c>
      <c r="J1544" s="17">
        <f>IF(Tabela1[[#This Row],[Data de conclusão]]="",NETWORKDAYS(Tabela1[[#This Row],[Data de entrada]],$J$2),NETWORKDAYS(Tabela1[[#This Row],[Data de entrada]],Tabela1[[#This Row],[Data de conclusão]]))</f>
        <v>415</v>
      </c>
      <c r="K1544" s="1"/>
    </row>
    <row r="1545" spans="2:11" x14ac:dyDescent="0.25">
      <c r="B1545" s="3">
        <v>1652</v>
      </c>
      <c r="C1545" s="3" t="s">
        <v>9</v>
      </c>
      <c r="D1545" s="3" t="s">
        <v>15</v>
      </c>
      <c r="E1545" s="4">
        <v>42566</v>
      </c>
      <c r="F1545" s="4"/>
      <c r="G1545" s="3" t="s">
        <v>29</v>
      </c>
      <c r="H1545" s="5">
        <v>3304</v>
      </c>
      <c r="I1545" s="3" t="str">
        <f>VLOOKUP(Tabela1[[#This Row],[Advogado]],Tabela2[],2,FALSE)</f>
        <v>Renê Amaranto</v>
      </c>
      <c r="J1545" s="17">
        <f>IF(Tabela1[[#This Row],[Data de conclusão]]="",NETWORKDAYS(Tabela1[[#This Row],[Data de entrada]],$J$2),NETWORKDAYS(Tabela1[[#This Row],[Data de entrada]],Tabela1[[#This Row],[Data de conclusão]]))</f>
        <v>478</v>
      </c>
      <c r="K1545" s="1"/>
    </row>
    <row r="1546" spans="2:11" x14ac:dyDescent="0.25">
      <c r="B1546" s="3">
        <v>1653</v>
      </c>
      <c r="C1546" s="3" t="s">
        <v>7</v>
      </c>
      <c r="D1546" s="3" t="s">
        <v>16</v>
      </c>
      <c r="E1546" s="4">
        <v>42960</v>
      </c>
      <c r="F1546" s="4"/>
      <c r="G1546" s="3" t="s">
        <v>29</v>
      </c>
      <c r="H1546" s="5">
        <v>51578</v>
      </c>
      <c r="I1546" s="3" t="str">
        <f>VLOOKUP(Tabela1[[#This Row],[Advogado]],Tabela2[],2,FALSE)</f>
        <v>Renê Amaranto</v>
      </c>
      <c r="J1546" s="17">
        <f>IF(Tabela1[[#This Row],[Data de conclusão]]="",NETWORKDAYS(Tabela1[[#This Row],[Data de entrada]],$J$2),NETWORKDAYS(Tabela1[[#This Row],[Data de entrada]],Tabela1[[#This Row],[Data de conclusão]]))</f>
        <v>197</v>
      </c>
      <c r="K1546" s="1"/>
    </row>
    <row r="1547" spans="2:11" x14ac:dyDescent="0.25">
      <c r="B1547" s="3">
        <v>1654</v>
      </c>
      <c r="C1547" s="3" t="s">
        <v>8</v>
      </c>
      <c r="D1547" s="3" t="s">
        <v>17</v>
      </c>
      <c r="E1547" s="4">
        <v>42559</v>
      </c>
      <c r="F1547" s="4"/>
      <c r="G1547" s="3" t="s">
        <v>29</v>
      </c>
      <c r="H1547" s="5">
        <v>59854</v>
      </c>
      <c r="I1547" s="3" t="str">
        <f>VLOOKUP(Tabela1[[#This Row],[Advogado]],Tabela2[],2,FALSE)</f>
        <v>Renê Amaranto</v>
      </c>
      <c r="J1547" s="17">
        <f>IF(Tabela1[[#This Row],[Data de conclusão]]="",NETWORKDAYS(Tabela1[[#This Row],[Data de entrada]],$J$2),NETWORKDAYS(Tabela1[[#This Row],[Data de entrada]],Tabela1[[#This Row],[Data de conclusão]]))</f>
        <v>483</v>
      </c>
      <c r="K1547" s="1"/>
    </row>
    <row r="1548" spans="2:11" x14ac:dyDescent="0.25">
      <c r="B1548" s="3">
        <v>1655</v>
      </c>
      <c r="C1548" s="3" t="s">
        <v>9</v>
      </c>
      <c r="D1548" s="3" t="s">
        <v>10</v>
      </c>
      <c r="E1548" s="4">
        <v>42597</v>
      </c>
      <c r="F1548" s="4"/>
      <c r="G1548" s="3" t="s">
        <v>29</v>
      </c>
      <c r="H1548" s="5">
        <v>34884</v>
      </c>
      <c r="I1548" s="3" t="str">
        <f>VLOOKUP(Tabela1[[#This Row],[Advogado]],Tabela2[],2,FALSE)</f>
        <v>Caio Brito</v>
      </c>
      <c r="J1548" s="17">
        <f>IF(Tabela1[[#This Row],[Data de conclusão]]="",NETWORKDAYS(Tabela1[[#This Row],[Data de entrada]],$J$2),NETWORKDAYS(Tabela1[[#This Row],[Data de entrada]],Tabela1[[#This Row],[Data de conclusão]]))</f>
        <v>457</v>
      </c>
      <c r="K1548" s="1"/>
    </row>
    <row r="1549" spans="2:11" x14ac:dyDescent="0.25">
      <c r="B1549" s="3">
        <v>1656</v>
      </c>
      <c r="C1549" s="3" t="s">
        <v>7</v>
      </c>
      <c r="D1549" s="3" t="s">
        <v>11</v>
      </c>
      <c r="E1549" s="4">
        <v>43013</v>
      </c>
      <c r="F1549" s="4">
        <v>43102</v>
      </c>
      <c r="G1549" s="3" t="s">
        <v>28</v>
      </c>
      <c r="H1549" s="5">
        <v>24085</v>
      </c>
      <c r="I1549" s="3" t="str">
        <f>VLOOKUP(Tabela1[[#This Row],[Advogado]],Tabela2[],2,FALSE)</f>
        <v>Caio Brito</v>
      </c>
      <c r="J1549" s="17">
        <f>IF(Tabela1[[#This Row],[Data de conclusão]]="",NETWORKDAYS(Tabela1[[#This Row],[Data de entrada]],$J$2),NETWORKDAYS(Tabela1[[#This Row],[Data de entrada]],Tabela1[[#This Row],[Data de conclusão]]))</f>
        <v>64</v>
      </c>
      <c r="K1549" s="1"/>
    </row>
    <row r="1550" spans="2:11" x14ac:dyDescent="0.25">
      <c r="B1550" s="3">
        <v>1657</v>
      </c>
      <c r="C1550" s="3" t="s">
        <v>8</v>
      </c>
      <c r="D1550" s="3" t="s">
        <v>12</v>
      </c>
      <c r="E1550" s="4">
        <v>42993</v>
      </c>
      <c r="F1550" s="4"/>
      <c r="G1550" s="3" t="s">
        <v>27</v>
      </c>
      <c r="H1550" s="5">
        <v>18360</v>
      </c>
      <c r="I1550" s="3" t="str">
        <f>VLOOKUP(Tabela1[[#This Row],[Advogado]],Tabela2[],2,FALSE)</f>
        <v>Caio Brito</v>
      </c>
      <c r="J1550" s="17">
        <f>IF(Tabela1[[#This Row],[Data de conclusão]]="",NETWORKDAYS(Tabela1[[#This Row],[Data de entrada]],$J$2),NETWORKDAYS(Tabela1[[#This Row],[Data de entrada]],Tabela1[[#This Row],[Data de conclusão]]))</f>
        <v>173</v>
      </c>
      <c r="K1550" s="1"/>
    </row>
    <row r="1551" spans="2:11" x14ac:dyDescent="0.25">
      <c r="B1551" s="3">
        <v>1658</v>
      </c>
      <c r="C1551" s="3" t="s">
        <v>9</v>
      </c>
      <c r="D1551" s="3" t="s">
        <v>13</v>
      </c>
      <c r="E1551" s="4">
        <v>42804</v>
      </c>
      <c r="F1551" s="4"/>
      <c r="G1551" s="3" t="s">
        <v>29</v>
      </c>
      <c r="H1551" s="5">
        <v>56432</v>
      </c>
      <c r="I1551" s="3" t="str">
        <f>VLOOKUP(Tabela1[[#This Row],[Advogado]],Tabela2[],2,FALSE)</f>
        <v>Caio Brito</v>
      </c>
      <c r="J1551" s="17">
        <f>IF(Tabela1[[#This Row],[Data de conclusão]]="",NETWORKDAYS(Tabela1[[#This Row],[Data de entrada]],$J$2),NETWORKDAYS(Tabela1[[#This Row],[Data de entrada]],Tabela1[[#This Row],[Data de conclusão]]))</f>
        <v>308</v>
      </c>
      <c r="K1551" s="1"/>
    </row>
    <row r="1552" spans="2:11" x14ac:dyDescent="0.25">
      <c r="B1552" s="3">
        <v>1659</v>
      </c>
      <c r="C1552" s="3" t="s">
        <v>7</v>
      </c>
      <c r="D1552" s="3" t="s">
        <v>14</v>
      </c>
      <c r="E1552" s="4">
        <v>42441</v>
      </c>
      <c r="F1552" s="4"/>
      <c r="G1552" s="3" t="s">
        <v>29</v>
      </c>
      <c r="H1552" s="5">
        <v>5730</v>
      </c>
      <c r="I1552" s="3" t="str">
        <f>VLOOKUP(Tabela1[[#This Row],[Advogado]],Tabela2[],2,FALSE)</f>
        <v>Renê Amaranto</v>
      </c>
      <c r="J1552" s="17">
        <f>IF(Tabela1[[#This Row],[Data de conclusão]]="",NETWORKDAYS(Tabela1[[#This Row],[Data de entrada]],$J$2),NETWORKDAYS(Tabela1[[#This Row],[Data de entrada]],Tabela1[[#This Row],[Data de conclusão]]))</f>
        <v>567</v>
      </c>
      <c r="K1552" s="1"/>
    </row>
    <row r="1553" spans="2:11" x14ac:dyDescent="0.25">
      <c r="B1553" s="3">
        <v>1660</v>
      </c>
      <c r="C1553" s="3" t="s">
        <v>8</v>
      </c>
      <c r="D1553" s="3" t="s">
        <v>15</v>
      </c>
      <c r="E1553" s="4">
        <v>42698</v>
      </c>
      <c r="F1553" s="4"/>
      <c r="G1553" s="3" t="s">
        <v>29</v>
      </c>
      <c r="H1553" s="5">
        <v>5774</v>
      </c>
      <c r="I1553" s="3" t="str">
        <f>VLOOKUP(Tabela1[[#This Row],[Advogado]],Tabela2[],2,FALSE)</f>
        <v>Renê Amaranto</v>
      </c>
      <c r="J1553" s="17">
        <f>IF(Tabela1[[#This Row],[Data de conclusão]]="",NETWORKDAYS(Tabela1[[#This Row],[Data de entrada]],$J$2),NETWORKDAYS(Tabela1[[#This Row],[Data de entrada]],Tabela1[[#This Row],[Data de conclusão]]))</f>
        <v>384</v>
      </c>
      <c r="K1553" s="1"/>
    </row>
    <row r="1554" spans="2:11" x14ac:dyDescent="0.25">
      <c r="B1554" s="3">
        <v>1661</v>
      </c>
      <c r="C1554" s="3" t="s">
        <v>9</v>
      </c>
      <c r="D1554" s="3" t="s">
        <v>16</v>
      </c>
      <c r="E1554" s="4">
        <v>42450</v>
      </c>
      <c r="F1554" s="4"/>
      <c r="G1554" s="3" t="s">
        <v>29</v>
      </c>
      <c r="H1554" s="5">
        <v>21476</v>
      </c>
      <c r="I1554" s="3" t="str">
        <f>VLOOKUP(Tabela1[[#This Row],[Advogado]],Tabela2[],2,FALSE)</f>
        <v>Renê Amaranto</v>
      </c>
      <c r="J1554" s="17">
        <f>IF(Tabela1[[#This Row],[Data de conclusão]]="",NETWORKDAYS(Tabela1[[#This Row],[Data de entrada]],$J$2),NETWORKDAYS(Tabela1[[#This Row],[Data de entrada]],Tabela1[[#This Row],[Data de conclusão]]))</f>
        <v>562</v>
      </c>
      <c r="K1554" s="1"/>
    </row>
    <row r="1555" spans="2:11" x14ac:dyDescent="0.25">
      <c r="B1555" s="3">
        <v>1662</v>
      </c>
      <c r="C1555" s="3" t="s">
        <v>7</v>
      </c>
      <c r="D1555" s="3" t="s">
        <v>17</v>
      </c>
      <c r="E1555" s="4">
        <v>42420</v>
      </c>
      <c r="F1555" s="4"/>
      <c r="G1555" s="3" t="s">
        <v>29</v>
      </c>
      <c r="H1555" s="5">
        <v>58048</v>
      </c>
      <c r="I1555" s="3" t="str">
        <f>VLOOKUP(Tabela1[[#This Row],[Advogado]],Tabela2[],2,FALSE)</f>
        <v>Renê Amaranto</v>
      </c>
      <c r="J1555" s="17">
        <f>IF(Tabela1[[#This Row],[Data de conclusão]]="",NETWORKDAYS(Tabela1[[#This Row],[Data de entrada]],$J$2),NETWORKDAYS(Tabela1[[#This Row],[Data de entrada]],Tabela1[[#This Row],[Data de conclusão]]))</f>
        <v>582</v>
      </c>
      <c r="K1555" s="1"/>
    </row>
    <row r="1556" spans="2:11" x14ac:dyDescent="0.25">
      <c r="B1556" s="3">
        <v>1663</v>
      </c>
      <c r="C1556" s="3" t="s">
        <v>8</v>
      </c>
      <c r="D1556" s="3" t="s">
        <v>10</v>
      </c>
      <c r="E1556" s="4">
        <v>42550</v>
      </c>
      <c r="F1556" s="4"/>
      <c r="G1556" s="3" t="s">
        <v>29</v>
      </c>
      <c r="H1556" s="5">
        <v>55965</v>
      </c>
      <c r="I1556" s="3" t="str">
        <f>VLOOKUP(Tabela1[[#This Row],[Advogado]],Tabela2[],2,FALSE)</f>
        <v>Caio Brito</v>
      </c>
      <c r="J1556" s="17">
        <f>IF(Tabela1[[#This Row],[Data de conclusão]]="",NETWORKDAYS(Tabela1[[#This Row],[Data de entrada]],$J$2),NETWORKDAYS(Tabela1[[#This Row],[Data de entrada]],Tabela1[[#This Row],[Data de conclusão]]))</f>
        <v>490</v>
      </c>
      <c r="K1556" s="1"/>
    </row>
    <row r="1557" spans="2:11" x14ac:dyDescent="0.25">
      <c r="B1557" s="3">
        <v>1664</v>
      </c>
      <c r="C1557" s="3" t="s">
        <v>9</v>
      </c>
      <c r="D1557" s="3" t="s">
        <v>11</v>
      </c>
      <c r="E1557" s="4">
        <v>42428</v>
      </c>
      <c r="F1557" s="4"/>
      <c r="G1557" s="3" t="s">
        <v>29</v>
      </c>
      <c r="H1557" s="5">
        <v>59270</v>
      </c>
      <c r="I1557" s="3" t="str">
        <f>VLOOKUP(Tabela1[[#This Row],[Advogado]],Tabela2[],2,FALSE)</f>
        <v>Caio Brito</v>
      </c>
      <c r="J1557" s="17">
        <f>IF(Tabela1[[#This Row],[Data de conclusão]]="",NETWORKDAYS(Tabela1[[#This Row],[Data de entrada]],$J$2),NETWORKDAYS(Tabela1[[#This Row],[Data de entrada]],Tabela1[[#This Row],[Data de conclusão]]))</f>
        <v>577</v>
      </c>
      <c r="K1557" s="1"/>
    </row>
    <row r="1558" spans="2:11" x14ac:dyDescent="0.25">
      <c r="B1558" s="3">
        <v>1665</v>
      </c>
      <c r="C1558" s="3" t="s">
        <v>7</v>
      </c>
      <c r="D1558" s="3" t="s">
        <v>12</v>
      </c>
      <c r="E1558" s="4">
        <v>42465</v>
      </c>
      <c r="F1558" s="4"/>
      <c r="G1558" s="3" t="s">
        <v>29</v>
      </c>
      <c r="H1558" s="5">
        <v>7668</v>
      </c>
      <c r="I1558" s="3" t="str">
        <f>VLOOKUP(Tabela1[[#This Row],[Advogado]],Tabela2[],2,FALSE)</f>
        <v>Caio Brito</v>
      </c>
      <c r="J1558" s="17">
        <f>IF(Tabela1[[#This Row],[Data de conclusão]]="",NETWORKDAYS(Tabela1[[#This Row],[Data de entrada]],$J$2),NETWORKDAYS(Tabela1[[#This Row],[Data de entrada]],Tabela1[[#This Row],[Data de conclusão]]))</f>
        <v>551</v>
      </c>
      <c r="K1558" s="1"/>
    </row>
    <row r="1559" spans="2:11" x14ac:dyDescent="0.25">
      <c r="B1559" s="3">
        <v>1666</v>
      </c>
      <c r="C1559" s="3" t="s">
        <v>8</v>
      </c>
      <c r="D1559" s="3" t="s">
        <v>13</v>
      </c>
      <c r="E1559" s="4">
        <v>42667</v>
      </c>
      <c r="F1559" s="4"/>
      <c r="G1559" s="3" t="s">
        <v>29</v>
      </c>
      <c r="H1559" s="5">
        <v>59683</v>
      </c>
      <c r="I1559" s="3" t="str">
        <f>VLOOKUP(Tabela1[[#This Row],[Advogado]],Tabela2[],2,FALSE)</f>
        <v>Caio Brito</v>
      </c>
      <c r="J1559" s="17">
        <f>IF(Tabela1[[#This Row],[Data de conclusão]]="",NETWORKDAYS(Tabela1[[#This Row],[Data de entrada]],$J$2),NETWORKDAYS(Tabela1[[#This Row],[Data de entrada]],Tabela1[[#This Row],[Data de conclusão]]))</f>
        <v>407</v>
      </c>
      <c r="K1559" s="1"/>
    </row>
    <row r="1560" spans="2:11" x14ac:dyDescent="0.25">
      <c r="B1560" s="3">
        <v>1667</v>
      </c>
      <c r="C1560" s="3" t="s">
        <v>9</v>
      </c>
      <c r="D1560" s="3" t="s">
        <v>14</v>
      </c>
      <c r="E1560" s="4">
        <v>42455</v>
      </c>
      <c r="F1560" s="4"/>
      <c r="G1560" s="3" t="s">
        <v>29</v>
      </c>
      <c r="H1560" s="5">
        <v>30209</v>
      </c>
      <c r="I1560" s="3" t="str">
        <f>VLOOKUP(Tabela1[[#This Row],[Advogado]],Tabela2[],2,FALSE)</f>
        <v>Renê Amaranto</v>
      </c>
      <c r="J1560" s="17">
        <f>IF(Tabela1[[#This Row],[Data de conclusão]]="",NETWORKDAYS(Tabela1[[#This Row],[Data de entrada]],$J$2),NETWORKDAYS(Tabela1[[#This Row],[Data de entrada]],Tabela1[[#This Row],[Data de conclusão]]))</f>
        <v>557</v>
      </c>
      <c r="K1560" s="1"/>
    </row>
    <row r="1561" spans="2:11" x14ac:dyDescent="0.25">
      <c r="B1561" s="3">
        <v>1668</v>
      </c>
      <c r="C1561" s="3" t="s">
        <v>7</v>
      </c>
      <c r="D1561" s="3" t="s">
        <v>15</v>
      </c>
      <c r="E1561" s="4">
        <v>42736</v>
      </c>
      <c r="F1561" s="4"/>
      <c r="G1561" s="3" t="s">
        <v>29</v>
      </c>
      <c r="H1561" s="5">
        <v>1482</v>
      </c>
      <c r="I1561" s="3" t="str">
        <f>VLOOKUP(Tabela1[[#This Row],[Advogado]],Tabela2[],2,FALSE)</f>
        <v>Renê Amaranto</v>
      </c>
      <c r="J1561" s="17">
        <f>IF(Tabela1[[#This Row],[Data de conclusão]]="",NETWORKDAYS(Tabela1[[#This Row],[Data de entrada]],$J$2),NETWORKDAYS(Tabela1[[#This Row],[Data de entrada]],Tabela1[[#This Row],[Data de conclusão]]))</f>
        <v>357</v>
      </c>
      <c r="K1561" s="1"/>
    </row>
    <row r="1562" spans="2:11" x14ac:dyDescent="0.25">
      <c r="B1562" s="3">
        <v>1669</v>
      </c>
      <c r="C1562" s="3" t="s">
        <v>8</v>
      </c>
      <c r="D1562" s="3" t="s">
        <v>16</v>
      </c>
      <c r="E1562" s="4">
        <v>42508</v>
      </c>
      <c r="F1562" s="4">
        <v>42592</v>
      </c>
      <c r="G1562" s="3" t="s">
        <v>28</v>
      </c>
      <c r="H1562" s="5">
        <v>26467</v>
      </c>
      <c r="I1562" s="3" t="str">
        <f>VLOOKUP(Tabela1[[#This Row],[Advogado]],Tabela2[],2,FALSE)</f>
        <v>Renê Amaranto</v>
      </c>
      <c r="J1562" s="17">
        <f>IF(Tabela1[[#This Row],[Data de conclusão]]="",NETWORKDAYS(Tabela1[[#This Row],[Data de entrada]],$J$2),NETWORKDAYS(Tabela1[[#This Row],[Data de entrada]],Tabela1[[#This Row],[Data de conclusão]]))</f>
        <v>61</v>
      </c>
      <c r="K1562" s="1"/>
    </row>
    <row r="1563" spans="2:11" x14ac:dyDescent="0.25">
      <c r="B1563" s="3">
        <v>1670</v>
      </c>
      <c r="C1563" s="3" t="s">
        <v>9</v>
      </c>
      <c r="D1563" s="3" t="s">
        <v>17</v>
      </c>
      <c r="E1563" s="4">
        <v>42952</v>
      </c>
      <c r="F1563" s="4"/>
      <c r="G1563" s="3" t="s">
        <v>27</v>
      </c>
      <c r="H1563" s="5">
        <v>30363</v>
      </c>
      <c r="I1563" s="3" t="str">
        <f>VLOOKUP(Tabela1[[#This Row],[Advogado]],Tabela2[],2,FALSE)</f>
        <v>Renê Amaranto</v>
      </c>
      <c r="J1563" s="17">
        <f>IF(Tabela1[[#This Row],[Data de conclusão]]="",NETWORKDAYS(Tabela1[[#This Row],[Data de entrada]],$J$2),NETWORKDAYS(Tabela1[[#This Row],[Data de entrada]],Tabela1[[#This Row],[Data de conclusão]]))</f>
        <v>202</v>
      </c>
      <c r="K1563" s="1"/>
    </row>
    <row r="1564" spans="2:11" x14ac:dyDescent="0.25">
      <c r="B1564" s="3">
        <v>1671</v>
      </c>
      <c r="C1564" s="3" t="s">
        <v>7</v>
      </c>
      <c r="D1564" s="3" t="s">
        <v>10</v>
      </c>
      <c r="E1564" s="4">
        <v>42797</v>
      </c>
      <c r="F1564" s="4"/>
      <c r="G1564" s="3" t="s">
        <v>29</v>
      </c>
      <c r="H1564" s="5">
        <v>7979</v>
      </c>
      <c r="I1564" s="3" t="str">
        <f>VLOOKUP(Tabela1[[#This Row],[Advogado]],Tabela2[],2,FALSE)</f>
        <v>Caio Brito</v>
      </c>
      <c r="J1564" s="17">
        <f>IF(Tabela1[[#This Row],[Data de conclusão]]="",NETWORKDAYS(Tabela1[[#This Row],[Data de entrada]],$J$2),NETWORKDAYS(Tabela1[[#This Row],[Data de entrada]],Tabela1[[#This Row],[Data de conclusão]]))</f>
        <v>313</v>
      </c>
      <c r="K1564" s="1"/>
    </row>
    <row r="1565" spans="2:11" x14ac:dyDescent="0.25">
      <c r="B1565" s="3">
        <v>1672</v>
      </c>
      <c r="C1565" s="3" t="s">
        <v>8</v>
      </c>
      <c r="D1565" s="3" t="s">
        <v>11</v>
      </c>
      <c r="E1565" s="4">
        <v>42730</v>
      </c>
      <c r="F1565" s="4"/>
      <c r="G1565" s="3" t="s">
        <v>29</v>
      </c>
      <c r="H1565" s="5">
        <v>37242</v>
      </c>
      <c r="I1565" s="3" t="str">
        <f>VLOOKUP(Tabela1[[#This Row],[Advogado]],Tabela2[],2,FALSE)</f>
        <v>Caio Brito</v>
      </c>
      <c r="J1565" s="17">
        <f>IF(Tabela1[[#This Row],[Data de conclusão]]="",NETWORKDAYS(Tabela1[[#This Row],[Data de entrada]],$J$2),NETWORKDAYS(Tabela1[[#This Row],[Data de entrada]],Tabela1[[#This Row],[Data de conclusão]]))</f>
        <v>362</v>
      </c>
      <c r="K1565" s="1"/>
    </row>
    <row r="1566" spans="2:11" x14ac:dyDescent="0.25">
      <c r="B1566" s="3">
        <v>1673</v>
      </c>
      <c r="C1566" s="3" t="s">
        <v>9</v>
      </c>
      <c r="D1566" s="3" t="s">
        <v>12</v>
      </c>
      <c r="E1566" s="4">
        <v>42655</v>
      </c>
      <c r="F1566" s="4"/>
      <c r="G1566" s="3" t="s">
        <v>29</v>
      </c>
      <c r="H1566" s="5">
        <v>9267</v>
      </c>
      <c r="I1566" s="3" t="str">
        <f>VLOOKUP(Tabela1[[#This Row],[Advogado]],Tabela2[],2,FALSE)</f>
        <v>Caio Brito</v>
      </c>
      <c r="J1566" s="17">
        <f>IF(Tabela1[[#This Row],[Data de conclusão]]="",NETWORKDAYS(Tabela1[[#This Row],[Data de entrada]],$J$2),NETWORKDAYS(Tabela1[[#This Row],[Data de entrada]],Tabela1[[#This Row],[Data de conclusão]]))</f>
        <v>415</v>
      </c>
      <c r="K1566" s="1"/>
    </row>
    <row r="1567" spans="2:11" x14ac:dyDescent="0.25">
      <c r="B1567" s="3">
        <v>1674</v>
      </c>
      <c r="C1567" s="3" t="s">
        <v>7</v>
      </c>
      <c r="D1567" s="3" t="s">
        <v>13</v>
      </c>
      <c r="E1567" s="4">
        <v>42519</v>
      </c>
      <c r="F1567" s="4"/>
      <c r="G1567" s="3" t="s">
        <v>29</v>
      </c>
      <c r="H1567" s="5">
        <v>51656</v>
      </c>
      <c r="I1567" s="3" t="str">
        <f>VLOOKUP(Tabela1[[#This Row],[Advogado]],Tabela2[],2,FALSE)</f>
        <v>Caio Brito</v>
      </c>
      <c r="J1567" s="17">
        <f>IF(Tabela1[[#This Row],[Data de conclusão]]="",NETWORKDAYS(Tabela1[[#This Row],[Data de entrada]],$J$2),NETWORKDAYS(Tabela1[[#This Row],[Data de entrada]],Tabela1[[#This Row],[Data de conclusão]]))</f>
        <v>512</v>
      </c>
      <c r="K1567" s="1"/>
    </row>
    <row r="1568" spans="2:11" x14ac:dyDescent="0.25">
      <c r="B1568" s="3">
        <v>1675</v>
      </c>
      <c r="C1568" s="3" t="s">
        <v>8</v>
      </c>
      <c r="D1568" s="3" t="s">
        <v>14</v>
      </c>
      <c r="E1568" s="4">
        <v>42386</v>
      </c>
      <c r="F1568" s="4"/>
      <c r="G1568" s="3" t="s">
        <v>29</v>
      </c>
      <c r="H1568" s="5">
        <v>35588</v>
      </c>
      <c r="I1568" s="3" t="str">
        <f>VLOOKUP(Tabela1[[#This Row],[Advogado]],Tabela2[],2,FALSE)</f>
        <v>Renê Amaranto</v>
      </c>
      <c r="J1568" s="17">
        <f>IF(Tabela1[[#This Row],[Data de conclusão]]="",NETWORKDAYS(Tabela1[[#This Row],[Data de entrada]],$J$2),NETWORKDAYS(Tabela1[[#This Row],[Data de entrada]],Tabela1[[#This Row],[Data de conclusão]]))</f>
        <v>607</v>
      </c>
      <c r="K1568" s="1"/>
    </row>
    <row r="1569" spans="2:11" x14ac:dyDescent="0.25">
      <c r="B1569" s="3">
        <v>1676</v>
      </c>
      <c r="C1569" s="3" t="s">
        <v>9</v>
      </c>
      <c r="D1569" s="3" t="s">
        <v>15</v>
      </c>
      <c r="E1569" s="4">
        <v>42922</v>
      </c>
      <c r="F1569" s="4"/>
      <c r="G1569" s="3" t="s">
        <v>29</v>
      </c>
      <c r="H1569" s="5">
        <v>46236</v>
      </c>
      <c r="I1569" s="3" t="str">
        <f>VLOOKUP(Tabela1[[#This Row],[Advogado]],Tabela2[],2,FALSE)</f>
        <v>Renê Amaranto</v>
      </c>
      <c r="J1569" s="17">
        <f>IF(Tabela1[[#This Row],[Data de conclusão]]="",NETWORKDAYS(Tabela1[[#This Row],[Data de entrada]],$J$2),NETWORKDAYS(Tabela1[[#This Row],[Data de entrada]],Tabela1[[#This Row],[Data de conclusão]]))</f>
        <v>224</v>
      </c>
      <c r="K1569" s="1"/>
    </row>
    <row r="1570" spans="2:11" x14ac:dyDescent="0.25">
      <c r="B1570" s="3">
        <v>1677</v>
      </c>
      <c r="C1570" s="3" t="s">
        <v>7</v>
      </c>
      <c r="D1570" s="3" t="s">
        <v>16</v>
      </c>
      <c r="E1570" s="4">
        <v>42484</v>
      </c>
      <c r="F1570" s="4"/>
      <c r="G1570" s="3" t="s">
        <v>29</v>
      </c>
      <c r="H1570" s="5">
        <v>9589</v>
      </c>
      <c r="I1570" s="3" t="str">
        <f>VLOOKUP(Tabela1[[#This Row],[Advogado]],Tabela2[],2,FALSE)</f>
        <v>Renê Amaranto</v>
      </c>
      <c r="J1570" s="17">
        <f>IF(Tabela1[[#This Row],[Data de conclusão]]="",NETWORKDAYS(Tabela1[[#This Row],[Data de entrada]],$J$2),NETWORKDAYS(Tabela1[[#This Row],[Data de entrada]],Tabela1[[#This Row],[Data de conclusão]]))</f>
        <v>537</v>
      </c>
      <c r="K1570" s="1"/>
    </row>
    <row r="1571" spans="2:11" x14ac:dyDescent="0.25">
      <c r="B1571" s="3">
        <v>1678</v>
      </c>
      <c r="C1571" s="3" t="s">
        <v>8</v>
      </c>
      <c r="D1571" s="3" t="s">
        <v>17</v>
      </c>
      <c r="E1571" s="4">
        <v>42595</v>
      </c>
      <c r="F1571" s="4"/>
      <c r="G1571" s="3" t="s">
        <v>29</v>
      </c>
      <c r="H1571" s="5">
        <v>16162</v>
      </c>
      <c r="I1571" s="3" t="str">
        <f>VLOOKUP(Tabela1[[#This Row],[Advogado]],Tabela2[],2,FALSE)</f>
        <v>Renê Amaranto</v>
      </c>
      <c r="J1571" s="17">
        <f>IF(Tabela1[[#This Row],[Data de conclusão]]="",NETWORKDAYS(Tabela1[[#This Row],[Data de entrada]],$J$2),NETWORKDAYS(Tabela1[[#This Row],[Data de entrada]],Tabela1[[#This Row],[Data de conclusão]]))</f>
        <v>457</v>
      </c>
      <c r="K1571" s="1"/>
    </row>
    <row r="1572" spans="2:11" x14ac:dyDescent="0.25">
      <c r="B1572" s="3">
        <v>1679</v>
      </c>
      <c r="C1572" s="3" t="s">
        <v>9</v>
      </c>
      <c r="D1572" s="3" t="s">
        <v>10</v>
      </c>
      <c r="E1572" s="4">
        <v>43034</v>
      </c>
      <c r="F1572" s="4"/>
      <c r="G1572" s="3" t="s">
        <v>29</v>
      </c>
      <c r="H1572" s="5">
        <v>59927</v>
      </c>
      <c r="I1572" s="3" t="str">
        <f>VLOOKUP(Tabela1[[#This Row],[Advogado]],Tabela2[],2,FALSE)</f>
        <v>Caio Brito</v>
      </c>
      <c r="J1572" s="17">
        <f>IF(Tabela1[[#This Row],[Data de conclusão]]="",NETWORKDAYS(Tabela1[[#This Row],[Data de entrada]],$J$2),NETWORKDAYS(Tabela1[[#This Row],[Data de entrada]],Tabela1[[#This Row],[Data de conclusão]]))</f>
        <v>144</v>
      </c>
      <c r="K1572" s="1"/>
    </row>
    <row r="1573" spans="2:11" x14ac:dyDescent="0.25">
      <c r="B1573" s="3">
        <v>1680</v>
      </c>
      <c r="C1573" s="3" t="s">
        <v>7</v>
      </c>
      <c r="D1573" s="3" t="s">
        <v>11</v>
      </c>
      <c r="E1573" s="4">
        <v>42915</v>
      </c>
      <c r="F1573" s="4"/>
      <c r="G1573" s="3" t="s">
        <v>29</v>
      </c>
      <c r="H1573" s="5">
        <v>9906</v>
      </c>
      <c r="I1573" s="3" t="str">
        <f>VLOOKUP(Tabela1[[#This Row],[Advogado]],Tabela2[],2,FALSE)</f>
        <v>Caio Brito</v>
      </c>
      <c r="J1573" s="17">
        <f>IF(Tabela1[[#This Row],[Data de conclusão]]="",NETWORKDAYS(Tabela1[[#This Row],[Data de entrada]],$J$2),NETWORKDAYS(Tabela1[[#This Row],[Data de entrada]],Tabela1[[#This Row],[Data de conclusão]]))</f>
        <v>229</v>
      </c>
      <c r="K1573" s="1"/>
    </row>
    <row r="1574" spans="2:11" x14ac:dyDescent="0.25">
      <c r="B1574" s="3">
        <v>1681</v>
      </c>
      <c r="C1574" s="3" t="s">
        <v>8</v>
      </c>
      <c r="D1574" s="3" t="s">
        <v>12</v>
      </c>
      <c r="E1574" s="4">
        <v>43027</v>
      </c>
      <c r="F1574" s="4"/>
      <c r="G1574" s="3" t="s">
        <v>29</v>
      </c>
      <c r="H1574" s="5">
        <v>31614</v>
      </c>
      <c r="I1574" s="3" t="str">
        <f>VLOOKUP(Tabela1[[#This Row],[Advogado]],Tabela2[],2,FALSE)</f>
        <v>Caio Brito</v>
      </c>
      <c r="J1574" s="17">
        <f>IF(Tabela1[[#This Row],[Data de conclusão]]="",NETWORKDAYS(Tabela1[[#This Row],[Data de entrada]],$J$2),NETWORKDAYS(Tabela1[[#This Row],[Data de entrada]],Tabela1[[#This Row],[Data de conclusão]]))</f>
        <v>149</v>
      </c>
      <c r="K1574" s="1"/>
    </row>
    <row r="1575" spans="2:11" x14ac:dyDescent="0.25">
      <c r="B1575" s="3">
        <v>1682</v>
      </c>
      <c r="C1575" s="3" t="s">
        <v>9</v>
      </c>
      <c r="D1575" s="3" t="s">
        <v>13</v>
      </c>
      <c r="E1575" s="4">
        <v>42706</v>
      </c>
      <c r="F1575" s="4">
        <v>42816</v>
      </c>
      <c r="G1575" s="3" t="s">
        <v>28</v>
      </c>
      <c r="H1575" s="5">
        <v>29016</v>
      </c>
      <c r="I1575" s="3" t="str">
        <f>VLOOKUP(Tabela1[[#This Row],[Advogado]],Tabela2[],2,FALSE)</f>
        <v>Caio Brito</v>
      </c>
      <c r="J1575" s="17">
        <f>IF(Tabela1[[#This Row],[Data de conclusão]]="",NETWORKDAYS(Tabela1[[#This Row],[Data de entrada]],$J$2),NETWORKDAYS(Tabela1[[#This Row],[Data de entrada]],Tabela1[[#This Row],[Data de conclusão]]))</f>
        <v>79</v>
      </c>
      <c r="K1575" s="1"/>
    </row>
    <row r="1576" spans="2:11" x14ac:dyDescent="0.25">
      <c r="B1576" s="3">
        <v>1683</v>
      </c>
      <c r="C1576" s="3" t="s">
        <v>7</v>
      </c>
      <c r="D1576" s="3" t="s">
        <v>14</v>
      </c>
      <c r="E1576" s="4">
        <v>42579</v>
      </c>
      <c r="F1576" s="4"/>
      <c r="G1576" s="3" t="s">
        <v>27</v>
      </c>
      <c r="H1576" s="5">
        <v>46261</v>
      </c>
      <c r="I1576" s="3" t="str">
        <f>VLOOKUP(Tabela1[[#This Row],[Advogado]],Tabela2[],2,FALSE)</f>
        <v>Renê Amaranto</v>
      </c>
      <c r="J1576" s="17">
        <f>IF(Tabela1[[#This Row],[Data de conclusão]]="",NETWORKDAYS(Tabela1[[#This Row],[Data de entrada]],$J$2),NETWORKDAYS(Tabela1[[#This Row],[Data de entrada]],Tabela1[[#This Row],[Data de conclusão]]))</f>
        <v>469</v>
      </c>
      <c r="K1576" s="1"/>
    </row>
    <row r="1577" spans="2:11" x14ac:dyDescent="0.25">
      <c r="B1577" s="3">
        <v>1684</v>
      </c>
      <c r="C1577" s="3" t="s">
        <v>8</v>
      </c>
      <c r="D1577" s="3" t="s">
        <v>15</v>
      </c>
      <c r="E1577" s="4">
        <v>42503</v>
      </c>
      <c r="F1577" s="4"/>
      <c r="G1577" s="3" t="s">
        <v>29</v>
      </c>
      <c r="H1577" s="5">
        <v>41817</v>
      </c>
      <c r="I1577" s="3" t="str">
        <f>VLOOKUP(Tabela1[[#This Row],[Advogado]],Tabela2[],2,FALSE)</f>
        <v>Renê Amaranto</v>
      </c>
      <c r="J1577" s="17">
        <f>IF(Tabela1[[#This Row],[Data de conclusão]]="",NETWORKDAYS(Tabela1[[#This Row],[Data de entrada]],$J$2),NETWORKDAYS(Tabela1[[#This Row],[Data de entrada]],Tabela1[[#This Row],[Data de conclusão]]))</f>
        <v>523</v>
      </c>
      <c r="K1577" s="1"/>
    </row>
    <row r="1578" spans="2:11" x14ac:dyDescent="0.25">
      <c r="B1578" s="3">
        <v>1685</v>
      </c>
      <c r="C1578" s="3" t="s">
        <v>9</v>
      </c>
      <c r="D1578" s="3" t="s">
        <v>16</v>
      </c>
      <c r="E1578" s="4">
        <v>42453</v>
      </c>
      <c r="F1578" s="4"/>
      <c r="G1578" s="3" t="s">
        <v>29</v>
      </c>
      <c r="H1578" s="5">
        <v>6751</v>
      </c>
      <c r="I1578" s="3" t="str">
        <f>VLOOKUP(Tabela1[[#This Row],[Advogado]],Tabela2[],2,FALSE)</f>
        <v>Renê Amaranto</v>
      </c>
      <c r="J1578" s="17">
        <f>IF(Tabela1[[#This Row],[Data de conclusão]]="",NETWORKDAYS(Tabela1[[#This Row],[Data de entrada]],$J$2),NETWORKDAYS(Tabela1[[#This Row],[Data de entrada]],Tabela1[[#This Row],[Data de conclusão]]))</f>
        <v>559</v>
      </c>
      <c r="K1578" s="1"/>
    </row>
    <row r="1579" spans="2:11" x14ac:dyDescent="0.25">
      <c r="B1579" s="3">
        <v>1686</v>
      </c>
      <c r="C1579" s="3" t="s">
        <v>7</v>
      </c>
      <c r="D1579" s="3" t="s">
        <v>17</v>
      </c>
      <c r="E1579" s="4">
        <v>42880</v>
      </c>
      <c r="F1579" s="4"/>
      <c r="G1579" s="3" t="s">
        <v>29</v>
      </c>
      <c r="H1579" s="5">
        <v>5571</v>
      </c>
      <c r="I1579" s="3" t="str">
        <f>VLOOKUP(Tabela1[[#This Row],[Advogado]],Tabela2[],2,FALSE)</f>
        <v>Renê Amaranto</v>
      </c>
      <c r="J1579" s="17">
        <f>IF(Tabela1[[#This Row],[Data de conclusão]]="",NETWORKDAYS(Tabela1[[#This Row],[Data de entrada]],$J$2),NETWORKDAYS(Tabela1[[#This Row],[Data de entrada]],Tabela1[[#This Row],[Data de conclusão]]))</f>
        <v>254</v>
      </c>
      <c r="K1579" s="1"/>
    </row>
    <row r="1580" spans="2:11" x14ac:dyDescent="0.25">
      <c r="B1580" s="3">
        <v>1687</v>
      </c>
      <c r="C1580" s="3" t="s">
        <v>8</v>
      </c>
      <c r="D1580" s="3" t="s">
        <v>10</v>
      </c>
      <c r="E1580" s="4">
        <v>42920</v>
      </c>
      <c r="F1580" s="4"/>
      <c r="G1580" s="3" t="s">
        <v>29</v>
      </c>
      <c r="H1580" s="5">
        <v>40901</v>
      </c>
      <c r="I1580" s="3" t="str">
        <f>VLOOKUP(Tabela1[[#This Row],[Advogado]],Tabela2[],2,FALSE)</f>
        <v>Caio Brito</v>
      </c>
      <c r="J1580" s="17">
        <f>IF(Tabela1[[#This Row],[Data de conclusão]]="",NETWORKDAYS(Tabela1[[#This Row],[Data de entrada]],$J$2),NETWORKDAYS(Tabela1[[#This Row],[Data de entrada]],Tabela1[[#This Row],[Data de conclusão]]))</f>
        <v>226</v>
      </c>
      <c r="K1580" s="1"/>
    </row>
    <row r="1581" spans="2:11" x14ac:dyDescent="0.25">
      <c r="B1581" s="3">
        <v>1688</v>
      </c>
      <c r="C1581" s="3" t="s">
        <v>9</v>
      </c>
      <c r="D1581" s="3" t="s">
        <v>11</v>
      </c>
      <c r="E1581" s="4">
        <v>42376</v>
      </c>
      <c r="F1581" s="4"/>
      <c r="G1581" s="3" t="s">
        <v>29</v>
      </c>
      <c r="H1581" s="5">
        <v>40811</v>
      </c>
      <c r="I1581" s="3" t="str">
        <f>VLOOKUP(Tabela1[[#This Row],[Advogado]],Tabela2[],2,FALSE)</f>
        <v>Caio Brito</v>
      </c>
      <c r="J1581" s="17">
        <f>IF(Tabela1[[#This Row],[Data de conclusão]]="",NETWORKDAYS(Tabela1[[#This Row],[Data de entrada]],$J$2),NETWORKDAYS(Tabela1[[#This Row],[Data de entrada]],Tabela1[[#This Row],[Data de conclusão]]))</f>
        <v>614</v>
      </c>
      <c r="K1581" s="1"/>
    </row>
    <row r="1582" spans="2:11" x14ac:dyDescent="0.25">
      <c r="B1582" s="3">
        <v>1689</v>
      </c>
      <c r="C1582" s="3" t="s">
        <v>7</v>
      </c>
      <c r="D1582" s="3" t="s">
        <v>12</v>
      </c>
      <c r="E1582" s="4">
        <v>42975</v>
      </c>
      <c r="F1582" s="4"/>
      <c r="G1582" s="3" t="s">
        <v>29</v>
      </c>
      <c r="H1582" s="5">
        <v>26225</v>
      </c>
      <c r="I1582" s="3" t="str">
        <f>VLOOKUP(Tabela1[[#This Row],[Advogado]],Tabela2[],2,FALSE)</f>
        <v>Caio Brito</v>
      </c>
      <c r="J1582" s="17">
        <f>IF(Tabela1[[#This Row],[Data de conclusão]]="",NETWORKDAYS(Tabela1[[#This Row],[Data de entrada]],$J$2),NETWORKDAYS(Tabela1[[#This Row],[Data de entrada]],Tabela1[[#This Row],[Data de conclusão]]))</f>
        <v>187</v>
      </c>
      <c r="K1582" s="1"/>
    </row>
    <row r="1583" spans="2:11" x14ac:dyDescent="0.25">
      <c r="B1583" s="3">
        <v>1690</v>
      </c>
      <c r="C1583" s="3" t="s">
        <v>8</v>
      </c>
      <c r="D1583" s="3" t="s">
        <v>13</v>
      </c>
      <c r="E1583" s="4">
        <v>42475</v>
      </c>
      <c r="F1583" s="4"/>
      <c r="G1583" s="3" t="s">
        <v>29</v>
      </c>
      <c r="H1583" s="5">
        <v>7852</v>
      </c>
      <c r="I1583" s="3" t="str">
        <f>VLOOKUP(Tabela1[[#This Row],[Advogado]],Tabela2[],2,FALSE)</f>
        <v>Caio Brito</v>
      </c>
      <c r="J1583" s="17">
        <f>IF(Tabela1[[#This Row],[Data de conclusão]]="",NETWORKDAYS(Tabela1[[#This Row],[Data de entrada]],$J$2),NETWORKDAYS(Tabela1[[#This Row],[Data de entrada]],Tabela1[[#This Row],[Data de conclusão]]))</f>
        <v>543</v>
      </c>
      <c r="K1583" s="1"/>
    </row>
    <row r="1584" spans="2:11" x14ac:dyDescent="0.25">
      <c r="B1584" s="3">
        <v>1691</v>
      </c>
      <c r="C1584" s="3" t="s">
        <v>9</v>
      </c>
      <c r="D1584" s="3" t="s">
        <v>14</v>
      </c>
      <c r="E1584" s="4">
        <v>42607</v>
      </c>
      <c r="F1584" s="4"/>
      <c r="G1584" s="3" t="s">
        <v>29</v>
      </c>
      <c r="H1584" s="5">
        <v>17090</v>
      </c>
      <c r="I1584" s="3" t="str">
        <f>VLOOKUP(Tabela1[[#This Row],[Advogado]],Tabela2[],2,FALSE)</f>
        <v>Renê Amaranto</v>
      </c>
      <c r="J1584" s="17">
        <f>IF(Tabela1[[#This Row],[Data de conclusão]]="",NETWORKDAYS(Tabela1[[#This Row],[Data de entrada]],$J$2),NETWORKDAYS(Tabela1[[#This Row],[Data de entrada]],Tabela1[[#This Row],[Data de conclusão]]))</f>
        <v>449</v>
      </c>
      <c r="K1584" s="1"/>
    </row>
    <row r="1585" spans="2:11" x14ac:dyDescent="0.25">
      <c r="B1585" s="3">
        <v>1692</v>
      </c>
      <c r="C1585" s="3" t="s">
        <v>7</v>
      </c>
      <c r="D1585" s="3" t="s">
        <v>15</v>
      </c>
      <c r="E1585" s="4">
        <v>42855</v>
      </c>
      <c r="F1585" s="4"/>
      <c r="G1585" s="3" t="s">
        <v>29</v>
      </c>
      <c r="H1585" s="5">
        <v>18632</v>
      </c>
      <c r="I1585" s="3" t="str">
        <f>VLOOKUP(Tabela1[[#This Row],[Advogado]],Tabela2[],2,FALSE)</f>
        <v>Renê Amaranto</v>
      </c>
      <c r="J1585" s="17">
        <f>IF(Tabela1[[#This Row],[Data de conclusão]]="",NETWORKDAYS(Tabela1[[#This Row],[Data de entrada]],$J$2),NETWORKDAYS(Tabela1[[#This Row],[Data de entrada]],Tabela1[[#This Row],[Data de conclusão]]))</f>
        <v>272</v>
      </c>
      <c r="K1585" s="1"/>
    </row>
    <row r="1586" spans="2:11" x14ac:dyDescent="0.25">
      <c r="B1586" s="3">
        <v>1693</v>
      </c>
      <c r="C1586" s="3" t="s">
        <v>8</v>
      </c>
      <c r="D1586" s="3" t="s">
        <v>16</v>
      </c>
      <c r="E1586" s="4">
        <v>42991</v>
      </c>
      <c r="F1586" s="4"/>
      <c r="G1586" s="3" t="s">
        <v>29</v>
      </c>
      <c r="H1586" s="5">
        <v>58507</v>
      </c>
      <c r="I1586" s="3" t="str">
        <f>VLOOKUP(Tabela1[[#This Row],[Advogado]],Tabela2[],2,FALSE)</f>
        <v>Renê Amaranto</v>
      </c>
      <c r="J1586" s="17">
        <f>IF(Tabela1[[#This Row],[Data de conclusão]]="",NETWORKDAYS(Tabela1[[#This Row],[Data de entrada]],$J$2),NETWORKDAYS(Tabela1[[#This Row],[Data de entrada]],Tabela1[[#This Row],[Data de conclusão]]))</f>
        <v>175</v>
      </c>
      <c r="K1586" s="1"/>
    </row>
    <row r="1587" spans="2:11" x14ac:dyDescent="0.25">
      <c r="B1587" s="3">
        <v>1694</v>
      </c>
      <c r="C1587" s="3" t="s">
        <v>9</v>
      </c>
      <c r="D1587" s="3" t="s">
        <v>17</v>
      </c>
      <c r="E1587" s="4">
        <v>42781</v>
      </c>
      <c r="F1587" s="4"/>
      <c r="G1587" s="3" t="s">
        <v>29</v>
      </c>
      <c r="H1587" s="5">
        <v>8482</v>
      </c>
      <c r="I1587" s="3" t="str">
        <f>VLOOKUP(Tabela1[[#This Row],[Advogado]],Tabela2[],2,FALSE)</f>
        <v>Renê Amaranto</v>
      </c>
      <c r="J1587" s="17">
        <f>IF(Tabela1[[#This Row],[Data de conclusão]]="",NETWORKDAYS(Tabela1[[#This Row],[Data de entrada]],$J$2),NETWORKDAYS(Tabela1[[#This Row],[Data de entrada]],Tabela1[[#This Row],[Data de conclusão]]))</f>
        <v>325</v>
      </c>
      <c r="K1587" s="1"/>
    </row>
    <row r="1588" spans="2:11" x14ac:dyDescent="0.25">
      <c r="B1588" s="3">
        <v>1695</v>
      </c>
      <c r="C1588" s="3" t="s">
        <v>7</v>
      </c>
      <c r="D1588" s="3" t="s">
        <v>10</v>
      </c>
      <c r="E1588" s="4">
        <v>42384</v>
      </c>
      <c r="F1588" s="4">
        <v>42474</v>
      </c>
      <c r="G1588" s="3" t="s">
        <v>28</v>
      </c>
      <c r="H1588" s="5">
        <v>13928</v>
      </c>
      <c r="I1588" s="3" t="str">
        <f>VLOOKUP(Tabela1[[#This Row],[Advogado]],Tabela2[],2,FALSE)</f>
        <v>Caio Brito</v>
      </c>
      <c r="J1588" s="17">
        <f>IF(Tabela1[[#This Row],[Data de conclusão]]="",NETWORKDAYS(Tabela1[[#This Row],[Data de entrada]],$J$2),NETWORKDAYS(Tabela1[[#This Row],[Data de entrada]],Tabela1[[#This Row],[Data de conclusão]]))</f>
        <v>65</v>
      </c>
      <c r="K1588" s="1"/>
    </row>
    <row r="1589" spans="2:11" x14ac:dyDescent="0.25">
      <c r="B1589" s="3">
        <v>1696</v>
      </c>
      <c r="C1589" s="3" t="s">
        <v>8</v>
      </c>
      <c r="D1589" s="3" t="s">
        <v>11</v>
      </c>
      <c r="E1589" s="4">
        <v>42732</v>
      </c>
      <c r="F1589" s="4"/>
      <c r="G1589" s="3" t="s">
        <v>27</v>
      </c>
      <c r="H1589" s="5">
        <v>35682</v>
      </c>
      <c r="I1589" s="3" t="str">
        <f>VLOOKUP(Tabela1[[#This Row],[Advogado]],Tabela2[],2,FALSE)</f>
        <v>Caio Brito</v>
      </c>
      <c r="J1589" s="17">
        <f>IF(Tabela1[[#This Row],[Data de conclusão]]="",NETWORKDAYS(Tabela1[[#This Row],[Data de entrada]],$J$2),NETWORKDAYS(Tabela1[[#This Row],[Data de entrada]],Tabela1[[#This Row],[Data de conclusão]]))</f>
        <v>360</v>
      </c>
      <c r="K1589" s="1"/>
    </row>
    <row r="1590" spans="2:11" x14ac:dyDescent="0.25">
      <c r="B1590" s="3">
        <v>1697</v>
      </c>
      <c r="C1590" s="3" t="s">
        <v>9</v>
      </c>
      <c r="D1590" s="3" t="s">
        <v>12</v>
      </c>
      <c r="E1590" s="4">
        <v>42785</v>
      </c>
      <c r="F1590" s="4"/>
      <c r="G1590" s="3" t="s">
        <v>29</v>
      </c>
      <c r="H1590" s="5">
        <v>27236</v>
      </c>
      <c r="I1590" s="3" t="str">
        <f>VLOOKUP(Tabela1[[#This Row],[Advogado]],Tabela2[],2,FALSE)</f>
        <v>Caio Brito</v>
      </c>
      <c r="J1590" s="17">
        <f>IF(Tabela1[[#This Row],[Data de conclusão]]="",NETWORKDAYS(Tabela1[[#This Row],[Data de entrada]],$J$2),NETWORKDAYS(Tabela1[[#This Row],[Data de entrada]],Tabela1[[#This Row],[Data de conclusão]]))</f>
        <v>322</v>
      </c>
      <c r="K1590" s="1"/>
    </row>
    <row r="1591" spans="2:11" x14ac:dyDescent="0.25">
      <c r="B1591" s="3">
        <v>1698</v>
      </c>
      <c r="C1591" s="3" t="s">
        <v>7</v>
      </c>
      <c r="D1591" s="3" t="s">
        <v>13</v>
      </c>
      <c r="E1591" s="4">
        <v>42481</v>
      </c>
      <c r="F1591" s="4"/>
      <c r="G1591" s="3" t="s">
        <v>29</v>
      </c>
      <c r="H1591" s="5">
        <v>15099</v>
      </c>
      <c r="I1591" s="3" t="str">
        <f>VLOOKUP(Tabela1[[#This Row],[Advogado]],Tabela2[],2,FALSE)</f>
        <v>Caio Brito</v>
      </c>
      <c r="J1591" s="17">
        <f>IF(Tabela1[[#This Row],[Data de conclusão]]="",NETWORKDAYS(Tabela1[[#This Row],[Data de entrada]],$J$2),NETWORKDAYS(Tabela1[[#This Row],[Data de entrada]],Tabela1[[#This Row],[Data de conclusão]]))</f>
        <v>539</v>
      </c>
      <c r="K1591" s="1"/>
    </row>
    <row r="1592" spans="2:11" x14ac:dyDescent="0.25">
      <c r="B1592" s="3">
        <v>1699</v>
      </c>
      <c r="C1592" s="3" t="s">
        <v>8</v>
      </c>
      <c r="D1592" s="3" t="s">
        <v>14</v>
      </c>
      <c r="E1592" s="4">
        <v>42399</v>
      </c>
      <c r="F1592" s="4"/>
      <c r="G1592" s="3" t="s">
        <v>29</v>
      </c>
      <c r="H1592" s="5">
        <v>38850</v>
      </c>
      <c r="I1592" s="3" t="str">
        <f>VLOOKUP(Tabela1[[#This Row],[Advogado]],Tabela2[],2,FALSE)</f>
        <v>Renê Amaranto</v>
      </c>
      <c r="J1592" s="17">
        <f>IF(Tabela1[[#This Row],[Data de conclusão]]="",NETWORKDAYS(Tabela1[[#This Row],[Data de entrada]],$J$2),NETWORKDAYS(Tabela1[[#This Row],[Data de entrada]],Tabela1[[#This Row],[Data de conclusão]]))</f>
        <v>597</v>
      </c>
      <c r="K1592" s="1"/>
    </row>
    <row r="1593" spans="2:11" x14ac:dyDescent="0.25">
      <c r="B1593" s="3">
        <v>1700</v>
      </c>
      <c r="C1593" s="3" t="s">
        <v>9</v>
      </c>
      <c r="D1593" s="3" t="s">
        <v>15</v>
      </c>
      <c r="E1593" s="4">
        <v>42518</v>
      </c>
      <c r="F1593" s="4"/>
      <c r="G1593" s="3" t="s">
        <v>29</v>
      </c>
      <c r="H1593" s="5">
        <v>41943</v>
      </c>
      <c r="I1593" s="3" t="str">
        <f>VLOOKUP(Tabela1[[#This Row],[Advogado]],Tabela2[],2,FALSE)</f>
        <v>Renê Amaranto</v>
      </c>
      <c r="J1593" s="17">
        <f>IF(Tabela1[[#This Row],[Data de conclusão]]="",NETWORKDAYS(Tabela1[[#This Row],[Data de entrada]],$J$2),NETWORKDAYS(Tabela1[[#This Row],[Data de entrada]],Tabela1[[#This Row],[Data de conclusão]]))</f>
        <v>512</v>
      </c>
      <c r="K1593" s="1"/>
    </row>
    <row r="1594" spans="2:11" x14ac:dyDescent="0.25">
      <c r="B1594" s="3">
        <v>1701</v>
      </c>
      <c r="C1594" s="3" t="s">
        <v>7</v>
      </c>
      <c r="D1594" s="3" t="s">
        <v>16</v>
      </c>
      <c r="E1594" s="4">
        <v>42966</v>
      </c>
      <c r="F1594" s="4"/>
      <c r="G1594" s="3" t="s">
        <v>29</v>
      </c>
      <c r="H1594" s="5">
        <v>3361</v>
      </c>
      <c r="I1594" s="3" t="str">
        <f>VLOOKUP(Tabela1[[#This Row],[Advogado]],Tabela2[],2,FALSE)</f>
        <v>Renê Amaranto</v>
      </c>
      <c r="J1594" s="17">
        <f>IF(Tabela1[[#This Row],[Data de conclusão]]="",NETWORKDAYS(Tabela1[[#This Row],[Data de entrada]],$J$2),NETWORKDAYS(Tabela1[[#This Row],[Data de entrada]],Tabela1[[#This Row],[Data de conclusão]]))</f>
        <v>192</v>
      </c>
      <c r="K1594" s="1"/>
    </row>
    <row r="1595" spans="2:11" x14ac:dyDescent="0.25">
      <c r="B1595" s="3">
        <v>1702</v>
      </c>
      <c r="C1595" s="3" t="s">
        <v>8</v>
      </c>
      <c r="D1595" s="3" t="s">
        <v>17</v>
      </c>
      <c r="E1595" s="4">
        <v>42386</v>
      </c>
      <c r="F1595" s="4"/>
      <c r="G1595" s="3" t="s">
        <v>29</v>
      </c>
      <c r="H1595" s="5">
        <v>40935</v>
      </c>
      <c r="I1595" s="3" t="str">
        <f>VLOOKUP(Tabela1[[#This Row],[Advogado]],Tabela2[],2,FALSE)</f>
        <v>Renê Amaranto</v>
      </c>
      <c r="J1595" s="17">
        <f>IF(Tabela1[[#This Row],[Data de conclusão]]="",NETWORKDAYS(Tabela1[[#This Row],[Data de entrada]],$J$2),NETWORKDAYS(Tabela1[[#This Row],[Data de entrada]],Tabela1[[#This Row],[Data de conclusão]]))</f>
        <v>607</v>
      </c>
      <c r="K1595" s="1"/>
    </row>
    <row r="1596" spans="2:11" x14ac:dyDescent="0.25">
      <c r="B1596" s="3">
        <v>1703</v>
      </c>
      <c r="C1596" s="3" t="s">
        <v>9</v>
      </c>
      <c r="D1596" s="3" t="s">
        <v>10</v>
      </c>
      <c r="E1596" s="4">
        <v>42418</v>
      </c>
      <c r="F1596" s="4"/>
      <c r="G1596" s="3" t="s">
        <v>29</v>
      </c>
      <c r="H1596" s="5">
        <v>3632</v>
      </c>
      <c r="I1596" s="3" t="str">
        <f>VLOOKUP(Tabela1[[#This Row],[Advogado]],Tabela2[],2,FALSE)</f>
        <v>Caio Brito</v>
      </c>
      <c r="J1596" s="17">
        <f>IF(Tabela1[[#This Row],[Data de conclusão]]="",NETWORKDAYS(Tabela1[[#This Row],[Data de entrada]],$J$2),NETWORKDAYS(Tabela1[[#This Row],[Data de entrada]],Tabela1[[#This Row],[Data de conclusão]]))</f>
        <v>584</v>
      </c>
      <c r="K1596" s="1"/>
    </row>
    <row r="1597" spans="2:11" x14ac:dyDescent="0.25">
      <c r="B1597" s="3">
        <v>1704</v>
      </c>
      <c r="C1597" s="3" t="s">
        <v>7</v>
      </c>
      <c r="D1597" s="3" t="s">
        <v>11</v>
      </c>
      <c r="E1597" s="4">
        <v>42768</v>
      </c>
      <c r="F1597" s="4"/>
      <c r="G1597" s="3" t="s">
        <v>29</v>
      </c>
      <c r="H1597" s="5">
        <v>57847</v>
      </c>
      <c r="I1597" s="3" t="str">
        <f>VLOOKUP(Tabela1[[#This Row],[Advogado]],Tabela2[],2,FALSE)</f>
        <v>Caio Brito</v>
      </c>
      <c r="J1597" s="17">
        <f>IF(Tabela1[[#This Row],[Data de conclusão]]="",NETWORKDAYS(Tabela1[[#This Row],[Data de entrada]],$J$2),NETWORKDAYS(Tabela1[[#This Row],[Data de entrada]],Tabela1[[#This Row],[Data de conclusão]]))</f>
        <v>334</v>
      </c>
      <c r="K1597" s="1"/>
    </row>
    <row r="1598" spans="2:11" x14ac:dyDescent="0.25">
      <c r="B1598" s="3">
        <v>1705</v>
      </c>
      <c r="C1598" s="3" t="s">
        <v>8</v>
      </c>
      <c r="D1598" s="3" t="s">
        <v>12</v>
      </c>
      <c r="E1598" s="4">
        <v>42398</v>
      </c>
      <c r="F1598" s="4"/>
      <c r="G1598" s="3" t="s">
        <v>29</v>
      </c>
      <c r="H1598" s="5">
        <v>56947</v>
      </c>
      <c r="I1598" s="3" t="str">
        <f>VLOOKUP(Tabela1[[#This Row],[Advogado]],Tabela2[],2,FALSE)</f>
        <v>Caio Brito</v>
      </c>
      <c r="J1598" s="17">
        <f>IF(Tabela1[[#This Row],[Data de conclusão]]="",NETWORKDAYS(Tabela1[[#This Row],[Data de entrada]],$J$2),NETWORKDAYS(Tabela1[[#This Row],[Data de entrada]],Tabela1[[#This Row],[Data de conclusão]]))</f>
        <v>598</v>
      </c>
      <c r="K1598" s="1"/>
    </row>
    <row r="1599" spans="2:11" x14ac:dyDescent="0.25">
      <c r="B1599" s="3">
        <v>1706</v>
      </c>
      <c r="C1599" s="3" t="s">
        <v>9</v>
      </c>
      <c r="D1599" s="3" t="s">
        <v>13</v>
      </c>
      <c r="E1599" s="4">
        <v>43024</v>
      </c>
      <c r="F1599" s="4"/>
      <c r="G1599" s="3" t="s">
        <v>29</v>
      </c>
      <c r="H1599" s="5">
        <v>54080</v>
      </c>
      <c r="I1599" s="3" t="str">
        <f>VLOOKUP(Tabela1[[#This Row],[Advogado]],Tabela2[],2,FALSE)</f>
        <v>Caio Brito</v>
      </c>
      <c r="J1599" s="17">
        <f>IF(Tabela1[[#This Row],[Data de conclusão]]="",NETWORKDAYS(Tabela1[[#This Row],[Data de entrada]],$J$2),NETWORKDAYS(Tabela1[[#This Row],[Data de entrada]],Tabela1[[#This Row],[Data de conclusão]]))</f>
        <v>152</v>
      </c>
      <c r="K1599" s="1"/>
    </row>
    <row r="1600" spans="2:11" x14ac:dyDescent="0.25">
      <c r="B1600" s="3">
        <v>1707</v>
      </c>
      <c r="C1600" s="3" t="s">
        <v>7</v>
      </c>
      <c r="D1600" s="3" t="s">
        <v>14</v>
      </c>
      <c r="E1600" s="4">
        <v>42761</v>
      </c>
      <c r="F1600" s="4"/>
      <c r="G1600" s="3" t="s">
        <v>29</v>
      </c>
      <c r="H1600" s="5">
        <v>34094</v>
      </c>
      <c r="I1600" s="3" t="str">
        <f>VLOOKUP(Tabela1[[#This Row],[Advogado]],Tabela2[],2,FALSE)</f>
        <v>Renê Amaranto</v>
      </c>
      <c r="J1600" s="17">
        <f>IF(Tabela1[[#This Row],[Data de conclusão]]="",NETWORKDAYS(Tabela1[[#This Row],[Data de entrada]],$J$2),NETWORKDAYS(Tabela1[[#This Row],[Data de entrada]],Tabela1[[#This Row],[Data de conclusão]]))</f>
        <v>339</v>
      </c>
      <c r="K1600" s="1"/>
    </row>
    <row r="1601" spans="2:11" x14ac:dyDescent="0.25">
      <c r="B1601" s="3">
        <v>1708</v>
      </c>
      <c r="C1601" s="3" t="s">
        <v>8</v>
      </c>
      <c r="D1601" s="3" t="s">
        <v>15</v>
      </c>
      <c r="E1601" s="4">
        <v>42648</v>
      </c>
      <c r="F1601" s="4">
        <v>42718</v>
      </c>
      <c r="G1601" s="3" t="s">
        <v>28</v>
      </c>
      <c r="H1601" s="5">
        <v>26678</v>
      </c>
      <c r="I1601" s="3" t="str">
        <f>VLOOKUP(Tabela1[[#This Row],[Advogado]],Tabela2[],2,FALSE)</f>
        <v>Renê Amaranto</v>
      </c>
      <c r="J1601" s="17">
        <f>IF(Tabela1[[#This Row],[Data de conclusão]]="",NETWORKDAYS(Tabela1[[#This Row],[Data de entrada]],$J$2),NETWORKDAYS(Tabela1[[#This Row],[Data de entrada]],Tabela1[[#This Row],[Data de conclusão]]))</f>
        <v>51</v>
      </c>
      <c r="K1601" s="1"/>
    </row>
    <row r="1602" spans="2:11" x14ac:dyDescent="0.25">
      <c r="B1602" s="3">
        <v>1709</v>
      </c>
      <c r="C1602" s="3" t="s">
        <v>9</v>
      </c>
      <c r="D1602" s="3" t="s">
        <v>16</v>
      </c>
      <c r="E1602" s="4">
        <v>42982</v>
      </c>
      <c r="F1602" s="4"/>
      <c r="G1602" s="3" t="s">
        <v>27</v>
      </c>
      <c r="H1602" s="5">
        <v>17418</v>
      </c>
      <c r="I1602" s="3" t="str">
        <f>VLOOKUP(Tabela1[[#This Row],[Advogado]],Tabela2[],2,FALSE)</f>
        <v>Renê Amaranto</v>
      </c>
      <c r="J1602" s="17">
        <f>IF(Tabela1[[#This Row],[Data de conclusão]]="",NETWORKDAYS(Tabela1[[#This Row],[Data de entrada]],$J$2),NETWORKDAYS(Tabela1[[#This Row],[Data de entrada]],Tabela1[[#This Row],[Data de conclusão]]))</f>
        <v>182</v>
      </c>
      <c r="K1602" s="1"/>
    </row>
    <row r="1603" spans="2:11" x14ac:dyDescent="0.25">
      <c r="B1603" s="3">
        <v>1710</v>
      </c>
      <c r="C1603" s="3" t="s">
        <v>7</v>
      </c>
      <c r="D1603" s="3" t="s">
        <v>17</v>
      </c>
      <c r="E1603" s="4">
        <v>42879</v>
      </c>
      <c r="F1603" s="4"/>
      <c r="G1603" s="3" t="s">
        <v>29</v>
      </c>
      <c r="H1603" s="5">
        <v>45344</v>
      </c>
      <c r="I1603" s="3" t="str">
        <f>VLOOKUP(Tabela1[[#This Row],[Advogado]],Tabela2[],2,FALSE)</f>
        <v>Renê Amaranto</v>
      </c>
      <c r="J1603" s="17">
        <f>IF(Tabela1[[#This Row],[Data de conclusão]]="",NETWORKDAYS(Tabela1[[#This Row],[Data de entrada]],$J$2),NETWORKDAYS(Tabela1[[#This Row],[Data de entrada]],Tabela1[[#This Row],[Data de conclusão]]))</f>
        <v>255</v>
      </c>
      <c r="K1603" s="1"/>
    </row>
    <row r="1604" spans="2:11" x14ac:dyDescent="0.25">
      <c r="B1604" s="3">
        <v>1711</v>
      </c>
      <c r="C1604" s="3" t="s">
        <v>8</v>
      </c>
      <c r="D1604" s="3" t="s">
        <v>10</v>
      </c>
      <c r="E1604" s="4">
        <v>42859</v>
      </c>
      <c r="F1604" s="4"/>
      <c r="G1604" s="3" t="s">
        <v>29</v>
      </c>
      <c r="H1604" s="5">
        <v>59045</v>
      </c>
      <c r="I1604" s="3" t="str">
        <f>VLOOKUP(Tabela1[[#This Row],[Advogado]],Tabela2[],2,FALSE)</f>
        <v>Caio Brito</v>
      </c>
      <c r="J1604" s="17">
        <f>IF(Tabela1[[#This Row],[Data de conclusão]]="",NETWORKDAYS(Tabela1[[#This Row],[Data de entrada]],$J$2),NETWORKDAYS(Tabela1[[#This Row],[Data de entrada]],Tabela1[[#This Row],[Data de conclusão]]))</f>
        <v>269</v>
      </c>
      <c r="K1604" s="1"/>
    </row>
    <row r="1605" spans="2:11" x14ac:dyDescent="0.25">
      <c r="B1605" s="3">
        <v>1712</v>
      </c>
      <c r="C1605" s="3" t="s">
        <v>9</v>
      </c>
      <c r="D1605" s="3" t="s">
        <v>11</v>
      </c>
      <c r="E1605" s="4">
        <v>42922</v>
      </c>
      <c r="F1605" s="4"/>
      <c r="G1605" s="3" t="s">
        <v>29</v>
      </c>
      <c r="H1605" s="5">
        <v>57114</v>
      </c>
      <c r="I1605" s="3" t="str">
        <f>VLOOKUP(Tabela1[[#This Row],[Advogado]],Tabela2[],2,FALSE)</f>
        <v>Caio Brito</v>
      </c>
      <c r="J1605" s="17">
        <f>IF(Tabela1[[#This Row],[Data de conclusão]]="",NETWORKDAYS(Tabela1[[#This Row],[Data de entrada]],$J$2),NETWORKDAYS(Tabela1[[#This Row],[Data de entrada]],Tabela1[[#This Row],[Data de conclusão]]))</f>
        <v>224</v>
      </c>
      <c r="K1605" s="1"/>
    </row>
    <row r="1606" spans="2:11" x14ac:dyDescent="0.25">
      <c r="B1606" s="3">
        <v>1713</v>
      </c>
      <c r="C1606" s="3" t="s">
        <v>7</v>
      </c>
      <c r="D1606" s="3" t="s">
        <v>12</v>
      </c>
      <c r="E1606" s="4">
        <v>42697</v>
      </c>
      <c r="F1606" s="4"/>
      <c r="G1606" s="3" t="s">
        <v>29</v>
      </c>
      <c r="H1606" s="5">
        <v>47515</v>
      </c>
      <c r="I1606" s="3" t="str">
        <f>VLOOKUP(Tabela1[[#This Row],[Advogado]],Tabela2[],2,FALSE)</f>
        <v>Caio Brito</v>
      </c>
      <c r="J1606" s="17">
        <f>IF(Tabela1[[#This Row],[Data de conclusão]]="",NETWORKDAYS(Tabela1[[#This Row],[Data de entrada]],$J$2),NETWORKDAYS(Tabela1[[#This Row],[Data de entrada]],Tabela1[[#This Row],[Data de conclusão]]))</f>
        <v>385</v>
      </c>
      <c r="K1606" s="1"/>
    </row>
    <row r="1607" spans="2:11" x14ac:dyDescent="0.25">
      <c r="B1607" s="3">
        <v>1714</v>
      </c>
      <c r="C1607" s="3" t="s">
        <v>8</v>
      </c>
      <c r="D1607" s="3" t="s">
        <v>13</v>
      </c>
      <c r="E1607" s="4">
        <v>42676</v>
      </c>
      <c r="F1607" s="4"/>
      <c r="G1607" s="3" t="s">
        <v>29</v>
      </c>
      <c r="H1607" s="5">
        <v>40019</v>
      </c>
      <c r="I1607" s="3" t="str">
        <f>VLOOKUP(Tabela1[[#This Row],[Advogado]],Tabela2[],2,FALSE)</f>
        <v>Caio Brito</v>
      </c>
      <c r="J1607" s="17">
        <f>IF(Tabela1[[#This Row],[Data de conclusão]]="",NETWORKDAYS(Tabela1[[#This Row],[Data de entrada]],$J$2),NETWORKDAYS(Tabela1[[#This Row],[Data de entrada]],Tabela1[[#This Row],[Data de conclusão]]))</f>
        <v>400</v>
      </c>
      <c r="K1607" s="1"/>
    </row>
    <row r="1608" spans="2:11" x14ac:dyDescent="0.25">
      <c r="B1608" s="3">
        <v>1715</v>
      </c>
      <c r="C1608" s="3" t="s">
        <v>9</v>
      </c>
      <c r="D1608" s="3" t="s">
        <v>14</v>
      </c>
      <c r="E1608" s="4">
        <v>43081</v>
      </c>
      <c r="F1608" s="4"/>
      <c r="G1608" s="3" t="s">
        <v>29</v>
      </c>
      <c r="H1608" s="5">
        <v>37719</v>
      </c>
      <c r="I1608" s="3" t="str">
        <f>VLOOKUP(Tabela1[[#This Row],[Advogado]],Tabela2[],2,FALSE)</f>
        <v>Renê Amaranto</v>
      </c>
      <c r="J1608" s="17">
        <f>IF(Tabela1[[#This Row],[Data de conclusão]]="",NETWORKDAYS(Tabela1[[#This Row],[Data de entrada]],$J$2),NETWORKDAYS(Tabela1[[#This Row],[Data de entrada]],Tabela1[[#This Row],[Data de conclusão]]))</f>
        <v>111</v>
      </c>
      <c r="K1608" s="1"/>
    </row>
    <row r="1609" spans="2:11" x14ac:dyDescent="0.25">
      <c r="B1609" s="3">
        <v>1716</v>
      </c>
      <c r="C1609" s="3" t="s">
        <v>7</v>
      </c>
      <c r="D1609" s="3" t="s">
        <v>15</v>
      </c>
      <c r="E1609" s="4">
        <v>43053</v>
      </c>
      <c r="F1609" s="4"/>
      <c r="G1609" s="3" t="s">
        <v>29</v>
      </c>
      <c r="H1609" s="5">
        <v>11519</v>
      </c>
      <c r="I1609" s="3" t="str">
        <f>VLOOKUP(Tabela1[[#This Row],[Advogado]],Tabela2[],2,FALSE)</f>
        <v>Renê Amaranto</v>
      </c>
      <c r="J1609" s="17">
        <f>IF(Tabela1[[#This Row],[Data de conclusão]]="",NETWORKDAYS(Tabela1[[#This Row],[Data de entrada]],$J$2),NETWORKDAYS(Tabela1[[#This Row],[Data de entrada]],Tabela1[[#This Row],[Data de conclusão]]))</f>
        <v>131</v>
      </c>
      <c r="K1609" s="1"/>
    </row>
    <row r="1610" spans="2:11" x14ac:dyDescent="0.25">
      <c r="B1610" s="3">
        <v>1717</v>
      </c>
      <c r="C1610" s="3" t="s">
        <v>8</v>
      </c>
      <c r="D1610" s="3" t="s">
        <v>16</v>
      </c>
      <c r="E1610" s="4">
        <v>43059</v>
      </c>
      <c r="F1610" s="4"/>
      <c r="G1610" s="3" t="s">
        <v>29</v>
      </c>
      <c r="H1610" s="5">
        <v>52445</v>
      </c>
      <c r="I1610" s="3" t="str">
        <f>VLOOKUP(Tabela1[[#This Row],[Advogado]],Tabela2[],2,FALSE)</f>
        <v>Renê Amaranto</v>
      </c>
      <c r="J1610" s="17">
        <f>IF(Tabela1[[#This Row],[Data de conclusão]]="",NETWORKDAYS(Tabela1[[#This Row],[Data de entrada]],$J$2),NETWORKDAYS(Tabela1[[#This Row],[Data de entrada]],Tabela1[[#This Row],[Data de conclusão]]))</f>
        <v>127</v>
      </c>
      <c r="K1610" s="1"/>
    </row>
    <row r="1611" spans="2:11" x14ac:dyDescent="0.25">
      <c r="B1611" s="3">
        <v>1718</v>
      </c>
      <c r="C1611" s="3" t="s">
        <v>9</v>
      </c>
      <c r="D1611" s="3" t="s">
        <v>17</v>
      </c>
      <c r="E1611" s="4">
        <v>42817</v>
      </c>
      <c r="F1611" s="4"/>
      <c r="G1611" s="3" t="s">
        <v>29</v>
      </c>
      <c r="H1611" s="5">
        <v>34452</v>
      </c>
      <c r="I1611" s="3" t="str">
        <f>VLOOKUP(Tabela1[[#This Row],[Advogado]],Tabela2[],2,FALSE)</f>
        <v>Renê Amaranto</v>
      </c>
      <c r="J1611" s="17">
        <f>IF(Tabela1[[#This Row],[Data de conclusão]]="",NETWORKDAYS(Tabela1[[#This Row],[Data de entrada]],$J$2),NETWORKDAYS(Tabela1[[#This Row],[Data de entrada]],Tabela1[[#This Row],[Data de conclusão]]))</f>
        <v>299</v>
      </c>
      <c r="K1611" s="1"/>
    </row>
    <row r="1612" spans="2:11" x14ac:dyDescent="0.25">
      <c r="B1612" s="3">
        <v>1719</v>
      </c>
      <c r="C1612" s="3" t="s">
        <v>7</v>
      </c>
      <c r="D1612" s="3" t="s">
        <v>10</v>
      </c>
      <c r="E1612" s="4">
        <v>42497</v>
      </c>
      <c r="F1612" s="4"/>
      <c r="G1612" s="3" t="s">
        <v>29</v>
      </c>
      <c r="H1612" s="5">
        <v>50487</v>
      </c>
      <c r="I1612" s="3" t="str">
        <f>VLOOKUP(Tabela1[[#This Row],[Advogado]],Tabela2[],2,FALSE)</f>
        <v>Caio Brito</v>
      </c>
      <c r="J1612" s="17">
        <f>IF(Tabela1[[#This Row],[Data de conclusão]]="",NETWORKDAYS(Tabela1[[#This Row],[Data de entrada]],$J$2),NETWORKDAYS(Tabela1[[#This Row],[Data de entrada]],Tabela1[[#This Row],[Data de conclusão]]))</f>
        <v>527</v>
      </c>
      <c r="K1612" s="1"/>
    </row>
    <row r="1613" spans="2:11" x14ac:dyDescent="0.25">
      <c r="B1613" s="3">
        <v>1720</v>
      </c>
      <c r="C1613" s="3" t="s">
        <v>8</v>
      </c>
      <c r="D1613" s="3" t="s">
        <v>11</v>
      </c>
      <c r="E1613" s="4">
        <v>42840</v>
      </c>
      <c r="F1613" s="4"/>
      <c r="G1613" s="3" t="s">
        <v>29</v>
      </c>
      <c r="H1613" s="5">
        <v>44250</v>
      </c>
      <c r="I1613" s="3" t="str">
        <f>VLOOKUP(Tabela1[[#This Row],[Advogado]],Tabela2[],2,FALSE)</f>
        <v>Caio Brito</v>
      </c>
      <c r="J1613" s="17">
        <f>IF(Tabela1[[#This Row],[Data de conclusão]]="",NETWORKDAYS(Tabela1[[#This Row],[Data de entrada]],$J$2),NETWORKDAYS(Tabela1[[#This Row],[Data de entrada]],Tabela1[[#This Row],[Data de conclusão]]))</f>
        <v>282</v>
      </c>
      <c r="K1613" s="1"/>
    </row>
    <row r="1614" spans="2:11" x14ac:dyDescent="0.25">
      <c r="B1614" s="3">
        <v>1721</v>
      </c>
      <c r="C1614" s="3" t="s">
        <v>9</v>
      </c>
      <c r="D1614" s="3" t="s">
        <v>12</v>
      </c>
      <c r="E1614" s="4">
        <v>42998</v>
      </c>
      <c r="F1614" s="4">
        <v>43060</v>
      </c>
      <c r="G1614" s="3" t="s">
        <v>28</v>
      </c>
      <c r="H1614" s="5">
        <v>2769</v>
      </c>
      <c r="I1614" s="3" t="str">
        <f>VLOOKUP(Tabela1[[#This Row],[Advogado]],Tabela2[],2,FALSE)</f>
        <v>Caio Brito</v>
      </c>
      <c r="J1614" s="17">
        <f>IF(Tabela1[[#This Row],[Data de conclusão]]="",NETWORKDAYS(Tabela1[[#This Row],[Data de entrada]],$J$2),NETWORKDAYS(Tabela1[[#This Row],[Data de entrada]],Tabela1[[#This Row],[Data de conclusão]]))</f>
        <v>45</v>
      </c>
      <c r="K1614" s="1"/>
    </row>
    <row r="1615" spans="2:11" x14ac:dyDescent="0.25">
      <c r="B1615" s="3">
        <v>1722</v>
      </c>
      <c r="C1615" s="3" t="s">
        <v>7</v>
      </c>
      <c r="D1615" s="3" t="s">
        <v>13</v>
      </c>
      <c r="E1615" s="4">
        <v>42873</v>
      </c>
      <c r="F1615" s="4"/>
      <c r="G1615" s="3" t="s">
        <v>27</v>
      </c>
      <c r="H1615" s="5">
        <v>54691</v>
      </c>
      <c r="I1615" s="3" t="str">
        <f>VLOOKUP(Tabela1[[#This Row],[Advogado]],Tabela2[],2,FALSE)</f>
        <v>Caio Brito</v>
      </c>
      <c r="J1615" s="17">
        <f>IF(Tabela1[[#This Row],[Data de conclusão]]="",NETWORKDAYS(Tabela1[[#This Row],[Data de entrada]],$J$2),NETWORKDAYS(Tabela1[[#This Row],[Data de entrada]],Tabela1[[#This Row],[Data de conclusão]]))</f>
        <v>259</v>
      </c>
      <c r="K1615" s="1"/>
    </row>
    <row r="1616" spans="2:11" x14ac:dyDescent="0.25">
      <c r="B1616" s="3">
        <v>1723</v>
      </c>
      <c r="C1616" s="3" t="s">
        <v>8</v>
      </c>
      <c r="D1616" s="3" t="s">
        <v>14</v>
      </c>
      <c r="E1616" s="4">
        <v>42835</v>
      </c>
      <c r="F1616" s="4"/>
      <c r="G1616" s="3" t="s">
        <v>29</v>
      </c>
      <c r="H1616" s="5">
        <v>3134</v>
      </c>
      <c r="I1616" s="3" t="str">
        <f>VLOOKUP(Tabela1[[#This Row],[Advogado]],Tabela2[],2,FALSE)</f>
        <v>Renê Amaranto</v>
      </c>
      <c r="J1616" s="17">
        <f>IF(Tabela1[[#This Row],[Data de conclusão]]="",NETWORKDAYS(Tabela1[[#This Row],[Data de entrada]],$J$2),NETWORKDAYS(Tabela1[[#This Row],[Data de entrada]],Tabela1[[#This Row],[Data de conclusão]]))</f>
        <v>287</v>
      </c>
      <c r="K1616" s="1"/>
    </row>
    <row r="1617" spans="2:11" x14ac:dyDescent="0.25">
      <c r="B1617" s="3">
        <v>1724</v>
      </c>
      <c r="C1617" s="3" t="s">
        <v>9</v>
      </c>
      <c r="D1617" s="3" t="s">
        <v>15</v>
      </c>
      <c r="E1617" s="4">
        <v>42565</v>
      </c>
      <c r="F1617" s="4"/>
      <c r="G1617" s="3" t="s">
        <v>29</v>
      </c>
      <c r="H1617" s="5">
        <v>17500</v>
      </c>
      <c r="I1617" s="3" t="str">
        <f>VLOOKUP(Tabela1[[#This Row],[Advogado]],Tabela2[],2,FALSE)</f>
        <v>Renê Amaranto</v>
      </c>
      <c r="J1617" s="17">
        <f>IF(Tabela1[[#This Row],[Data de conclusão]]="",NETWORKDAYS(Tabela1[[#This Row],[Data de entrada]],$J$2),NETWORKDAYS(Tabela1[[#This Row],[Data de entrada]],Tabela1[[#This Row],[Data de conclusão]]))</f>
        <v>479</v>
      </c>
      <c r="K1617" s="1"/>
    </row>
    <row r="1618" spans="2:11" x14ac:dyDescent="0.25">
      <c r="B1618" s="3">
        <v>1725</v>
      </c>
      <c r="C1618" s="3" t="s">
        <v>7</v>
      </c>
      <c r="D1618" s="3" t="s">
        <v>16</v>
      </c>
      <c r="E1618" s="4">
        <v>42975</v>
      </c>
      <c r="F1618" s="4"/>
      <c r="G1618" s="3" t="s">
        <v>29</v>
      </c>
      <c r="H1618" s="5">
        <v>33508</v>
      </c>
      <c r="I1618" s="3" t="str">
        <f>VLOOKUP(Tabela1[[#This Row],[Advogado]],Tabela2[],2,FALSE)</f>
        <v>Renê Amaranto</v>
      </c>
      <c r="J1618" s="17">
        <f>IF(Tabela1[[#This Row],[Data de conclusão]]="",NETWORKDAYS(Tabela1[[#This Row],[Data de entrada]],$J$2),NETWORKDAYS(Tabela1[[#This Row],[Data de entrada]],Tabela1[[#This Row],[Data de conclusão]]))</f>
        <v>187</v>
      </c>
      <c r="K1618" s="1"/>
    </row>
    <row r="1619" spans="2:11" x14ac:dyDescent="0.25">
      <c r="B1619" s="3">
        <v>1726</v>
      </c>
      <c r="C1619" s="3" t="s">
        <v>8</v>
      </c>
      <c r="D1619" s="3" t="s">
        <v>17</v>
      </c>
      <c r="E1619" s="4">
        <v>42485</v>
      </c>
      <c r="F1619" s="4"/>
      <c r="G1619" s="3" t="s">
        <v>29</v>
      </c>
      <c r="H1619" s="5">
        <v>57956</v>
      </c>
      <c r="I1619" s="3" t="str">
        <f>VLOOKUP(Tabela1[[#This Row],[Advogado]],Tabela2[],2,FALSE)</f>
        <v>Renê Amaranto</v>
      </c>
      <c r="J1619" s="17">
        <f>IF(Tabela1[[#This Row],[Data de conclusão]]="",NETWORKDAYS(Tabela1[[#This Row],[Data de entrada]],$J$2),NETWORKDAYS(Tabela1[[#This Row],[Data de entrada]],Tabela1[[#This Row],[Data de conclusão]]))</f>
        <v>537</v>
      </c>
      <c r="K1619" s="1"/>
    </row>
    <row r="1620" spans="2:11" x14ac:dyDescent="0.25">
      <c r="B1620" s="3">
        <v>1727</v>
      </c>
      <c r="C1620" s="3" t="s">
        <v>9</v>
      </c>
      <c r="D1620" s="3" t="s">
        <v>10</v>
      </c>
      <c r="E1620" s="4">
        <v>42764</v>
      </c>
      <c r="F1620" s="4"/>
      <c r="G1620" s="3" t="s">
        <v>29</v>
      </c>
      <c r="H1620" s="5">
        <v>30473</v>
      </c>
      <c r="I1620" s="3" t="str">
        <f>VLOOKUP(Tabela1[[#This Row],[Advogado]],Tabela2[],2,FALSE)</f>
        <v>Caio Brito</v>
      </c>
      <c r="J1620" s="17">
        <f>IF(Tabela1[[#This Row],[Data de conclusão]]="",NETWORKDAYS(Tabela1[[#This Row],[Data de entrada]],$J$2),NETWORKDAYS(Tabela1[[#This Row],[Data de entrada]],Tabela1[[#This Row],[Data de conclusão]]))</f>
        <v>337</v>
      </c>
      <c r="K1620" s="1"/>
    </row>
    <row r="1621" spans="2:11" x14ac:dyDescent="0.25">
      <c r="B1621" s="3">
        <v>1728</v>
      </c>
      <c r="C1621" s="3" t="s">
        <v>7</v>
      </c>
      <c r="D1621" s="3" t="s">
        <v>11</v>
      </c>
      <c r="E1621" s="4">
        <v>42997</v>
      </c>
      <c r="F1621" s="4"/>
      <c r="G1621" s="3" t="s">
        <v>29</v>
      </c>
      <c r="H1621" s="5">
        <v>53775</v>
      </c>
      <c r="I1621" s="3" t="str">
        <f>VLOOKUP(Tabela1[[#This Row],[Advogado]],Tabela2[],2,FALSE)</f>
        <v>Caio Brito</v>
      </c>
      <c r="J1621" s="17">
        <f>IF(Tabela1[[#This Row],[Data de conclusão]]="",NETWORKDAYS(Tabela1[[#This Row],[Data de entrada]],$J$2),NETWORKDAYS(Tabela1[[#This Row],[Data de entrada]],Tabela1[[#This Row],[Data de conclusão]]))</f>
        <v>171</v>
      </c>
      <c r="K1621" s="1"/>
    </row>
    <row r="1622" spans="2:11" x14ac:dyDescent="0.25">
      <c r="B1622" s="3">
        <v>1729</v>
      </c>
      <c r="C1622" s="3" t="s">
        <v>8</v>
      </c>
      <c r="D1622" s="3" t="s">
        <v>12</v>
      </c>
      <c r="E1622" s="4">
        <v>42579</v>
      </c>
      <c r="F1622" s="4"/>
      <c r="G1622" s="3" t="s">
        <v>29</v>
      </c>
      <c r="H1622" s="5">
        <v>55836</v>
      </c>
      <c r="I1622" s="3" t="str">
        <f>VLOOKUP(Tabela1[[#This Row],[Advogado]],Tabela2[],2,FALSE)</f>
        <v>Caio Brito</v>
      </c>
      <c r="J1622" s="17">
        <f>IF(Tabela1[[#This Row],[Data de conclusão]]="",NETWORKDAYS(Tabela1[[#This Row],[Data de entrada]],$J$2),NETWORKDAYS(Tabela1[[#This Row],[Data de entrada]],Tabela1[[#This Row],[Data de conclusão]]))</f>
        <v>469</v>
      </c>
      <c r="K1622" s="1"/>
    </row>
    <row r="1623" spans="2:11" x14ac:dyDescent="0.25">
      <c r="B1623" s="3">
        <v>1730</v>
      </c>
      <c r="C1623" s="3" t="s">
        <v>9</v>
      </c>
      <c r="D1623" s="3" t="s">
        <v>13</v>
      </c>
      <c r="E1623" s="4">
        <v>42508</v>
      </c>
      <c r="F1623" s="4"/>
      <c r="G1623" s="3" t="s">
        <v>29</v>
      </c>
      <c r="H1623" s="5">
        <v>26902</v>
      </c>
      <c r="I1623" s="3" t="str">
        <f>VLOOKUP(Tabela1[[#This Row],[Advogado]],Tabela2[],2,FALSE)</f>
        <v>Caio Brito</v>
      </c>
      <c r="J1623" s="17">
        <f>IF(Tabela1[[#This Row],[Data de conclusão]]="",NETWORKDAYS(Tabela1[[#This Row],[Data de entrada]],$J$2),NETWORKDAYS(Tabela1[[#This Row],[Data de entrada]],Tabela1[[#This Row],[Data de conclusão]]))</f>
        <v>520</v>
      </c>
      <c r="K1623" s="1"/>
    </row>
    <row r="1624" spans="2:11" x14ac:dyDescent="0.25">
      <c r="B1624" s="3">
        <v>1731</v>
      </c>
      <c r="C1624" s="3" t="s">
        <v>7</v>
      </c>
      <c r="D1624" s="3" t="s">
        <v>14</v>
      </c>
      <c r="E1624" s="4">
        <v>43003</v>
      </c>
      <c r="F1624" s="4"/>
      <c r="G1624" s="3" t="s">
        <v>29</v>
      </c>
      <c r="H1624" s="5">
        <v>58201</v>
      </c>
      <c r="I1624" s="3" t="str">
        <f>VLOOKUP(Tabela1[[#This Row],[Advogado]],Tabela2[],2,FALSE)</f>
        <v>Renê Amaranto</v>
      </c>
      <c r="J1624" s="17">
        <f>IF(Tabela1[[#This Row],[Data de conclusão]]="",NETWORKDAYS(Tabela1[[#This Row],[Data de entrada]],$J$2),NETWORKDAYS(Tabela1[[#This Row],[Data de entrada]],Tabela1[[#This Row],[Data de conclusão]]))</f>
        <v>167</v>
      </c>
      <c r="K1624" s="1"/>
    </row>
    <row r="1625" spans="2:11" x14ac:dyDescent="0.25">
      <c r="B1625" s="3">
        <v>1732</v>
      </c>
      <c r="C1625" s="3" t="s">
        <v>8</v>
      </c>
      <c r="D1625" s="3" t="s">
        <v>15</v>
      </c>
      <c r="E1625" s="4">
        <v>42820</v>
      </c>
      <c r="F1625" s="4"/>
      <c r="G1625" s="3" t="s">
        <v>29</v>
      </c>
      <c r="H1625" s="5">
        <v>15694</v>
      </c>
      <c r="I1625" s="3" t="str">
        <f>VLOOKUP(Tabela1[[#This Row],[Advogado]],Tabela2[],2,FALSE)</f>
        <v>Renê Amaranto</v>
      </c>
      <c r="J1625" s="17">
        <f>IF(Tabela1[[#This Row],[Data de conclusão]]="",NETWORKDAYS(Tabela1[[#This Row],[Data de entrada]],$J$2),NETWORKDAYS(Tabela1[[#This Row],[Data de entrada]],Tabela1[[#This Row],[Data de conclusão]]))</f>
        <v>297</v>
      </c>
      <c r="K1625" s="1"/>
    </row>
    <row r="1626" spans="2:11" x14ac:dyDescent="0.25">
      <c r="B1626" s="3">
        <v>1733</v>
      </c>
      <c r="C1626" s="3" t="s">
        <v>9</v>
      </c>
      <c r="D1626" s="3" t="s">
        <v>16</v>
      </c>
      <c r="E1626" s="4">
        <v>42987</v>
      </c>
      <c r="F1626" s="4"/>
      <c r="G1626" s="3" t="s">
        <v>29</v>
      </c>
      <c r="H1626" s="5">
        <v>36961</v>
      </c>
      <c r="I1626" s="3" t="str">
        <f>VLOOKUP(Tabela1[[#This Row],[Advogado]],Tabela2[],2,FALSE)</f>
        <v>Renê Amaranto</v>
      </c>
      <c r="J1626" s="17">
        <f>IF(Tabela1[[#This Row],[Data de conclusão]]="",NETWORKDAYS(Tabela1[[#This Row],[Data de entrada]],$J$2),NETWORKDAYS(Tabela1[[#This Row],[Data de entrada]],Tabela1[[#This Row],[Data de conclusão]]))</f>
        <v>177</v>
      </c>
      <c r="K1626" s="1"/>
    </row>
    <row r="1627" spans="2:11" x14ac:dyDescent="0.25">
      <c r="B1627" s="3">
        <v>1734</v>
      </c>
      <c r="C1627" s="3" t="s">
        <v>7</v>
      </c>
      <c r="D1627" s="3" t="s">
        <v>17</v>
      </c>
      <c r="E1627" s="4">
        <v>42534</v>
      </c>
      <c r="F1627" s="4">
        <v>42574</v>
      </c>
      <c r="G1627" s="3" t="s">
        <v>28</v>
      </c>
      <c r="H1627" s="5">
        <v>17092</v>
      </c>
      <c r="I1627" s="3" t="str">
        <f>VLOOKUP(Tabela1[[#This Row],[Advogado]],Tabela2[],2,FALSE)</f>
        <v>Renê Amaranto</v>
      </c>
      <c r="J1627" s="17">
        <f>IF(Tabela1[[#This Row],[Data de conclusão]]="",NETWORKDAYS(Tabela1[[#This Row],[Data de entrada]],$J$2),NETWORKDAYS(Tabela1[[#This Row],[Data de entrada]],Tabela1[[#This Row],[Data de conclusão]]))</f>
        <v>30</v>
      </c>
      <c r="K1627" s="1"/>
    </row>
    <row r="1628" spans="2:11" x14ac:dyDescent="0.25">
      <c r="B1628" s="3">
        <v>1735</v>
      </c>
      <c r="C1628" s="3" t="s">
        <v>8</v>
      </c>
      <c r="D1628" s="3" t="s">
        <v>10</v>
      </c>
      <c r="E1628" s="4">
        <v>42688</v>
      </c>
      <c r="F1628" s="4"/>
      <c r="G1628" s="3" t="s">
        <v>27</v>
      </c>
      <c r="H1628" s="5">
        <v>42980</v>
      </c>
      <c r="I1628" s="3" t="str">
        <f>VLOOKUP(Tabela1[[#This Row],[Advogado]],Tabela2[],2,FALSE)</f>
        <v>Caio Brito</v>
      </c>
      <c r="J1628" s="17">
        <f>IF(Tabela1[[#This Row],[Data de conclusão]]="",NETWORKDAYS(Tabela1[[#This Row],[Data de entrada]],$J$2),NETWORKDAYS(Tabela1[[#This Row],[Data de entrada]],Tabela1[[#This Row],[Data de conclusão]]))</f>
        <v>392</v>
      </c>
      <c r="K1628" s="1"/>
    </row>
    <row r="1629" spans="2:11" x14ac:dyDescent="0.25">
      <c r="B1629" s="3">
        <v>1736</v>
      </c>
      <c r="C1629" s="3" t="s">
        <v>9</v>
      </c>
      <c r="D1629" s="3" t="s">
        <v>11</v>
      </c>
      <c r="E1629" s="4">
        <v>42672</v>
      </c>
      <c r="F1629" s="4"/>
      <c r="G1629" s="3" t="s">
        <v>29</v>
      </c>
      <c r="H1629" s="5">
        <v>2065</v>
      </c>
      <c r="I1629" s="3" t="str">
        <f>VLOOKUP(Tabela1[[#This Row],[Advogado]],Tabela2[],2,FALSE)</f>
        <v>Caio Brito</v>
      </c>
      <c r="J1629" s="17">
        <f>IF(Tabela1[[#This Row],[Data de conclusão]]="",NETWORKDAYS(Tabela1[[#This Row],[Data de entrada]],$J$2),NETWORKDAYS(Tabela1[[#This Row],[Data de entrada]],Tabela1[[#This Row],[Data de conclusão]]))</f>
        <v>402</v>
      </c>
      <c r="K1629" s="1"/>
    </row>
    <row r="1630" spans="2:11" x14ac:dyDescent="0.25">
      <c r="B1630" s="3">
        <v>1737</v>
      </c>
      <c r="C1630" s="3" t="s">
        <v>7</v>
      </c>
      <c r="D1630" s="3" t="s">
        <v>12</v>
      </c>
      <c r="E1630" s="4">
        <v>42843</v>
      </c>
      <c r="F1630" s="4"/>
      <c r="G1630" s="3" t="s">
        <v>29</v>
      </c>
      <c r="H1630" s="5">
        <v>48556</v>
      </c>
      <c r="I1630" s="3" t="str">
        <f>VLOOKUP(Tabela1[[#This Row],[Advogado]],Tabela2[],2,FALSE)</f>
        <v>Caio Brito</v>
      </c>
      <c r="J1630" s="17">
        <f>IF(Tabela1[[#This Row],[Data de conclusão]]="",NETWORKDAYS(Tabela1[[#This Row],[Data de entrada]],$J$2),NETWORKDAYS(Tabela1[[#This Row],[Data de entrada]],Tabela1[[#This Row],[Data de conclusão]]))</f>
        <v>281</v>
      </c>
      <c r="K1630" s="1"/>
    </row>
    <row r="1631" spans="2:11" x14ac:dyDescent="0.25">
      <c r="B1631" s="3">
        <v>1738</v>
      </c>
      <c r="C1631" s="3" t="s">
        <v>8</v>
      </c>
      <c r="D1631" s="3" t="s">
        <v>13</v>
      </c>
      <c r="E1631" s="4">
        <v>42896</v>
      </c>
      <c r="F1631" s="4"/>
      <c r="G1631" s="3" t="s">
        <v>29</v>
      </c>
      <c r="H1631" s="5">
        <v>17717</v>
      </c>
      <c r="I1631" s="3" t="str">
        <f>VLOOKUP(Tabela1[[#This Row],[Advogado]],Tabela2[],2,FALSE)</f>
        <v>Caio Brito</v>
      </c>
      <c r="J1631" s="17">
        <f>IF(Tabela1[[#This Row],[Data de conclusão]]="",NETWORKDAYS(Tabela1[[#This Row],[Data de entrada]],$J$2),NETWORKDAYS(Tabela1[[#This Row],[Data de entrada]],Tabela1[[#This Row],[Data de conclusão]]))</f>
        <v>242</v>
      </c>
      <c r="K1631" s="1"/>
    </row>
    <row r="1632" spans="2:11" x14ac:dyDescent="0.25">
      <c r="B1632" s="3">
        <v>1739</v>
      </c>
      <c r="C1632" s="3" t="s">
        <v>9</v>
      </c>
      <c r="D1632" s="3" t="s">
        <v>14</v>
      </c>
      <c r="E1632" s="4">
        <v>42946</v>
      </c>
      <c r="F1632" s="4"/>
      <c r="G1632" s="3" t="s">
        <v>29</v>
      </c>
      <c r="H1632" s="5">
        <v>47898</v>
      </c>
      <c r="I1632" s="3" t="str">
        <f>VLOOKUP(Tabela1[[#This Row],[Advogado]],Tabela2[],2,FALSE)</f>
        <v>Renê Amaranto</v>
      </c>
      <c r="J1632" s="17">
        <f>IF(Tabela1[[#This Row],[Data de conclusão]]="",NETWORKDAYS(Tabela1[[#This Row],[Data de entrada]],$J$2),NETWORKDAYS(Tabela1[[#This Row],[Data de entrada]],Tabela1[[#This Row],[Data de conclusão]]))</f>
        <v>207</v>
      </c>
      <c r="K1632" s="1"/>
    </row>
    <row r="1633" spans="2:11" x14ac:dyDescent="0.25">
      <c r="B1633" s="3">
        <v>1740</v>
      </c>
      <c r="C1633" s="3" t="s">
        <v>7</v>
      </c>
      <c r="D1633" s="3" t="s">
        <v>15</v>
      </c>
      <c r="E1633" s="4">
        <v>42880</v>
      </c>
      <c r="F1633" s="4"/>
      <c r="G1633" s="3" t="s">
        <v>29</v>
      </c>
      <c r="H1633" s="5">
        <v>41189</v>
      </c>
      <c r="I1633" s="3" t="str">
        <f>VLOOKUP(Tabela1[[#This Row],[Advogado]],Tabela2[],2,FALSE)</f>
        <v>Renê Amaranto</v>
      </c>
      <c r="J1633" s="17">
        <f>IF(Tabela1[[#This Row],[Data de conclusão]]="",NETWORKDAYS(Tabela1[[#This Row],[Data de entrada]],$J$2),NETWORKDAYS(Tabela1[[#This Row],[Data de entrada]],Tabela1[[#This Row],[Data de conclusão]]))</f>
        <v>254</v>
      </c>
      <c r="K1633" s="1"/>
    </row>
    <row r="1634" spans="2:11" x14ac:dyDescent="0.25">
      <c r="B1634" s="3">
        <v>1741</v>
      </c>
      <c r="C1634" s="3" t="s">
        <v>8</v>
      </c>
      <c r="D1634" s="3" t="s">
        <v>16</v>
      </c>
      <c r="E1634" s="4">
        <v>43043</v>
      </c>
      <c r="F1634" s="4"/>
      <c r="G1634" s="3" t="s">
        <v>29</v>
      </c>
      <c r="H1634" s="5">
        <v>1147</v>
      </c>
      <c r="I1634" s="3" t="str">
        <f>VLOOKUP(Tabela1[[#This Row],[Advogado]],Tabela2[],2,FALSE)</f>
        <v>Renê Amaranto</v>
      </c>
      <c r="J1634" s="17">
        <f>IF(Tabela1[[#This Row],[Data de conclusão]]="",NETWORKDAYS(Tabela1[[#This Row],[Data de entrada]],$J$2),NETWORKDAYS(Tabela1[[#This Row],[Data de entrada]],Tabela1[[#This Row],[Data de conclusão]]))</f>
        <v>137</v>
      </c>
      <c r="K1634" s="1"/>
    </row>
    <row r="1635" spans="2:11" x14ac:dyDescent="0.25">
      <c r="B1635" s="3">
        <v>1742</v>
      </c>
      <c r="C1635" s="3" t="s">
        <v>9</v>
      </c>
      <c r="D1635" s="3" t="s">
        <v>17</v>
      </c>
      <c r="E1635" s="4">
        <v>42842</v>
      </c>
      <c r="F1635" s="4"/>
      <c r="G1635" s="3" t="s">
        <v>29</v>
      </c>
      <c r="H1635" s="5">
        <v>50030</v>
      </c>
      <c r="I1635" s="3" t="str">
        <f>VLOOKUP(Tabela1[[#This Row],[Advogado]],Tabela2[],2,FALSE)</f>
        <v>Renê Amaranto</v>
      </c>
      <c r="J1635" s="17">
        <f>IF(Tabela1[[#This Row],[Data de conclusão]]="",NETWORKDAYS(Tabela1[[#This Row],[Data de entrada]],$J$2),NETWORKDAYS(Tabela1[[#This Row],[Data de entrada]],Tabela1[[#This Row],[Data de conclusão]]))</f>
        <v>282</v>
      </c>
      <c r="K1635" s="1"/>
    </row>
    <row r="1636" spans="2:11" x14ac:dyDescent="0.25">
      <c r="B1636" s="3">
        <v>1743</v>
      </c>
      <c r="C1636" s="3" t="s">
        <v>7</v>
      </c>
      <c r="D1636" s="3" t="s">
        <v>10</v>
      </c>
      <c r="E1636" s="4">
        <v>42726</v>
      </c>
      <c r="F1636" s="4"/>
      <c r="G1636" s="3" t="s">
        <v>29</v>
      </c>
      <c r="H1636" s="5">
        <v>54989</v>
      </c>
      <c r="I1636" s="3" t="str">
        <f>VLOOKUP(Tabela1[[#This Row],[Advogado]],Tabela2[],2,FALSE)</f>
        <v>Caio Brito</v>
      </c>
      <c r="J1636" s="17">
        <f>IF(Tabela1[[#This Row],[Data de conclusão]]="",NETWORKDAYS(Tabela1[[#This Row],[Data de entrada]],$J$2),NETWORKDAYS(Tabela1[[#This Row],[Data de entrada]],Tabela1[[#This Row],[Data de conclusão]]))</f>
        <v>364</v>
      </c>
      <c r="K1636" s="1"/>
    </row>
    <row r="1637" spans="2:11" x14ac:dyDescent="0.25">
      <c r="B1637" s="3">
        <v>1744</v>
      </c>
      <c r="C1637" s="3" t="s">
        <v>8</v>
      </c>
      <c r="D1637" s="3" t="s">
        <v>11</v>
      </c>
      <c r="E1637" s="4">
        <v>42947</v>
      </c>
      <c r="F1637" s="4"/>
      <c r="G1637" s="3" t="s">
        <v>29</v>
      </c>
      <c r="H1637" s="5">
        <v>52127</v>
      </c>
      <c r="I1637" s="3" t="str">
        <f>VLOOKUP(Tabela1[[#This Row],[Advogado]],Tabela2[],2,FALSE)</f>
        <v>Caio Brito</v>
      </c>
      <c r="J1637" s="17">
        <f>IF(Tabela1[[#This Row],[Data de conclusão]]="",NETWORKDAYS(Tabela1[[#This Row],[Data de entrada]],$J$2),NETWORKDAYS(Tabela1[[#This Row],[Data de entrada]],Tabela1[[#This Row],[Data de conclusão]]))</f>
        <v>207</v>
      </c>
      <c r="K1637" s="1"/>
    </row>
    <row r="1638" spans="2:11" x14ac:dyDescent="0.25">
      <c r="B1638" s="3">
        <v>1745</v>
      </c>
      <c r="C1638" s="3" t="s">
        <v>9</v>
      </c>
      <c r="D1638" s="3" t="s">
        <v>12</v>
      </c>
      <c r="E1638" s="4">
        <v>42451</v>
      </c>
      <c r="F1638" s="4"/>
      <c r="G1638" s="3" t="s">
        <v>29</v>
      </c>
      <c r="H1638" s="5">
        <v>18199</v>
      </c>
      <c r="I1638" s="3" t="str">
        <f>VLOOKUP(Tabela1[[#This Row],[Advogado]],Tabela2[],2,FALSE)</f>
        <v>Caio Brito</v>
      </c>
      <c r="J1638" s="17">
        <f>IF(Tabela1[[#This Row],[Data de conclusão]]="",NETWORKDAYS(Tabela1[[#This Row],[Data de entrada]],$J$2),NETWORKDAYS(Tabela1[[#This Row],[Data de entrada]],Tabela1[[#This Row],[Data de conclusão]]))</f>
        <v>561</v>
      </c>
      <c r="K1638" s="1"/>
    </row>
    <row r="1639" spans="2:11" x14ac:dyDescent="0.25">
      <c r="B1639" s="3">
        <v>1746</v>
      </c>
      <c r="C1639" s="3" t="s">
        <v>7</v>
      </c>
      <c r="D1639" s="3" t="s">
        <v>13</v>
      </c>
      <c r="E1639" s="4">
        <v>42561</v>
      </c>
      <c r="F1639" s="4"/>
      <c r="G1639" s="3" t="s">
        <v>29</v>
      </c>
      <c r="H1639" s="5">
        <v>8466</v>
      </c>
      <c r="I1639" s="3" t="str">
        <f>VLOOKUP(Tabela1[[#This Row],[Advogado]],Tabela2[],2,FALSE)</f>
        <v>Caio Brito</v>
      </c>
      <c r="J1639" s="17">
        <f>IF(Tabela1[[#This Row],[Data de conclusão]]="",NETWORKDAYS(Tabela1[[#This Row],[Data de entrada]],$J$2),NETWORKDAYS(Tabela1[[#This Row],[Data de entrada]],Tabela1[[#This Row],[Data de conclusão]]))</f>
        <v>482</v>
      </c>
      <c r="K1639" s="1"/>
    </row>
    <row r="1640" spans="2:11" x14ac:dyDescent="0.25">
      <c r="B1640" s="3">
        <v>1747</v>
      </c>
      <c r="C1640" s="3" t="s">
        <v>8</v>
      </c>
      <c r="D1640" s="3" t="s">
        <v>14</v>
      </c>
      <c r="E1640" s="4">
        <v>43029</v>
      </c>
      <c r="F1640" s="4">
        <v>43142</v>
      </c>
      <c r="G1640" s="3" t="s">
        <v>28</v>
      </c>
      <c r="H1640" s="5">
        <v>12321</v>
      </c>
      <c r="I1640" s="3" t="str">
        <f>VLOOKUP(Tabela1[[#This Row],[Advogado]],Tabela2[],2,FALSE)</f>
        <v>Renê Amaranto</v>
      </c>
      <c r="J1640" s="17">
        <f>IF(Tabela1[[#This Row],[Data de conclusão]]="",NETWORKDAYS(Tabela1[[#This Row],[Data de entrada]],$J$2),NETWORKDAYS(Tabela1[[#This Row],[Data de entrada]],Tabela1[[#This Row],[Data de conclusão]]))</f>
        <v>80</v>
      </c>
      <c r="K1640" s="1"/>
    </row>
    <row r="1641" spans="2:11" x14ac:dyDescent="0.25">
      <c r="B1641" s="3">
        <v>1748</v>
      </c>
      <c r="C1641" s="3" t="s">
        <v>9</v>
      </c>
      <c r="D1641" s="3" t="s">
        <v>15</v>
      </c>
      <c r="E1641" s="4">
        <v>42969</v>
      </c>
      <c r="F1641" s="4"/>
      <c r="G1641" s="3" t="s">
        <v>27</v>
      </c>
      <c r="H1641" s="5">
        <v>33787</v>
      </c>
      <c r="I1641" s="3" t="str">
        <f>VLOOKUP(Tabela1[[#This Row],[Advogado]],Tabela2[],2,FALSE)</f>
        <v>Renê Amaranto</v>
      </c>
      <c r="J1641" s="17">
        <f>IF(Tabela1[[#This Row],[Data de conclusão]]="",NETWORKDAYS(Tabela1[[#This Row],[Data de entrada]],$J$2),NETWORKDAYS(Tabela1[[#This Row],[Data de entrada]],Tabela1[[#This Row],[Data de conclusão]]))</f>
        <v>191</v>
      </c>
      <c r="K1641" s="1"/>
    </row>
    <row r="1642" spans="2:11" x14ac:dyDescent="0.25">
      <c r="B1642" s="3">
        <v>1749</v>
      </c>
      <c r="C1642" s="3" t="s">
        <v>7</v>
      </c>
      <c r="D1642" s="3" t="s">
        <v>16</v>
      </c>
      <c r="E1642" s="4">
        <v>42954</v>
      </c>
      <c r="F1642" s="4"/>
      <c r="G1642" s="3" t="s">
        <v>29</v>
      </c>
      <c r="H1642" s="5">
        <v>8276</v>
      </c>
      <c r="I1642" s="3" t="str">
        <f>VLOOKUP(Tabela1[[#This Row],[Advogado]],Tabela2[],2,FALSE)</f>
        <v>Renê Amaranto</v>
      </c>
      <c r="J1642" s="17">
        <f>IF(Tabela1[[#This Row],[Data de conclusão]]="",NETWORKDAYS(Tabela1[[#This Row],[Data de entrada]],$J$2),NETWORKDAYS(Tabela1[[#This Row],[Data de entrada]],Tabela1[[#This Row],[Data de conclusão]]))</f>
        <v>202</v>
      </c>
      <c r="K1642" s="1"/>
    </row>
    <row r="1643" spans="2:11" x14ac:dyDescent="0.25">
      <c r="B1643" s="3">
        <v>1750</v>
      </c>
      <c r="C1643" s="3" t="s">
        <v>8</v>
      </c>
      <c r="D1643" s="3" t="s">
        <v>17</v>
      </c>
      <c r="E1643" s="4">
        <v>42434</v>
      </c>
      <c r="F1643" s="4"/>
      <c r="G1643" s="3" t="s">
        <v>29</v>
      </c>
      <c r="H1643" s="5">
        <v>29678</v>
      </c>
      <c r="I1643" s="3" t="str">
        <f>VLOOKUP(Tabela1[[#This Row],[Advogado]],Tabela2[],2,FALSE)</f>
        <v>Renê Amaranto</v>
      </c>
      <c r="J1643" s="17">
        <f>IF(Tabela1[[#This Row],[Data de conclusão]]="",NETWORKDAYS(Tabela1[[#This Row],[Data de entrada]],$J$2),NETWORKDAYS(Tabela1[[#This Row],[Data de entrada]],Tabela1[[#This Row],[Data de conclusão]]))</f>
        <v>572</v>
      </c>
      <c r="K1643" s="1"/>
    </row>
    <row r="1644" spans="2:11" x14ac:dyDescent="0.25">
      <c r="B1644" s="3">
        <v>1751</v>
      </c>
      <c r="C1644" s="3" t="s">
        <v>9</v>
      </c>
      <c r="D1644" s="3" t="s">
        <v>10</v>
      </c>
      <c r="E1644" s="4">
        <v>42381</v>
      </c>
      <c r="F1644" s="4"/>
      <c r="G1644" s="3" t="s">
        <v>29</v>
      </c>
      <c r="H1644" s="5">
        <v>30614</v>
      </c>
      <c r="I1644" s="3" t="str">
        <f>VLOOKUP(Tabela1[[#This Row],[Advogado]],Tabela2[],2,FALSE)</f>
        <v>Caio Brito</v>
      </c>
      <c r="J1644" s="17">
        <f>IF(Tabela1[[#This Row],[Data de conclusão]]="",NETWORKDAYS(Tabela1[[#This Row],[Data de entrada]],$J$2),NETWORKDAYS(Tabela1[[#This Row],[Data de entrada]],Tabela1[[#This Row],[Data de conclusão]]))</f>
        <v>611</v>
      </c>
      <c r="K1644" s="1"/>
    </row>
    <row r="1645" spans="2:11" x14ac:dyDescent="0.25">
      <c r="B1645" s="3">
        <v>1752</v>
      </c>
      <c r="C1645" s="3" t="s">
        <v>7</v>
      </c>
      <c r="D1645" s="3" t="s">
        <v>11</v>
      </c>
      <c r="E1645" s="4">
        <v>42505</v>
      </c>
      <c r="F1645" s="4"/>
      <c r="G1645" s="3" t="s">
        <v>29</v>
      </c>
      <c r="H1645" s="5">
        <v>7322</v>
      </c>
      <c r="I1645" s="3" t="str">
        <f>VLOOKUP(Tabela1[[#This Row],[Advogado]],Tabela2[],2,FALSE)</f>
        <v>Caio Brito</v>
      </c>
      <c r="J1645" s="17">
        <f>IF(Tabela1[[#This Row],[Data de conclusão]]="",NETWORKDAYS(Tabela1[[#This Row],[Data de entrada]],$J$2),NETWORKDAYS(Tabela1[[#This Row],[Data de entrada]],Tabela1[[#This Row],[Data de conclusão]]))</f>
        <v>522</v>
      </c>
      <c r="K1645" s="1"/>
    </row>
    <row r="1646" spans="2:11" x14ac:dyDescent="0.25">
      <c r="B1646" s="3">
        <v>1753</v>
      </c>
      <c r="C1646" s="3" t="s">
        <v>8</v>
      </c>
      <c r="D1646" s="3" t="s">
        <v>12</v>
      </c>
      <c r="E1646" s="4">
        <v>42504</v>
      </c>
      <c r="F1646" s="4"/>
      <c r="G1646" s="3" t="s">
        <v>29</v>
      </c>
      <c r="H1646" s="5">
        <v>38195</v>
      </c>
      <c r="I1646" s="3" t="str">
        <f>VLOOKUP(Tabela1[[#This Row],[Advogado]],Tabela2[],2,FALSE)</f>
        <v>Caio Brito</v>
      </c>
      <c r="J1646" s="17">
        <f>IF(Tabela1[[#This Row],[Data de conclusão]]="",NETWORKDAYS(Tabela1[[#This Row],[Data de entrada]],$J$2),NETWORKDAYS(Tabela1[[#This Row],[Data de entrada]],Tabela1[[#This Row],[Data de conclusão]]))</f>
        <v>522</v>
      </c>
      <c r="K1646" s="1"/>
    </row>
    <row r="1647" spans="2:11" x14ac:dyDescent="0.25">
      <c r="B1647" s="3">
        <v>1754</v>
      </c>
      <c r="C1647" s="3" t="s">
        <v>9</v>
      </c>
      <c r="D1647" s="3" t="s">
        <v>13</v>
      </c>
      <c r="E1647" s="4">
        <v>42675</v>
      </c>
      <c r="F1647" s="4"/>
      <c r="G1647" s="3" t="s">
        <v>29</v>
      </c>
      <c r="H1647" s="5">
        <v>47936</v>
      </c>
      <c r="I1647" s="3" t="str">
        <f>VLOOKUP(Tabela1[[#This Row],[Advogado]],Tabela2[],2,FALSE)</f>
        <v>Caio Brito</v>
      </c>
      <c r="J1647" s="17">
        <f>IF(Tabela1[[#This Row],[Data de conclusão]]="",NETWORKDAYS(Tabela1[[#This Row],[Data de entrada]],$J$2),NETWORKDAYS(Tabela1[[#This Row],[Data de entrada]],Tabela1[[#This Row],[Data de conclusão]]))</f>
        <v>401</v>
      </c>
      <c r="K1647" s="1"/>
    </row>
    <row r="1648" spans="2:11" x14ac:dyDescent="0.25">
      <c r="B1648" s="3">
        <v>1755</v>
      </c>
      <c r="C1648" s="3" t="s">
        <v>7</v>
      </c>
      <c r="D1648" s="3" t="s">
        <v>14</v>
      </c>
      <c r="E1648" s="4">
        <v>42697</v>
      </c>
      <c r="F1648" s="4"/>
      <c r="G1648" s="3" t="s">
        <v>29</v>
      </c>
      <c r="H1648" s="5">
        <v>9473</v>
      </c>
      <c r="I1648" s="3" t="str">
        <f>VLOOKUP(Tabela1[[#This Row],[Advogado]],Tabela2[],2,FALSE)</f>
        <v>Renê Amaranto</v>
      </c>
      <c r="J1648" s="17">
        <f>IF(Tabela1[[#This Row],[Data de conclusão]]="",NETWORKDAYS(Tabela1[[#This Row],[Data de entrada]],$J$2),NETWORKDAYS(Tabela1[[#This Row],[Data de entrada]],Tabela1[[#This Row],[Data de conclusão]]))</f>
        <v>385</v>
      </c>
      <c r="K1648" s="1"/>
    </row>
    <row r="1649" spans="2:11" x14ac:dyDescent="0.25">
      <c r="B1649" s="3">
        <v>1756</v>
      </c>
      <c r="C1649" s="3" t="s">
        <v>8</v>
      </c>
      <c r="D1649" s="3" t="s">
        <v>15</v>
      </c>
      <c r="E1649" s="4">
        <v>42513</v>
      </c>
      <c r="F1649" s="4"/>
      <c r="G1649" s="3" t="s">
        <v>29</v>
      </c>
      <c r="H1649" s="5">
        <v>59793</v>
      </c>
      <c r="I1649" s="3" t="str">
        <f>VLOOKUP(Tabela1[[#This Row],[Advogado]],Tabela2[],2,FALSE)</f>
        <v>Renê Amaranto</v>
      </c>
      <c r="J1649" s="17">
        <f>IF(Tabela1[[#This Row],[Data de conclusão]]="",NETWORKDAYS(Tabela1[[#This Row],[Data de entrada]],$J$2),NETWORKDAYS(Tabela1[[#This Row],[Data de entrada]],Tabela1[[#This Row],[Data de conclusão]]))</f>
        <v>517</v>
      </c>
      <c r="K1649" s="1"/>
    </row>
    <row r="1650" spans="2:11" x14ac:dyDescent="0.25">
      <c r="B1650" s="3">
        <v>1757</v>
      </c>
      <c r="C1650" s="3" t="s">
        <v>9</v>
      </c>
      <c r="D1650" s="3" t="s">
        <v>16</v>
      </c>
      <c r="E1650" s="4">
        <v>42623</v>
      </c>
      <c r="F1650" s="4"/>
      <c r="G1650" s="3" t="s">
        <v>29</v>
      </c>
      <c r="H1650" s="5">
        <v>1877</v>
      </c>
      <c r="I1650" s="3" t="str">
        <f>VLOOKUP(Tabela1[[#This Row],[Advogado]],Tabela2[],2,FALSE)</f>
        <v>Renê Amaranto</v>
      </c>
      <c r="J1650" s="17">
        <f>IF(Tabela1[[#This Row],[Data de conclusão]]="",NETWORKDAYS(Tabela1[[#This Row],[Data de entrada]],$J$2),NETWORKDAYS(Tabela1[[#This Row],[Data de entrada]],Tabela1[[#This Row],[Data de conclusão]]))</f>
        <v>437</v>
      </c>
      <c r="K1650" s="1"/>
    </row>
    <row r="1651" spans="2:11" x14ac:dyDescent="0.25">
      <c r="B1651" s="3">
        <v>1758</v>
      </c>
      <c r="C1651" s="3" t="s">
        <v>7</v>
      </c>
      <c r="D1651" s="3" t="s">
        <v>17</v>
      </c>
      <c r="E1651" s="4">
        <v>42371</v>
      </c>
      <c r="F1651" s="4"/>
      <c r="G1651" s="3" t="s">
        <v>29</v>
      </c>
      <c r="H1651" s="5">
        <v>54707</v>
      </c>
      <c r="I1651" s="3" t="str">
        <f>VLOOKUP(Tabela1[[#This Row],[Advogado]],Tabela2[],2,FALSE)</f>
        <v>Renê Amaranto</v>
      </c>
      <c r="J1651" s="17">
        <f>IF(Tabela1[[#This Row],[Data de conclusão]]="",NETWORKDAYS(Tabela1[[#This Row],[Data de entrada]],$J$2),NETWORKDAYS(Tabela1[[#This Row],[Data de entrada]],Tabela1[[#This Row],[Data de conclusão]]))</f>
        <v>617</v>
      </c>
      <c r="K1651" s="1"/>
    </row>
    <row r="1652" spans="2:11" x14ac:dyDescent="0.25">
      <c r="B1652" s="3">
        <v>1759</v>
      </c>
      <c r="C1652" s="3" t="s">
        <v>8</v>
      </c>
      <c r="D1652" s="3" t="s">
        <v>10</v>
      </c>
      <c r="E1652" s="4">
        <v>42655</v>
      </c>
      <c r="F1652" s="4"/>
      <c r="G1652" s="3" t="s">
        <v>29</v>
      </c>
      <c r="H1652" s="5">
        <v>24234</v>
      </c>
      <c r="I1652" s="3" t="str">
        <f>VLOOKUP(Tabela1[[#This Row],[Advogado]],Tabela2[],2,FALSE)</f>
        <v>Caio Brito</v>
      </c>
      <c r="J1652" s="17">
        <f>IF(Tabela1[[#This Row],[Data de conclusão]]="",NETWORKDAYS(Tabela1[[#This Row],[Data de entrada]],$J$2),NETWORKDAYS(Tabela1[[#This Row],[Data de entrada]],Tabela1[[#This Row],[Data de conclusão]]))</f>
        <v>415</v>
      </c>
      <c r="K1652" s="1"/>
    </row>
    <row r="1653" spans="2:11" x14ac:dyDescent="0.25">
      <c r="B1653" s="3">
        <v>1760</v>
      </c>
      <c r="C1653" s="3" t="s">
        <v>9</v>
      </c>
      <c r="D1653" s="3" t="s">
        <v>11</v>
      </c>
      <c r="E1653" s="4">
        <v>42873</v>
      </c>
      <c r="F1653" s="4">
        <v>43001</v>
      </c>
      <c r="G1653" s="3" t="s">
        <v>28</v>
      </c>
      <c r="H1653" s="5">
        <v>18940</v>
      </c>
      <c r="I1653" s="3" t="str">
        <f>VLOOKUP(Tabela1[[#This Row],[Advogado]],Tabela2[],2,FALSE)</f>
        <v>Caio Brito</v>
      </c>
      <c r="J1653" s="17">
        <f>IF(Tabela1[[#This Row],[Data de conclusão]]="",NETWORKDAYS(Tabela1[[#This Row],[Data de entrada]],$J$2),NETWORKDAYS(Tabela1[[#This Row],[Data de entrada]],Tabela1[[#This Row],[Data de conclusão]]))</f>
        <v>92</v>
      </c>
      <c r="K1653" s="1"/>
    </row>
    <row r="1654" spans="2:11" x14ac:dyDescent="0.25">
      <c r="B1654" s="3">
        <v>1761</v>
      </c>
      <c r="C1654" s="3" t="s">
        <v>7</v>
      </c>
      <c r="D1654" s="3" t="s">
        <v>12</v>
      </c>
      <c r="E1654" s="4">
        <v>43030</v>
      </c>
      <c r="F1654" s="4"/>
      <c r="G1654" s="3" t="s">
        <v>27</v>
      </c>
      <c r="H1654" s="5">
        <v>2629</v>
      </c>
      <c r="I1654" s="3" t="str">
        <f>VLOOKUP(Tabela1[[#This Row],[Advogado]],Tabela2[],2,FALSE)</f>
        <v>Caio Brito</v>
      </c>
      <c r="J1654" s="17">
        <f>IF(Tabela1[[#This Row],[Data de conclusão]]="",NETWORKDAYS(Tabela1[[#This Row],[Data de entrada]],$J$2),NETWORKDAYS(Tabela1[[#This Row],[Data de entrada]],Tabela1[[#This Row],[Data de conclusão]]))</f>
        <v>147</v>
      </c>
      <c r="K1654" s="1"/>
    </row>
    <row r="1655" spans="2:11" x14ac:dyDescent="0.25">
      <c r="B1655" s="3">
        <v>1762</v>
      </c>
      <c r="C1655" s="3" t="s">
        <v>8</v>
      </c>
      <c r="D1655" s="3" t="s">
        <v>13</v>
      </c>
      <c r="E1655" s="4">
        <v>42827</v>
      </c>
      <c r="F1655" s="4"/>
      <c r="G1655" s="3" t="s">
        <v>29</v>
      </c>
      <c r="H1655" s="5">
        <v>39426</v>
      </c>
      <c r="I1655" s="3" t="str">
        <f>VLOOKUP(Tabela1[[#This Row],[Advogado]],Tabela2[],2,FALSE)</f>
        <v>Caio Brito</v>
      </c>
      <c r="J1655" s="17">
        <f>IF(Tabela1[[#This Row],[Data de conclusão]]="",NETWORKDAYS(Tabela1[[#This Row],[Data de entrada]],$J$2),NETWORKDAYS(Tabela1[[#This Row],[Data de entrada]],Tabela1[[#This Row],[Data de conclusão]]))</f>
        <v>292</v>
      </c>
      <c r="K1655" s="1"/>
    </row>
    <row r="1656" spans="2:11" x14ac:dyDescent="0.25">
      <c r="B1656" s="3">
        <v>1763</v>
      </c>
      <c r="C1656" s="3" t="s">
        <v>9</v>
      </c>
      <c r="D1656" s="3" t="s">
        <v>14</v>
      </c>
      <c r="E1656" s="4">
        <v>42712</v>
      </c>
      <c r="F1656" s="4"/>
      <c r="G1656" s="3" t="s">
        <v>29</v>
      </c>
      <c r="H1656" s="5">
        <v>31238</v>
      </c>
      <c r="I1656" s="3" t="str">
        <f>VLOOKUP(Tabela1[[#This Row],[Advogado]],Tabela2[],2,FALSE)</f>
        <v>Renê Amaranto</v>
      </c>
      <c r="J1656" s="17">
        <f>IF(Tabela1[[#This Row],[Data de conclusão]]="",NETWORKDAYS(Tabela1[[#This Row],[Data de entrada]],$J$2),NETWORKDAYS(Tabela1[[#This Row],[Data de entrada]],Tabela1[[#This Row],[Data de conclusão]]))</f>
        <v>374</v>
      </c>
      <c r="K1656" s="1"/>
    </row>
    <row r="1657" spans="2:11" x14ac:dyDescent="0.25">
      <c r="B1657" s="3">
        <v>1764</v>
      </c>
      <c r="C1657" s="3" t="s">
        <v>7</v>
      </c>
      <c r="D1657" s="3" t="s">
        <v>15</v>
      </c>
      <c r="E1657" s="4">
        <v>43008</v>
      </c>
      <c r="F1657" s="4"/>
      <c r="G1657" s="3" t="s">
        <v>29</v>
      </c>
      <c r="H1657" s="5">
        <v>5204</v>
      </c>
      <c r="I1657" s="3" t="str">
        <f>VLOOKUP(Tabela1[[#This Row],[Advogado]],Tabela2[],2,FALSE)</f>
        <v>Renê Amaranto</v>
      </c>
      <c r="J1657" s="17">
        <f>IF(Tabela1[[#This Row],[Data de conclusão]]="",NETWORKDAYS(Tabela1[[#This Row],[Data de entrada]],$J$2),NETWORKDAYS(Tabela1[[#This Row],[Data de entrada]],Tabela1[[#This Row],[Data de conclusão]]))</f>
        <v>162</v>
      </c>
      <c r="K1657" s="1"/>
    </row>
    <row r="1658" spans="2:11" x14ac:dyDescent="0.25">
      <c r="B1658" s="3">
        <v>1765</v>
      </c>
      <c r="C1658" s="3" t="s">
        <v>8</v>
      </c>
      <c r="D1658" s="3" t="s">
        <v>16</v>
      </c>
      <c r="E1658" s="4">
        <v>42760</v>
      </c>
      <c r="F1658" s="4"/>
      <c r="G1658" s="3" t="s">
        <v>29</v>
      </c>
      <c r="H1658" s="5">
        <v>39115</v>
      </c>
      <c r="I1658" s="3" t="str">
        <f>VLOOKUP(Tabela1[[#This Row],[Advogado]],Tabela2[],2,FALSE)</f>
        <v>Renê Amaranto</v>
      </c>
      <c r="J1658" s="17">
        <f>IF(Tabela1[[#This Row],[Data de conclusão]]="",NETWORKDAYS(Tabela1[[#This Row],[Data de entrada]],$J$2),NETWORKDAYS(Tabela1[[#This Row],[Data de entrada]],Tabela1[[#This Row],[Data de conclusão]]))</f>
        <v>340</v>
      </c>
      <c r="K1658" s="1"/>
    </row>
    <row r="1659" spans="2:11" x14ac:dyDescent="0.25">
      <c r="B1659" s="3">
        <v>1766</v>
      </c>
      <c r="C1659" s="3" t="s">
        <v>9</v>
      </c>
      <c r="D1659" s="3" t="s">
        <v>17</v>
      </c>
      <c r="E1659" s="4">
        <v>42933</v>
      </c>
      <c r="F1659" s="4"/>
      <c r="G1659" s="3" t="s">
        <v>29</v>
      </c>
      <c r="H1659" s="5">
        <v>36998</v>
      </c>
      <c r="I1659" s="3" t="str">
        <f>VLOOKUP(Tabela1[[#This Row],[Advogado]],Tabela2[],2,FALSE)</f>
        <v>Renê Amaranto</v>
      </c>
      <c r="J1659" s="17">
        <f>IF(Tabela1[[#This Row],[Data de conclusão]]="",NETWORKDAYS(Tabela1[[#This Row],[Data de entrada]],$J$2),NETWORKDAYS(Tabela1[[#This Row],[Data de entrada]],Tabela1[[#This Row],[Data de conclusão]]))</f>
        <v>217</v>
      </c>
      <c r="K1659" s="1"/>
    </row>
    <row r="1660" spans="2:11" x14ac:dyDescent="0.25">
      <c r="B1660" s="3">
        <v>1767</v>
      </c>
      <c r="C1660" s="3" t="s">
        <v>7</v>
      </c>
      <c r="D1660" s="3" t="s">
        <v>10</v>
      </c>
      <c r="E1660" s="4">
        <v>42538</v>
      </c>
      <c r="F1660" s="4"/>
      <c r="G1660" s="3" t="s">
        <v>29</v>
      </c>
      <c r="H1660" s="5">
        <v>47742</v>
      </c>
      <c r="I1660" s="3" t="str">
        <f>VLOOKUP(Tabela1[[#This Row],[Advogado]],Tabela2[],2,FALSE)</f>
        <v>Caio Brito</v>
      </c>
      <c r="J1660" s="17">
        <f>IF(Tabela1[[#This Row],[Data de conclusão]]="",NETWORKDAYS(Tabela1[[#This Row],[Data de entrada]],$J$2),NETWORKDAYS(Tabela1[[#This Row],[Data de entrada]],Tabela1[[#This Row],[Data de conclusão]]))</f>
        <v>498</v>
      </c>
      <c r="K1660" s="1"/>
    </row>
    <row r="1661" spans="2:11" x14ac:dyDescent="0.25">
      <c r="B1661" s="3">
        <v>1768</v>
      </c>
      <c r="C1661" s="3" t="s">
        <v>8</v>
      </c>
      <c r="D1661" s="3" t="s">
        <v>11</v>
      </c>
      <c r="E1661" s="4">
        <v>42656</v>
      </c>
      <c r="F1661" s="4"/>
      <c r="G1661" s="3" t="s">
        <v>29</v>
      </c>
      <c r="H1661" s="5">
        <v>6285</v>
      </c>
      <c r="I1661" s="3" t="str">
        <f>VLOOKUP(Tabela1[[#This Row],[Advogado]],Tabela2[],2,FALSE)</f>
        <v>Caio Brito</v>
      </c>
      <c r="J1661" s="17">
        <f>IF(Tabela1[[#This Row],[Data de conclusão]]="",NETWORKDAYS(Tabela1[[#This Row],[Data de entrada]],$J$2),NETWORKDAYS(Tabela1[[#This Row],[Data de entrada]],Tabela1[[#This Row],[Data de conclusão]]))</f>
        <v>414</v>
      </c>
      <c r="K1661" s="1"/>
    </row>
    <row r="1662" spans="2:11" x14ac:dyDescent="0.25">
      <c r="B1662" s="3">
        <v>1769</v>
      </c>
      <c r="C1662" s="3" t="s">
        <v>9</v>
      </c>
      <c r="D1662" s="3" t="s">
        <v>12</v>
      </c>
      <c r="E1662" s="4">
        <v>42461</v>
      </c>
      <c r="F1662" s="4"/>
      <c r="G1662" s="3" t="s">
        <v>29</v>
      </c>
      <c r="H1662" s="5">
        <v>38958</v>
      </c>
      <c r="I1662" s="3" t="str">
        <f>VLOOKUP(Tabela1[[#This Row],[Advogado]],Tabela2[],2,FALSE)</f>
        <v>Caio Brito</v>
      </c>
      <c r="J1662" s="17">
        <f>IF(Tabela1[[#This Row],[Data de conclusão]]="",NETWORKDAYS(Tabela1[[#This Row],[Data de entrada]],$J$2),NETWORKDAYS(Tabela1[[#This Row],[Data de entrada]],Tabela1[[#This Row],[Data de conclusão]]))</f>
        <v>553</v>
      </c>
      <c r="K1662" s="1"/>
    </row>
    <row r="1663" spans="2:11" x14ac:dyDescent="0.25">
      <c r="B1663" s="3">
        <v>1770</v>
      </c>
      <c r="C1663" s="3" t="s">
        <v>7</v>
      </c>
      <c r="D1663" s="3" t="s">
        <v>13</v>
      </c>
      <c r="E1663" s="4">
        <v>42528</v>
      </c>
      <c r="F1663" s="4"/>
      <c r="G1663" s="3" t="s">
        <v>29</v>
      </c>
      <c r="H1663" s="5">
        <v>30083</v>
      </c>
      <c r="I1663" s="3" t="str">
        <f>VLOOKUP(Tabela1[[#This Row],[Advogado]],Tabela2[],2,FALSE)</f>
        <v>Caio Brito</v>
      </c>
      <c r="J1663" s="17">
        <f>IF(Tabela1[[#This Row],[Data de conclusão]]="",NETWORKDAYS(Tabela1[[#This Row],[Data de entrada]],$J$2),NETWORKDAYS(Tabela1[[#This Row],[Data de entrada]],Tabela1[[#This Row],[Data de conclusão]]))</f>
        <v>506</v>
      </c>
      <c r="K1663" s="1"/>
    </row>
    <row r="1664" spans="2:11" x14ac:dyDescent="0.25">
      <c r="B1664" s="3">
        <v>1771</v>
      </c>
      <c r="C1664" s="3" t="s">
        <v>8</v>
      </c>
      <c r="D1664" s="3" t="s">
        <v>14</v>
      </c>
      <c r="E1664" s="4">
        <v>42900</v>
      </c>
      <c r="F1664" s="4"/>
      <c r="G1664" s="3" t="s">
        <v>29</v>
      </c>
      <c r="H1664" s="5">
        <v>35796</v>
      </c>
      <c r="I1664" s="3" t="str">
        <f>VLOOKUP(Tabela1[[#This Row],[Advogado]],Tabela2[],2,FALSE)</f>
        <v>Renê Amaranto</v>
      </c>
      <c r="J1664" s="17">
        <f>IF(Tabela1[[#This Row],[Data de conclusão]]="",NETWORKDAYS(Tabela1[[#This Row],[Data de entrada]],$J$2),NETWORKDAYS(Tabela1[[#This Row],[Data de entrada]],Tabela1[[#This Row],[Data de conclusão]]))</f>
        <v>240</v>
      </c>
      <c r="K1664" s="1"/>
    </row>
    <row r="1665" spans="2:11" x14ac:dyDescent="0.25">
      <c r="B1665" s="3">
        <v>1772</v>
      </c>
      <c r="C1665" s="3" t="s">
        <v>9</v>
      </c>
      <c r="D1665" s="3" t="s">
        <v>15</v>
      </c>
      <c r="E1665" s="4">
        <v>42787</v>
      </c>
      <c r="F1665" s="4"/>
      <c r="G1665" s="3" t="s">
        <v>29</v>
      </c>
      <c r="H1665" s="5">
        <v>41709</v>
      </c>
      <c r="I1665" s="3" t="str">
        <f>VLOOKUP(Tabela1[[#This Row],[Advogado]],Tabela2[],2,FALSE)</f>
        <v>Renê Amaranto</v>
      </c>
      <c r="J1665" s="17">
        <f>IF(Tabela1[[#This Row],[Data de conclusão]]="",NETWORKDAYS(Tabela1[[#This Row],[Data de entrada]],$J$2),NETWORKDAYS(Tabela1[[#This Row],[Data de entrada]],Tabela1[[#This Row],[Data de conclusão]]))</f>
        <v>321</v>
      </c>
      <c r="K1665" s="1"/>
    </row>
    <row r="1666" spans="2:11" x14ac:dyDescent="0.25">
      <c r="B1666" s="3">
        <v>1773</v>
      </c>
      <c r="C1666" s="3" t="s">
        <v>7</v>
      </c>
      <c r="D1666" s="3" t="s">
        <v>16</v>
      </c>
      <c r="E1666" s="4">
        <v>43076</v>
      </c>
      <c r="F1666" s="4">
        <v>43134</v>
      </c>
      <c r="G1666" s="3" t="s">
        <v>28</v>
      </c>
      <c r="H1666" s="5">
        <v>45648</v>
      </c>
      <c r="I1666" s="3" t="str">
        <f>VLOOKUP(Tabela1[[#This Row],[Advogado]],Tabela2[],2,FALSE)</f>
        <v>Renê Amaranto</v>
      </c>
      <c r="J1666" s="17">
        <f>IF(Tabela1[[#This Row],[Data de conclusão]]="",NETWORKDAYS(Tabela1[[#This Row],[Data de entrada]],$J$2),NETWORKDAYS(Tabela1[[#This Row],[Data de entrada]],Tabela1[[#This Row],[Data de conclusão]]))</f>
        <v>42</v>
      </c>
      <c r="K1666" s="1"/>
    </row>
    <row r="1667" spans="2:11" x14ac:dyDescent="0.25">
      <c r="B1667" s="3">
        <v>1774</v>
      </c>
      <c r="C1667" s="3" t="s">
        <v>8</v>
      </c>
      <c r="D1667" s="3" t="s">
        <v>17</v>
      </c>
      <c r="E1667" s="4">
        <v>43017</v>
      </c>
      <c r="F1667" s="4"/>
      <c r="G1667" s="3" t="s">
        <v>27</v>
      </c>
      <c r="H1667" s="5">
        <v>57960</v>
      </c>
      <c r="I1667" s="3" t="str">
        <f>VLOOKUP(Tabela1[[#This Row],[Advogado]],Tabela2[],2,FALSE)</f>
        <v>Renê Amaranto</v>
      </c>
      <c r="J1667" s="17">
        <f>IF(Tabela1[[#This Row],[Data de conclusão]]="",NETWORKDAYS(Tabela1[[#This Row],[Data de entrada]],$J$2),NETWORKDAYS(Tabela1[[#This Row],[Data de entrada]],Tabela1[[#This Row],[Data de conclusão]]))</f>
        <v>157</v>
      </c>
      <c r="K1667" s="1"/>
    </row>
    <row r="1668" spans="2:11" x14ac:dyDescent="0.25">
      <c r="B1668" s="3">
        <v>1775</v>
      </c>
      <c r="C1668" s="3" t="s">
        <v>9</v>
      </c>
      <c r="D1668" s="3" t="s">
        <v>10</v>
      </c>
      <c r="E1668" s="4">
        <v>42797</v>
      </c>
      <c r="F1668" s="4"/>
      <c r="G1668" s="3" t="s">
        <v>29</v>
      </c>
      <c r="H1668" s="5">
        <v>10252</v>
      </c>
      <c r="I1668" s="3" t="str">
        <f>VLOOKUP(Tabela1[[#This Row],[Advogado]],Tabela2[],2,FALSE)</f>
        <v>Caio Brito</v>
      </c>
      <c r="J1668" s="17">
        <f>IF(Tabela1[[#This Row],[Data de conclusão]]="",NETWORKDAYS(Tabela1[[#This Row],[Data de entrada]],$J$2),NETWORKDAYS(Tabela1[[#This Row],[Data de entrada]],Tabela1[[#This Row],[Data de conclusão]]))</f>
        <v>313</v>
      </c>
      <c r="K1668" s="1"/>
    </row>
    <row r="1669" spans="2:11" x14ac:dyDescent="0.25">
      <c r="B1669" s="3">
        <v>1776</v>
      </c>
      <c r="C1669" s="3" t="s">
        <v>7</v>
      </c>
      <c r="D1669" s="3" t="s">
        <v>11</v>
      </c>
      <c r="E1669" s="4">
        <v>42402</v>
      </c>
      <c r="F1669" s="4"/>
      <c r="G1669" s="3" t="s">
        <v>29</v>
      </c>
      <c r="H1669" s="5">
        <v>51585</v>
      </c>
      <c r="I1669" s="3" t="str">
        <f>VLOOKUP(Tabela1[[#This Row],[Advogado]],Tabela2[],2,FALSE)</f>
        <v>Caio Brito</v>
      </c>
      <c r="J1669" s="17">
        <f>IF(Tabela1[[#This Row],[Data de conclusão]]="",NETWORKDAYS(Tabela1[[#This Row],[Data de entrada]],$J$2),NETWORKDAYS(Tabela1[[#This Row],[Data de entrada]],Tabela1[[#This Row],[Data de conclusão]]))</f>
        <v>596</v>
      </c>
      <c r="K1669" s="1"/>
    </row>
    <row r="1670" spans="2:11" x14ac:dyDescent="0.25">
      <c r="B1670" s="3">
        <v>1777</v>
      </c>
      <c r="C1670" s="3" t="s">
        <v>8</v>
      </c>
      <c r="D1670" s="3" t="s">
        <v>12</v>
      </c>
      <c r="E1670" s="4">
        <v>42628</v>
      </c>
      <c r="F1670" s="4"/>
      <c r="G1670" s="3" t="s">
        <v>29</v>
      </c>
      <c r="H1670" s="5">
        <v>24579</v>
      </c>
      <c r="I1670" s="3" t="str">
        <f>VLOOKUP(Tabela1[[#This Row],[Advogado]],Tabela2[],2,FALSE)</f>
        <v>Caio Brito</v>
      </c>
      <c r="J1670" s="17">
        <f>IF(Tabela1[[#This Row],[Data de conclusão]]="",NETWORKDAYS(Tabela1[[#This Row],[Data de entrada]],$J$2),NETWORKDAYS(Tabela1[[#This Row],[Data de entrada]],Tabela1[[#This Row],[Data de conclusão]]))</f>
        <v>434</v>
      </c>
      <c r="K1670" s="1"/>
    </row>
    <row r="1671" spans="2:11" x14ac:dyDescent="0.25">
      <c r="B1671" s="3">
        <v>1778</v>
      </c>
      <c r="C1671" s="3" t="s">
        <v>9</v>
      </c>
      <c r="D1671" s="3" t="s">
        <v>13</v>
      </c>
      <c r="E1671" s="4">
        <v>43054</v>
      </c>
      <c r="F1671" s="4"/>
      <c r="G1671" s="3" t="s">
        <v>29</v>
      </c>
      <c r="H1671" s="5">
        <v>30072</v>
      </c>
      <c r="I1671" s="3" t="str">
        <f>VLOOKUP(Tabela1[[#This Row],[Advogado]],Tabela2[],2,FALSE)</f>
        <v>Caio Brito</v>
      </c>
      <c r="J1671" s="17">
        <f>IF(Tabela1[[#This Row],[Data de conclusão]]="",NETWORKDAYS(Tabela1[[#This Row],[Data de entrada]],$J$2),NETWORKDAYS(Tabela1[[#This Row],[Data de entrada]],Tabela1[[#This Row],[Data de conclusão]]))</f>
        <v>130</v>
      </c>
      <c r="K1671" s="1"/>
    </row>
    <row r="1672" spans="2:11" x14ac:dyDescent="0.25">
      <c r="B1672" s="3">
        <v>1779</v>
      </c>
      <c r="C1672" s="3" t="s">
        <v>7</v>
      </c>
      <c r="D1672" s="3" t="s">
        <v>14</v>
      </c>
      <c r="E1672" s="4">
        <v>42548</v>
      </c>
      <c r="F1672" s="4"/>
      <c r="G1672" s="3" t="s">
        <v>29</v>
      </c>
      <c r="H1672" s="5">
        <v>52570</v>
      </c>
      <c r="I1672" s="3" t="str">
        <f>VLOOKUP(Tabela1[[#This Row],[Advogado]],Tabela2[],2,FALSE)</f>
        <v>Renê Amaranto</v>
      </c>
      <c r="J1672" s="17">
        <f>IF(Tabela1[[#This Row],[Data de conclusão]]="",NETWORKDAYS(Tabela1[[#This Row],[Data de entrada]],$J$2),NETWORKDAYS(Tabela1[[#This Row],[Data de entrada]],Tabela1[[#This Row],[Data de conclusão]]))</f>
        <v>492</v>
      </c>
      <c r="K1672" s="1"/>
    </row>
    <row r="1673" spans="2:11" x14ac:dyDescent="0.25">
      <c r="B1673" s="3">
        <v>1780</v>
      </c>
      <c r="C1673" s="3" t="s">
        <v>8</v>
      </c>
      <c r="D1673" s="3" t="s">
        <v>15</v>
      </c>
      <c r="E1673" s="4">
        <v>42733</v>
      </c>
      <c r="F1673" s="4"/>
      <c r="G1673" s="3" t="s">
        <v>29</v>
      </c>
      <c r="H1673" s="5">
        <v>23194</v>
      </c>
      <c r="I1673" s="3" t="str">
        <f>VLOOKUP(Tabela1[[#This Row],[Advogado]],Tabela2[],2,FALSE)</f>
        <v>Renê Amaranto</v>
      </c>
      <c r="J1673" s="17">
        <f>IF(Tabela1[[#This Row],[Data de conclusão]]="",NETWORKDAYS(Tabela1[[#This Row],[Data de entrada]],$J$2),NETWORKDAYS(Tabela1[[#This Row],[Data de entrada]],Tabela1[[#This Row],[Data de conclusão]]))</f>
        <v>359</v>
      </c>
      <c r="K1673" s="1"/>
    </row>
    <row r="1674" spans="2:11" x14ac:dyDescent="0.25">
      <c r="B1674" s="3">
        <v>1781</v>
      </c>
      <c r="C1674" s="3" t="s">
        <v>9</v>
      </c>
      <c r="D1674" s="3" t="s">
        <v>16</v>
      </c>
      <c r="E1674" s="4">
        <v>42840</v>
      </c>
      <c r="F1674" s="4"/>
      <c r="G1674" s="3" t="s">
        <v>29</v>
      </c>
      <c r="H1674" s="5">
        <v>21831</v>
      </c>
      <c r="I1674" s="3" t="str">
        <f>VLOOKUP(Tabela1[[#This Row],[Advogado]],Tabela2[],2,FALSE)</f>
        <v>Renê Amaranto</v>
      </c>
      <c r="J1674" s="17">
        <f>IF(Tabela1[[#This Row],[Data de conclusão]]="",NETWORKDAYS(Tabela1[[#This Row],[Data de entrada]],$J$2),NETWORKDAYS(Tabela1[[#This Row],[Data de entrada]],Tabela1[[#This Row],[Data de conclusão]]))</f>
        <v>282</v>
      </c>
      <c r="K1674" s="1"/>
    </row>
    <row r="1675" spans="2:11" x14ac:dyDescent="0.25">
      <c r="B1675" s="3">
        <v>1782</v>
      </c>
      <c r="C1675" s="3" t="s">
        <v>7</v>
      </c>
      <c r="D1675" s="3" t="s">
        <v>17</v>
      </c>
      <c r="E1675" s="4">
        <v>42714</v>
      </c>
      <c r="F1675" s="4"/>
      <c r="G1675" s="3" t="s">
        <v>29</v>
      </c>
      <c r="H1675" s="5">
        <v>18526</v>
      </c>
      <c r="I1675" s="3" t="str">
        <f>VLOOKUP(Tabela1[[#This Row],[Advogado]],Tabela2[],2,FALSE)</f>
        <v>Renê Amaranto</v>
      </c>
      <c r="J1675" s="17">
        <f>IF(Tabela1[[#This Row],[Data de conclusão]]="",NETWORKDAYS(Tabela1[[#This Row],[Data de entrada]],$J$2),NETWORKDAYS(Tabela1[[#This Row],[Data de entrada]],Tabela1[[#This Row],[Data de conclusão]]))</f>
        <v>372</v>
      </c>
      <c r="K1675" s="1"/>
    </row>
    <row r="1676" spans="2:11" x14ac:dyDescent="0.25">
      <c r="B1676" s="3">
        <v>1783</v>
      </c>
      <c r="C1676" s="3" t="s">
        <v>8</v>
      </c>
      <c r="D1676" s="3" t="s">
        <v>10</v>
      </c>
      <c r="E1676" s="4">
        <v>42870</v>
      </c>
      <c r="F1676" s="4"/>
      <c r="G1676" s="3" t="s">
        <v>29</v>
      </c>
      <c r="H1676" s="5">
        <v>25983</v>
      </c>
      <c r="I1676" s="3" t="str">
        <f>VLOOKUP(Tabela1[[#This Row],[Advogado]],Tabela2[],2,FALSE)</f>
        <v>Caio Brito</v>
      </c>
      <c r="J1676" s="17">
        <f>IF(Tabela1[[#This Row],[Data de conclusão]]="",NETWORKDAYS(Tabela1[[#This Row],[Data de entrada]],$J$2),NETWORKDAYS(Tabela1[[#This Row],[Data de entrada]],Tabela1[[#This Row],[Data de conclusão]]))</f>
        <v>262</v>
      </c>
      <c r="K1676" s="1"/>
    </row>
    <row r="1677" spans="2:11" x14ac:dyDescent="0.25">
      <c r="B1677" s="3">
        <v>1784</v>
      </c>
      <c r="C1677" s="3" t="s">
        <v>9</v>
      </c>
      <c r="D1677" s="3" t="s">
        <v>11</v>
      </c>
      <c r="E1677" s="4">
        <v>42546</v>
      </c>
      <c r="F1677" s="4"/>
      <c r="G1677" s="3" t="s">
        <v>29</v>
      </c>
      <c r="H1677" s="5">
        <v>42684</v>
      </c>
      <c r="I1677" s="3" t="str">
        <f>VLOOKUP(Tabela1[[#This Row],[Advogado]],Tabela2[],2,FALSE)</f>
        <v>Caio Brito</v>
      </c>
      <c r="J1677" s="17">
        <f>IF(Tabela1[[#This Row],[Data de conclusão]]="",NETWORKDAYS(Tabela1[[#This Row],[Data de entrada]],$J$2),NETWORKDAYS(Tabela1[[#This Row],[Data de entrada]],Tabela1[[#This Row],[Data de conclusão]]))</f>
        <v>492</v>
      </c>
      <c r="K1677" s="1"/>
    </row>
    <row r="1678" spans="2:11" x14ac:dyDescent="0.25">
      <c r="B1678" s="3">
        <v>1785</v>
      </c>
      <c r="C1678" s="3" t="s">
        <v>7</v>
      </c>
      <c r="D1678" s="3" t="s">
        <v>12</v>
      </c>
      <c r="E1678" s="4">
        <v>42501</v>
      </c>
      <c r="F1678" s="4"/>
      <c r="G1678" s="3" t="s">
        <v>29</v>
      </c>
      <c r="H1678" s="5">
        <v>26516</v>
      </c>
      <c r="I1678" s="3" t="str">
        <f>VLOOKUP(Tabela1[[#This Row],[Advogado]],Tabela2[],2,FALSE)</f>
        <v>Caio Brito</v>
      </c>
      <c r="J1678" s="17">
        <f>IF(Tabela1[[#This Row],[Data de conclusão]]="",NETWORKDAYS(Tabela1[[#This Row],[Data de entrada]],$J$2),NETWORKDAYS(Tabela1[[#This Row],[Data de entrada]],Tabela1[[#This Row],[Data de conclusão]]))</f>
        <v>525</v>
      </c>
      <c r="K1678" s="1"/>
    </row>
    <row r="1679" spans="2:11" x14ac:dyDescent="0.25">
      <c r="B1679" s="3">
        <v>1786</v>
      </c>
      <c r="C1679" s="3" t="s">
        <v>8</v>
      </c>
      <c r="D1679" s="3" t="s">
        <v>13</v>
      </c>
      <c r="E1679" s="4">
        <v>42399</v>
      </c>
      <c r="F1679" s="4">
        <v>42429</v>
      </c>
      <c r="G1679" s="3" t="s">
        <v>28</v>
      </c>
      <c r="H1679" s="5">
        <v>15301</v>
      </c>
      <c r="I1679" s="3" t="str">
        <f>VLOOKUP(Tabela1[[#This Row],[Advogado]],Tabela2[],2,FALSE)</f>
        <v>Caio Brito</v>
      </c>
      <c r="J1679" s="17">
        <f>IF(Tabela1[[#This Row],[Data de conclusão]]="",NETWORKDAYS(Tabela1[[#This Row],[Data de entrada]],$J$2),NETWORKDAYS(Tabela1[[#This Row],[Data de entrada]],Tabela1[[#This Row],[Data de conclusão]]))</f>
        <v>21</v>
      </c>
      <c r="K1679" s="1"/>
    </row>
    <row r="1680" spans="2:11" x14ac:dyDescent="0.25">
      <c r="B1680" s="3">
        <v>1787</v>
      </c>
      <c r="C1680" s="3" t="s">
        <v>9</v>
      </c>
      <c r="D1680" s="3" t="s">
        <v>14</v>
      </c>
      <c r="E1680" s="4">
        <v>42875</v>
      </c>
      <c r="F1680" s="4"/>
      <c r="G1680" s="3" t="s">
        <v>27</v>
      </c>
      <c r="H1680" s="5">
        <v>48596</v>
      </c>
      <c r="I1680" s="3" t="str">
        <f>VLOOKUP(Tabela1[[#This Row],[Advogado]],Tabela2[],2,FALSE)</f>
        <v>Renê Amaranto</v>
      </c>
      <c r="J1680" s="17">
        <f>IF(Tabela1[[#This Row],[Data de conclusão]]="",NETWORKDAYS(Tabela1[[#This Row],[Data de entrada]],$J$2),NETWORKDAYS(Tabela1[[#This Row],[Data de entrada]],Tabela1[[#This Row],[Data de conclusão]]))</f>
        <v>257</v>
      </c>
      <c r="K1680" s="1"/>
    </row>
    <row r="1681" spans="2:11" x14ac:dyDescent="0.25">
      <c r="B1681" s="3">
        <v>1788</v>
      </c>
      <c r="C1681" s="3" t="s">
        <v>7</v>
      </c>
      <c r="D1681" s="3" t="s">
        <v>15</v>
      </c>
      <c r="E1681" s="4">
        <v>42761</v>
      </c>
      <c r="F1681" s="4"/>
      <c r="G1681" s="3" t="s">
        <v>29</v>
      </c>
      <c r="H1681" s="5">
        <v>22817</v>
      </c>
      <c r="I1681" s="3" t="str">
        <f>VLOOKUP(Tabela1[[#This Row],[Advogado]],Tabela2[],2,FALSE)</f>
        <v>Renê Amaranto</v>
      </c>
      <c r="J1681" s="17">
        <f>IF(Tabela1[[#This Row],[Data de conclusão]]="",NETWORKDAYS(Tabela1[[#This Row],[Data de entrada]],$J$2),NETWORKDAYS(Tabela1[[#This Row],[Data de entrada]],Tabela1[[#This Row],[Data de conclusão]]))</f>
        <v>339</v>
      </c>
      <c r="K1681" s="1"/>
    </row>
    <row r="1682" spans="2:11" x14ac:dyDescent="0.25">
      <c r="B1682" s="3">
        <v>1789</v>
      </c>
      <c r="C1682" s="3" t="s">
        <v>8</v>
      </c>
      <c r="D1682" s="3" t="s">
        <v>16</v>
      </c>
      <c r="E1682" s="4">
        <v>42647</v>
      </c>
      <c r="F1682" s="4"/>
      <c r="G1682" s="3" t="s">
        <v>29</v>
      </c>
      <c r="H1682" s="5">
        <v>14773</v>
      </c>
      <c r="I1682" s="3" t="str">
        <f>VLOOKUP(Tabela1[[#This Row],[Advogado]],Tabela2[],2,FALSE)</f>
        <v>Renê Amaranto</v>
      </c>
      <c r="J1682" s="17">
        <f>IF(Tabela1[[#This Row],[Data de conclusão]]="",NETWORKDAYS(Tabela1[[#This Row],[Data de entrada]],$J$2),NETWORKDAYS(Tabela1[[#This Row],[Data de entrada]],Tabela1[[#This Row],[Data de conclusão]]))</f>
        <v>421</v>
      </c>
      <c r="K1682" s="1"/>
    </row>
    <row r="1683" spans="2:11" x14ac:dyDescent="0.25">
      <c r="B1683" s="3">
        <v>1790</v>
      </c>
      <c r="C1683" s="3" t="s">
        <v>9</v>
      </c>
      <c r="D1683" s="3" t="s">
        <v>17</v>
      </c>
      <c r="E1683" s="4">
        <v>43073</v>
      </c>
      <c r="F1683" s="4"/>
      <c r="G1683" s="3" t="s">
        <v>29</v>
      </c>
      <c r="H1683" s="5">
        <v>30125</v>
      </c>
      <c r="I1683" s="3" t="str">
        <f>VLOOKUP(Tabela1[[#This Row],[Advogado]],Tabela2[],2,FALSE)</f>
        <v>Renê Amaranto</v>
      </c>
      <c r="J1683" s="17">
        <f>IF(Tabela1[[#This Row],[Data de conclusão]]="",NETWORKDAYS(Tabela1[[#This Row],[Data de entrada]],$J$2),NETWORKDAYS(Tabela1[[#This Row],[Data de entrada]],Tabela1[[#This Row],[Data de conclusão]]))</f>
        <v>117</v>
      </c>
      <c r="K1683" s="1"/>
    </row>
    <row r="1684" spans="2:11" x14ac:dyDescent="0.25">
      <c r="B1684" s="3">
        <v>1791</v>
      </c>
      <c r="C1684" s="3" t="s">
        <v>7</v>
      </c>
      <c r="D1684" s="3" t="s">
        <v>10</v>
      </c>
      <c r="E1684" s="4">
        <v>42820</v>
      </c>
      <c r="F1684" s="4"/>
      <c r="G1684" s="3" t="s">
        <v>29</v>
      </c>
      <c r="H1684" s="5">
        <v>43558</v>
      </c>
      <c r="I1684" s="3" t="str">
        <f>VLOOKUP(Tabela1[[#This Row],[Advogado]],Tabela2[],2,FALSE)</f>
        <v>Caio Brito</v>
      </c>
      <c r="J1684" s="17">
        <f>IF(Tabela1[[#This Row],[Data de conclusão]]="",NETWORKDAYS(Tabela1[[#This Row],[Data de entrada]],$J$2),NETWORKDAYS(Tabela1[[#This Row],[Data de entrada]],Tabela1[[#This Row],[Data de conclusão]]))</f>
        <v>297</v>
      </c>
      <c r="K1684" s="1"/>
    </row>
    <row r="1685" spans="2:11" x14ac:dyDescent="0.25">
      <c r="B1685" s="3">
        <v>1792</v>
      </c>
      <c r="C1685" s="3" t="s">
        <v>8</v>
      </c>
      <c r="D1685" s="3" t="s">
        <v>11</v>
      </c>
      <c r="E1685" s="4">
        <v>42450</v>
      </c>
      <c r="F1685" s="4"/>
      <c r="G1685" s="3" t="s">
        <v>29</v>
      </c>
      <c r="H1685" s="5">
        <v>21681</v>
      </c>
      <c r="I1685" s="3" t="str">
        <f>VLOOKUP(Tabela1[[#This Row],[Advogado]],Tabela2[],2,FALSE)</f>
        <v>Caio Brito</v>
      </c>
      <c r="J1685" s="17">
        <f>IF(Tabela1[[#This Row],[Data de conclusão]]="",NETWORKDAYS(Tabela1[[#This Row],[Data de entrada]],$J$2),NETWORKDAYS(Tabela1[[#This Row],[Data de entrada]],Tabela1[[#This Row],[Data de conclusão]]))</f>
        <v>562</v>
      </c>
      <c r="K1685" s="1"/>
    </row>
    <row r="1686" spans="2:11" x14ac:dyDescent="0.25">
      <c r="B1686" s="3">
        <v>1793</v>
      </c>
      <c r="C1686" s="3" t="s">
        <v>9</v>
      </c>
      <c r="D1686" s="3" t="s">
        <v>12</v>
      </c>
      <c r="E1686" s="4">
        <v>42952</v>
      </c>
      <c r="F1686" s="4"/>
      <c r="G1686" s="3" t="s">
        <v>29</v>
      </c>
      <c r="H1686" s="5">
        <v>54752</v>
      </c>
      <c r="I1686" s="3" t="str">
        <f>VLOOKUP(Tabela1[[#This Row],[Advogado]],Tabela2[],2,FALSE)</f>
        <v>Caio Brito</v>
      </c>
      <c r="J1686" s="17">
        <f>IF(Tabela1[[#This Row],[Data de conclusão]]="",NETWORKDAYS(Tabela1[[#This Row],[Data de entrada]],$J$2),NETWORKDAYS(Tabela1[[#This Row],[Data de entrada]],Tabela1[[#This Row],[Data de conclusão]]))</f>
        <v>202</v>
      </c>
      <c r="K1686" s="1"/>
    </row>
    <row r="1687" spans="2:11" x14ac:dyDescent="0.25">
      <c r="B1687" s="3">
        <v>1794</v>
      </c>
      <c r="C1687" s="3" t="s">
        <v>7</v>
      </c>
      <c r="D1687" s="3" t="s">
        <v>13</v>
      </c>
      <c r="E1687" s="4">
        <v>42717</v>
      </c>
      <c r="F1687" s="4"/>
      <c r="G1687" s="3" t="s">
        <v>29</v>
      </c>
      <c r="H1687" s="5">
        <v>49134</v>
      </c>
      <c r="I1687" s="3" t="str">
        <f>VLOOKUP(Tabela1[[#This Row],[Advogado]],Tabela2[],2,FALSE)</f>
        <v>Caio Brito</v>
      </c>
      <c r="J1687" s="17">
        <f>IF(Tabela1[[#This Row],[Data de conclusão]]="",NETWORKDAYS(Tabela1[[#This Row],[Data de entrada]],$J$2),NETWORKDAYS(Tabela1[[#This Row],[Data de entrada]],Tabela1[[#This Row],[Data de conclusão]]))</f>
        <v>371</v>
      </c>
      <c r="K1687" s="1"/>
    </row>
    <row r="1688" spans="2:11" x14ac:dyDescent="0.25">
      <c r="B1688" s="3">
        <v>1795</v>
      </c>
      <c r="C1688" s="3" t="s">
        <v>8</v>
      </c>
      <c r="D1688" s="3" t="s">
        <v>14</v>
      </c>
      <c r="E1688" s="4">
        <v>43034</v>
      </c>
      <c r="F1688" s="4"/>
      <c r="G1688" s="3" t="s">
        <v>29</v>
      </c>
      <c r="H1688" s="5">
        <v>2081</v>
      </c>
      <c r="I1688" s="3" t="str">
        <f>VLOOKUP(Tabela1[[#This Row],[Advogado]],Tabela2[],2,FALSE)</f>
        <v>Renê Amaranto</v>
      </c>
      <c r="J1688" s="17">
        <f>IF(Tabela1[[#This Row],[Data de conclusão]]="",NETWORKDAYS(Tabela1[[#This Row],[Data de entrada]],$J$2),NETWORKDAYS(Tabela1[[#This Row],[Data de entrada]],Tabela1[[#This Row],[Data de conclusão]]))</f>
        <v>144</v>
      </c>
      <c r="K1688" s="1"/>
    </row>
    <row r="1689" spans="2:11" x14ac:dyDescent="0.25">
      <c r="B1689" s="3">
        <v>1796</v>
      </c>
      <c r="C1689" s="3" t="s">
        <v>9</v>
      </c>
      <c r="D1689" s="3" t="s">
        <v>15</v>
      </c>
      <c r="E1689" s="4">
        <v>42831</v>
      </c>
      <c r="F1689" s="4"/>
      <c r="G1689" s="3" t="s">
        <v>29</v>
      </c>
      <c r="H1689" s="5">
        <v>3821</v>
      </c>
      <c r="I1689" s="3" t="str">
        <f>VLOOKUP(Tabela1[[#This Row],[Advogado]],Tabela2[],2,FALSE)</f>
        <v>Renê Amaranto</v>
      </c>
      <c r="J1689" s="17">
        <f>IF(Tabela1[[#This Row],[Data de conclusão]]="",NETWORKDAYS(Tabela1[[#This Row],[Data de entrada]],$J$2),NETWORKDAYS(Tabela1[[#This Row],[Data de entrada]],Tabela1[[#This Row],[Data de conclusão]]))</f>
        <v>289</v>
      </c>
      <c r="K1689" s="1"/>
    </row>
    <row r="1690" spans="2:11" x14ac:dyDescent="0.25">
      <c r="B1690" s="3">
        <v>1797</v>
      </c>
      <c r="C1690" s="3" t="s">
        <v>7</v>
      </c>
      <c r="D1690" s="3" t="s">
        <v>16</v>
      </c>
      <c r="E1690" s="4">
        <v>42372</v>
      </c>
      <c r="F1690" s="4"/>
      <c r="G1690" s="3" t="s">
        <v>29</v>
      </c>
      <c r="H1690" s="5">
        <v>17754</v>
      </c>
      <c r="I1690" s="3" t="str">
        <f>VLOOKUP(Tabela1[[#This Row],[Advogado]],Tabela2[],2,FALSE)</f>
        <v>Renê Amaranto</v>
      </c>
      <c r="J1690" s="17">
        <f>IF(Tabela1[[#This Row],[Data de conclusão]]="",NETWORKDAYS(Tabela1[[#This Row],[Data de entrada]],$J$2),NETWORKDAYS(Tabela1[[#This Row],[Data de entrada]],Tabela1[[#This Row],[Data de conclusão]]))</f>
        <v>617</v>
      </c>
      <c r="K1690" s="1"/>
    </row>
    <row r="1691" spans="2:11" x14ac:dyDescent="0.25">
      <c r="B1691" s="3">
        <v>1798</v>
      </c>
      <c r="C1691" s="3" t="s">
        <v>8</v>
      </c>
      <c r="D1691" s="3" t="s">
        <v>17</v>
      </c>
      <c r="E1691" s="4">
        <v>42521</v>
      </c>
      <c r="F1691" s="4"/>
      <c r="G1691" s="3" t="s">
        <v>29</v>
      </c>
      <c r="H1691" s="5">
        <v>2386</v>
      </c>
      <c r="I1691" s="3" t="str">
        <f>VLOOKUP(Tabela1[[#This Row],[Advogado]],Tabela2[],2,FALSE)</f>
        <v>Renê Amaranto</v>
      </c>
      <c r="J1691" s="17">
        <f>IF(Tabela1[[#This Row],[Data de conclusão]]="",NETWORKDAYS(Tabela1[[#This Row],[Data de entrada]],$J$2),NETWORKDAYS(Tabela1[[#This Row],[Data de entrada]],Tabela1[[#This Row],[Data de conclusão]]))</f>
        <v>511</v>
      </c>
      <c r="K1691" s="1"/>
    </row>
    <row r="1692" spans="2:11" x14ac:dyDescent="0.25">
      <c r="B1692" s="3">
        <v>1799</v>
      </c>
      <c r="C1692" s="3" t="s">
        <v>9</v>
      </c>
      <c r="D1692" s="3" t="s">
        <v>10</v>
      </c>
      <c r="E1692" s="4">
        <v>42808</v>
      </c>
      <c r="F1692" s="4">
        <v>42847</v>
      </c>
      <c r="G1692" s="3" t="s">
        <v>28</v>
      </c>
      <c r="H1692" s="5">
        <v>34531</v>
      </c>
      <c r="I1692" s="3" t="str">
        <f>VLOOKUP(Tabela1[[#This Row],[Advogado]],Tabela2[],2,FALSE)</f>
        <v>Caio Brito</v>
      </c>
      <c r="J1692" s="17">
        <f>IF(Tabela1[[#This Row],[Data de conclusão]]="",NETWORKDAYS(Tabela1[[#This Row],[Data de entrada]],$J$2),NETWORKDAYS(Tabela1[[#This Row],[Data de entrada]],Tabela1[[#This Row],[Data de conclusão]]))</f>
        <v>29</v>
      </c>
      <c r="K1692" s="1"/>
    </row>
    <row r="1693" spans="2:11" x14ac:dyDescent="0.25">
      <c r="B1693" s="3">
        <v>1800</v>
      </c>
      <c r="C1693" s="3" t="s">
        <v>7</v>
      </c>
      <c r="D1693" s="3" t="s">
        <v>11</v>
      </c>
      <c r="E1693" s="4">
        <v>42804</v>
      </c>
      <c r="F1693" s="4"/>
      <c r="G1693" s="3" t="s">
        <v>27</v>
      </c>
      <c r="H1693" s="5">
        <v>53913</v>
      </c>
      <c r="I1693" s="3" t="str">
        <f>VLOOKUP(Tabela1[[#This Row],[Advogado]],Tabela2[],2,FALSE)</f>
        <v>Caio Brito</v>
      </c>
      <c r="J1693" s="17">
        <f>IF(Tabela1[[#This Row],[Data de conclusão]]="",NETWORKDAYS(Tabela1[[#This Row],[Data de entrada]],$J$2),NETWORKDAYS(Tabela1[[#This Row],[Data de entrada]],Tabela1[[#This Row],[Data de conclusão]]))</f>
        <v>308</v>
      </c>
      <c r="K1693" s="1"/>
    </row>
    <row r="1694" spans="2:11" x14ac:dyDescent="0.25">
      <c r="B1694" s="3">
        <v>1801</v>
      </c>
      <c r="C1694" s="3" t="s">
        <v>8</v>
      </c>
      <c r="D1694" s="3" t="s">
        <v>12</v>
      </c>
      <c r="E1694" s="4">
        <v>42424</v>
      </c>
      <c r="F1694" s="4"/>
      <c r="G1694" s="3" t="s">
        <v>29</v>
      </c>
      <c r="H1694" s="5">
        <v>6478</v>
      </c>
      <c r="I1694" s="3" t="str">
        <f>VLOOKUP(Tabela1[[#This Row],[Advogado]],Tabela2[],2,FALSE)</f>
        <v>Caio Brito</v>
      </c>
      <c r="J1694" s="17">
        <f>IF(Tabela1[[#This Row],[Data de conclusão]]="",NETWORKDAYS(Tabela1[[#This Row],[Data de entrada]],$J$2),NETWORKDAYS(Tabela1[[#This Row],[Data de entrada]],Tabela1[[#This Row],[Data de conclusão]]))</f>
        <v>580</v>
      </c>
      <c r="K1694" s="1"/>
    </row>
    <row r="1695" spans="2:11" x14ac:dyDescent="0.25">
      <c r="B1695" s="3">
        <v>1802</v>
      </c>
      <c r="C1695" s="3" t="s">
        <v>9</v>
      </c>
      <c r="D1695" s="3" t="s">
        <v>13</v>
      </c>
      <c r="E1695" s="4">
        <v>43064</v>
      </c>
      <c r="F1695" s="4"/>
      <c r="G1695" s="3" t="s">
        <v>29</v>
      </c>
      <c r="H1695" s="5">
        <v>13240</v>
      </c>
      <c r="I1695" s="3" t="str">
        <f>VLOOKUP(Tabela1[[#This Row],[Advogado]],Tabela2[],2,FALSE)</f>
        <v>Caio Brito</v>
      </c>
      <c r="J1695" s="17">
        <f>IF(Tabela1[[#This Row],[Data de conclusão]]="",NETWORKDAYS(Tabela1[[#This Row],[Data de entrada]],$J$2),NETWORKDAYS(Tabela1[[#This Row],[Data de entrada]],Tabela1[[#This Row],[Data de conclusão]]))</f>
        <v>122</v>
      </c>
      <c r="K1695" s="1"/>
    </row>
    <row r="1696" spans="2:11" x14ac:dyDescent="0.25">
      <c r="B1696" s="3">
        <v>1803</v>
      </c>
      <c r="C1696" s="3" t="s">
        <v>7</v>
      </c>
      <c r="D1696" s="3" t="s">
        <v>14</v>
      </c>
      <c r="E1696" s="4">
        <v>42495</v>
      </c>
      <c r="F1696" s="4"/>
      <c r="G1696" s="3" t="s">
        <v>29</v>
      </c>
      <c r="H1696" s="5">
        <v>27968</v>
      </c>
      <c r="I1696" s="3" t="str">
        <f>VLOOKUP(Tabela1[[#This Row],[Advogado]],Tabela2[],2,FALSE)</f>
        <v>Renê Amaranto</v>
      </c>
      <c r="J1696" s="17">
        <f>IF(Tabela1[[#This Row],[Data de conclusão]]="",NETWORKDAYS(Tabela1[[#This Row],[Data de entrada]],$J$2),NETWORKDAYS(Tabela1[[#This Row],[Data de entrada]],Tabela1[[#This Row],[Data de conclusão]]))</f>
        <v>529</v>
      </c>
      <c r="K1696" s="1"/>
    </row>
    <row r="1697" spans="2:11" x14ac:dyDescent="0.25">
      <c r="B1697" s="3">
        <v>1804</v>
      </c>
      <c r="C1697" s="3" t="s">
        <v>8</v>
      </c>
      <c r="D1697" s="3" t="s">
        <v>15</v>
      </c>
      <c r="E1697" s="4">
        <v>42408</v>
      </c>
      <c r="F1697" s="4"/>
      <c r="G1697" s="3" t="s">
        <v>29</v>
      </c>
      <c r="H1697" s="5">
        <v>19110</v>
      </c>
      <c r="I1697" s="3" t="str">
        <f>VLOOKUP(Tabela1[[#This Row],[Advogado]],Tabela2[],2,FALSE)</f>
        <v>Renê Amaranto</v>
      </c>
      <c r="J1697" s="17">
        <f>IF(Tabela1[[#This Row],[Data de conclusão]]="",NETWORKDAYS(Tabela1[[#This Row],[Data de entrada]],$J$2),NETWORKDAYS(Tabela1[[#This Row],[Data de entrada]],Tabela1[[#This Row],[Data de conclusão]]))</f>
        <v>592</v>
      </c>
      <c r="K1697" s="1"/>
    </row>
    <row r="1698" spans="2:11" x14ac:dyDescent="0.25">
      <c r="B1698" s="3">
        <v>1805</v>
      </c>
      <c r="C1698" s="3" t="s">
        <v>9</v>
      </c>
      <c r="D1698" s="3" t="s">
        <v>16</v>
      </c>
      <c r="E1698" s="4">
        <v>42581</v>
      </c>
      <c r="F1698" s="4"/>
      <c r="G1698" s="3" t="s">
        <v>29</v>
      </c>
      <c r="H1698" s="5">
        <v>49673</v>
      </c>
      <c r="I1698" s="3" t="str">
        <f>VLOOKUP(Tabela1[[#This Row],[Advogado]],Tabela2[],2,FALSE)</f>
        <v>Renê Amaranto</v>
      </c>
      <c r="J1698" s="17">
        <f>IF(Tabela1[[#This Row],[Data de conclusão]]="",NETWORKDAYS(Tabela1[[#This Row],[Data de entrada]],$J$2),NETWORKDAYS(Tabela1[[#This Row],[Data de entrada]],Tabela1[[#This Row],[Data de conclusão]]))</f>
        <v>467</v>
      </c>
      <c r="K1698" s="1"/>
    </row>
    <row r="1699" spans="2:11" x14ac:dyDescent="0.25">
      <c r="B1699" s="3">
        <v>1806</v>
      </c>
      <c r="C1699" s="3" t="s">
        <v>7</v>
      </c>
      <c r="D1699" s="3" t="s">
        <v>17</v>
      </c>
      <c r="E1699" s="4">
        <v>42912</v>
      </c>
      <c r="F1699" s="4"/>
      <c r="G1699" s="3" t="s">
        <v>29</v>
      </c>
      <c r="H1699" s="5">
        <v>13878</v>
      </c>
      <c r="I1699" s="3" t="str">
        <f>VLOOKUP(Tabela1[[#This Row],[Advogado]],Tabela2[],2,FALSE)</f>
        <v>Renê Amaranto</v>
      </c>
      <c r="J1699" s="17">
        <f>IF(Tabela1[[#This Row],[Data de conclusão]]="",NETWORKDAYS(Tabela1[[#This Row],[Data de entrada]],$J$2),NETWORKDAYS(Tabela1[[#This Row],[Data de entrada]],Tabela1[[#This Row],[Data de conclusão]]))</f>
        <v>232</v>
      </c>
      <c r="K1699" s="1"/>
    </row>
    <row r="1700" spans="2:11" x14ac:dyDescent="0.25">
      <c r="B1700" s="3">
        <v>1807</v>
      </c>
      <c r="C1700" s="3" t="s">
        <v>8</v>
      </c>
      <c r="D1700" s="3" t="s">
        <v>10</v>
      </c>
      <c r="E1700" s="4">
        <v>42952</v>
      </c>
      <c r="F1700" s="4"/>
      <c r="G1700" s="3" t="s">
        <v>29</v>
      </c>
      <c r="H1700" s="5">
        <v>52547</v>
      </c>
      <c r="I1700" s="3" t="str">
        <f>VLOOKUP(Tabela1[[#This Row],[Advogado]],Tabela2[],2,FALSE)</f>
        <v>Caio Brito</v>
      </c>
      <c r="J1700" s="17">
        <f>IF(Tabela1[[#This Row],[Data de conclusão]]="",NETWORKDAYS(Tabela1[[#This Row],[Data de entrada]],$J$2),NETWORKDAYS(Tabela1[[#This Row],[Data de entrada]],Tabela1[[#This Row],[Data de conclusão]]))</f>
        <v>202</v>
      </c>
      <c r="K1700" s="1"/>
    </row>
    <row r="1701" spans="2:11" x14ac:dyDescent="0.25">
      <c r="B1701" s="3">
        <v>1808</v>
      </c>
      <c r="C1701" s="3" t="s">
        <v>9</v>
      </c>
      <c r="D1701" s="3" t="s">
        <v>11</v>
      </c>
      <c r="E1701" s="4">
        <v>42690</v>
      </c>
      <c r="F1701" s="4"/>
      <c r="G1701" s="3" t="s">
        <v>29</v>
      </c>
      <c r="H1701" s="5">
        <v>29842</v>
      </c>
      <c r="I1701" s="3" t="str">
        <f>VLOOKUP(Tabela1[[#This Row],[Advogado]],Tabela2[],2,FALSE)</f>
        <v>Caio Brito</v>
      </c>
      <c r="J1701" s="17">
        <f>IF(Tabela1[[#This Row],[Data de conclusão]]="",NETWORKDAYS(Tabela1[[#This Row],[Data de entrada]],$J$2),NETWORKDAYS(Tabela1[[#This Row],[Data de entrada]],Tabela1[[#This Row],[Data de conclusão]]))</f>
        <v>390</v>
      </c>
      <c r="K1701" s="1"/>
    </row>
    <row r="1702" spans="2:11" x14ac:dyDescent="0.25">
      <c r="B1702" s="3">
        <v>1809</v>
      </c>
      <c r="C1702" s="3" t="s">
        <v>7</v>
      </c>
      <c r="D1702" s="3" t="s">
        <v>12</v>
      </c>
      <c r="E1702" s="4">
        <v>42670</v>
      </c>
      <c r="F1702" s="4"/>
      <c r="G1702" s="3" t="s">
        <v>29</v>
      </c>
      <c r="H1702" s="5">
        <v>55576</v>
      </c>
      <c r="I1702" s="3" t="str">
        <f>VLOOKUP(Tabela1[[#This Row],[Advogado]],Tabela2[],2,FALSE)</f>
        <v>Caio Brito</v>
      </c>
      <c r="J1702" s="17">
        <f>IF(Tabela1[[#This Row],[Data de conclusão]]="",NETWORKDAYS(Tabela1[[#This Row],[Data de entrada]],$J$2),NETWORKDAYS(Tabela1[[#This Row],[Data de entrada]],Tabela1[[#This Row],[Data de conclusão]]))</f>
        <v>404</v>
      </c>
      <c r="K1702" s="1"/>
    </row>
    <row r="1703" spans="2:11" x14ac:dyDescent="0.25">
      <c r="B1703" s="3">
        <v>1810</v>
      </c>
      <c r="C1703" s="3" t="s">
        <v>8</v>
      </c>
      <c r="D1703" s="3" t="s">
        <v>13</v>
      </c>
      <c r="E1703" s="4">
        <v>42866</v>
      </c>
      <c r="F1703" s="4"/>
      <c r="G1703" s="3" t="s">
        <v>29</v>
      </c>
      <c r="H1703" s="5">
        <v>50470</v>
      </c>
      <c r="I1703" s="3" t="str">
        <f>VLOOKUP(Tabela1[[#This Row],[Advogado]],Tabela2[],2,FALSE)</f>
        <v>Caio Brito</v>
      </c>
      <c r="J1703" s="17">
        <f>IF(Tabela1[[#This Row],[Data de conclusão]]="",NETWORKDAYS(Tabela1[[#This Row],[Data de entrada]],$J$2),NETWORKDAYS(Tabela1[[#This Row],[Data de entrada]],Tabela1[[#This Row],[Data de conclusão]]))</f>
        <v>264</v>
      </c>
      <c r="K1703" s="1"/>
    </row>
    <row r="1704" spans="2:11" x14ac:dyDescent="0.25">
      <c r="B1704" s="3">
        <v>1811</v>
      </c>
      <c r="C1704" s="3" t="s">
        <v>9</v>
      </c>
      <c r="D1704" s="3" t="s">
        <v>14</v>
      </c>
      <c r="E1704" s="4">
        <v>42973</v>
      </c>
      <c r="F1704" s="4"/>
      <c r="G1704" s="3" t="s">
        <v>29</v>
      </c>
      <c r="H1704" s="5">
        <v>25873</v>
      </c>
      <c r="I1704" s="3" t="str">
        <f>VLOOKUP(Tabela1[[#This Row],[Advogado]],Tabela2[],2,FALSE)</f>
        <v>Renê Amaranto</v>
      </c>
      <c r="J1704" s="17">
        <f>IF(Tabela1[[#This Row],[Data de conclusão]]="",NETWORKDAYS(Tabela1[[#This Row],[Data de entrada]],$J$2),NETWORKDAYS(Tabela1[[#This Row],[Data de entrada]],Tabela1[[#This Row],[Data de conclusão]]))</f>
        <v>187</v>
      </c>
      <c r="K1704" s="1"/>
    </row>
    <row r="1705" spans="2:11" x14ac:dyDescent="0.25">
      <c r="B1705" s="3">
        <v>1812</v>
      </c>
      <c r="C1705" s="3" t="s">
        <v>7</v>
      </c>
      <c r="D1705" s="3" t="s">
        <v>15</v>
      </c>
      <c r="E1705" s="4">
        <v>42859</v>
      </c>
      <c r="F1705" s="4">
        <v>42902</v>
      </c>
      <c r="G1705" s="3" t="s">
        <v>28</v>
      </c>
      <c r="H1705" s="5">
        <v>2050</v>
      </c>
      <c r="I1705" s="3" t="str">
        <f>VLOOKUP(Tabela1[[#This Row],[Advogado]],Tabela2[],2,FALSE)</f>
        <v>Renê Amaranto</v>
      </c>
      <c r="J1705" s="17">
        <f>IF(Tabela1[[#This Row],[Data de conclusão]]="",NETWORKDAYS(Tabela1[[#This Row],[Data de entrada]],$J$2),NETWORKDAYS(Tabela1[[#This Row],[Data de entrada]],Tabela1[[#This Row],[Data de conclusão]]))</f>
        <v>32</v>
      </c>
      <c r="K1705" s="1"/>
    </row>
    <row r="1706" spans="2:11" x14ac:dyDescent="0.25">
      <c r="B1706" s="3">
        <v>1813</v>
      </c>
      <c r="C1706" s="3" t="s">
        <v>8</v>
      </c>
      <c r="D1706" s="3" t="s">
        <v>16</v>
      </c>
      <c r="E1706" s="4">
        <v>42370</v>
      </c>
      <c r="F1706" s="4"/>
      <c r="G1706" s="3" t="s">
        <v>27</v>
      </c>
      <c r="H1706" s="5">
        <v>48089</v>
      </c>
      <c r="I1706" s="3" t="str">
        <f>VLOOKUP(Tabela1[[#This Row],[Advogado]],Tabela2[],2,FALSE)</f>
        <v>Renê Amaranto</v>
      </c>
      <c r="J1706" s="17">
        <f>IF(Tabela1[[#This Row],[Data de conclusão]]="",NETWORKDAYS(Tabela1[[#This Row],[Data de entrada]],$J$2),NETWORKDAYS(Tabela1[[#This Row],[Data de entrada]],Tabela1[[#This Row],[Data de conclusão]]))</f>
        <v>618</v>
      </c>
      <c r="K1706" s="1"/>
    </row>
    <row r="1707" spans="2:11" x14ac:dyDescent="0.25">
      <c r="B1707" s="3">
        <v>1814</v>
      </c>
      <c r="C1707" s="3" t="s">
        <v>9</v>
      </c>
      <c r="D1707" s="3" t="s">
        <v>17</v>
      </c>
      <c r="E1707" s="4">
        <v>43004</v>
      </c>
      <c r="F1707" s="4"/>
      <c r="G1707" s="3" t="s">
        <v>29</v>
      </c>
      <c r="H1707" s="5">
        <v>17204</v>
      </c>
      <c r="I1707" s="3" t="str">
        <f>VLOOKUP(Tabela1[[#This Row],[Advogado]],Tabela2[],2,FALSE)</f>
        <v>Renê Amaranto</v>
      </c>
      <c r="J1707" s="17">
        <f>IF(Tabela1[[#This Row],[Data de conclusão]]="",NETWORKDAYS(Tabela1[[#This Row],[Data de entrada]],$J$2),NETWORKDAYS(Tabela1[[#This Row],[Data de entrada]],Tabela1[[#This Row],[Data de conclusão]]))</f>
        <v>166</v>
      </c>
      <c r="K1707" s="1"/>
    </row>
    <row r="1708" spans="2:11" x14ac:dyDescent="0.25">
      <c r="B1708" s="3">
        <v>1815</v>
      </c>
      <c r="C1708" s="3" t="s">
        <v>7</v>
      </c>
      <c r="D1708" s="3" t="s">
        <v>10</v>
      </c>
      <c r="E1708" s="4">
        <v>42580</v>
      </c>
      <c r="F1708" s="4"/>
      <c r="G1708" s="3" t="s">
        <v>29</v>
      </c>
      <c r="H1708" s="5">
        <v>30990</v>
      </c>
      <c r="I1708" s="3" t="str">
        <f>VLOOKUP(Tabela1[[#This Row],[Advogado]],Tabela2[],2,FALSE)</f>
        <v>Caio Brito</v>
      </c>
      <c r="J1708" s="17">
        <f>IF(Tabela1[[#This Row],[Data de conclusão]]="",NETWORKDAYS(Tabela1[[#This Row],[Data de entrada]],$J$2),NETWORKDAYS(Tabela1[[#This Row],[Data de entrada]],Tabela1[[#This Row],[Data de conclusão]]))</f>
        <v>468</v>
      </c>
      <c r="K1708" s="1"/>
    </row>
    <row r="1709" spans="2:11" x14ac:dyDescent="0.25">
      <c r="B1709" s="3">
        <v>1816</v>
      </c>
      <c r="C1709" s="3" t="s">
        <v>8</v>
      </c>
      <c r="D1709" s="3" t="s">
        <v>11</v>
      </c>
      <c r="E1709" s="4">
        <v>42763</v>
      </c>
      <c r="F1709" s="4"/>
      <c r="G1709" s="3" t="s">
        <v>29</v>
      </c>
      <c r="H1709" s="5">
        <v>24747</v>
      </c>
      <c r="I1709" s="3" t="str">
        <f>VLOOKUP(Tabela1[[#This Row],[Advogado]],Tabela2[],2,FALSE)</f>
        <v>Caio Brito</v>
      </c>
      <c r="J1709" s="17">
        <f>IF(Tabela1[[#This Row],[Data de conclusão]]="",NETWORKDAYS(Tabela1[[#This Row],[Data de entrada]],$J$2),NETWORKDAYS(Tabela1[[#This Row],[Data de entrada]],Tabela1[[#This Row],[Data de conclusão]]))</f>
        <v>337</v>
      </c>
      <c r="K1709" s="1"/>
    </row>
    <row r="1710" spans="2:11" x14ac:dyDescent="0.25">
      <c r="B1710" s="3">
        <v>1817</v>
      </c>
      <c r="C1710" s="3" t="s">
        <v>9</v>
      </c>
      <c r="D1710" s="3" t="s">
        <v>12</v>
      </c>
      <c r="E1710" s="4">
        <v>42905</v>
      </c>
      <c r="F1710" s="4"/>
      <c r="G1710" s="3" t="s">
        <v>29</v>
      </c>
      <c r="H1710" s="5">
        <v>2867</v>
      </c>
      <c r="I1710" s="3" t="str">
        <f>VLOOKUP(Tabela1[[#This Row],[Advogado]],Tabela2[],2,FALSE)</f>
        <v>Caio Brito</v>
      </c>
      <c r="J1710" s="17">
        <f>IF(Tabela1[[#This Row],[Data de conclusão]]="",NETWORKDAYS(Tabela1[[#This Row],[Data de entrada]],$J$2),NETWORKDAYS(Tabela1[[#This Row],[Data de entrada]],Tabela1[[#This Row],[Data de conclusão]]))</f>
        <v>237</v>
      </c>
      <c r="K1710" s="1"/>
    </row>
    <row r="1711" spans="2:11" x14ac:dyDescent="0.25">
      <c r="B1711" s="3">
        <v>1818</v>
      </c>
      <c r="C1711" s="3" t="s">
        <v>7</v>
      </c>
      <c r="D1711" s="3" t="s">
        <v>13</v>
      </c>
      <c r="E1711" s="4">
        <v>42564</v>
      </c>
      <c r="F1711" s="4"/>
      <c r="G1711" s="3" t="s">
        <v>29</v>
      </c>
      <c r="H1711" s="5">
        <v>44220</v>
      </c>
      <c r="I1711" s="3" t="str">
        <f>VLOOKUP(Tabela1[[#This Row],[Advogado]],Tabela2[],2,FALSE)</f>
        <v>Caio Brito</v>
      </c>
      <c r="J1711" s="17">
        <f>IF(Tabela1[[#This Row],[Data de conclusão]]="",NETWORKDAYS(Tabela1[[#This Row],[Data de entrada]],$J$2),NETWORKDAYS(Tabela1[[#This Row],[Data de entrada]],Tabela1[[#This Row],[Data de conclusão]]))</f>
        <v>480</v>
      </c>
      <c r="K1711" s="1"/>
    </row>
    <row r="1712" spans="2:11" x14ac:dyDescent="0.25">
      <c r="B1712" s="3">
        <v>1819</v>
      </c>
      <c r="C1712" s="3" t="s">
        <v>8</v>
      </c>
      <c r="D1712" s="3" t="s">
        <v>14</v>
      </c>
      <c r="E1712" s="4">
        <v>42402</v>
      </c>
      <c r="F1712" s="4"/>
      <c r="G1712" s="3" t="s">
        <v>29</v>
      </c>
      <c r="H1712" s="5">
        <v>57416</v>
      </c>
      <c r="I1712" s="3" t="str">
        <f>VLOOKUP(Tabela1[[#This Row],[Advogado]],Tabela2[],2,FALSE)</f>
        <v>Renê Amaranto</v>
      </c>
      <c r="J1712" s="17">
        <f>IF(Tabela1[[#This Row],[Data de conclusão]]="",NETWORKDAYS(Tabela1[[#This Row],[Data de entrada]],$J$2),NETWORKDAYS(Tabela1[[#This Row],[Data de entrada]],Tabela1[[#This Row],[Data de conclusão]]))</f>
        <v>596</v>
      </c>
      <c r="K1712" s="1"/>
    </row>
    <row r="1713" spans="2:11" x14ac:dyDescent="0.25">
      <c r="B1713" s="3">
        <v>1820</v>
      </c>
      <c r="C1713" s="3" t="s">
        <v>9</v>
      </c>
      <c r="D1713" s="3" t="s">
        <v>15</v>
      </c>
      <c r="E1713" s="4">
        <v>42471</v>
      </c>
      <c r="F1713" s="4"/>
      <c r="G1713" s="3" t="s">
        <v>29</v>
      </c>
      <c r="H1713" s="5">
        <v>47400</v>
      </c>
      <c r="I1713" s="3" t="str">
        <f>VLOOKUP(Tabela1[[#This Row],[Advogado]],Tabela2[],2,FALSE)</f>
        <v>Renê Amaranto</v>
      </c>
      <c r="J1713" s="17">
        <f>IF(Tabela1[[#This Row],[Data de conclusão]]="",NETWORKDAYS(Tabela1[[#This Row],[Data de entrada]],$J$2),NETWORKDAYS(Tabela1[[#This Row],[Data de entrada]],Tabela1[[#This Row],[Data de conclusão]]))</f>
        <v>547</v>
      </c>
      <c r="K1713" s="1"/>
    </row>
    <row r="1714" spans="2:11" x14ac:dyDescent="0.25">
      <c r="B1714" s="3">
        <v>1821</v>
      </c>
      <c r="C1714" s="3" t="s">
        <v>7</v>
      </c>
      <c r="D1714" s="3" t="s">
        <v>16</v>
      </c>
      <c r="E1714" s="4">
        <v>42773</v>
      </c>
      <c r="F1714" s="4"/>
      <c r="G1714" s="3" t="s">
        <v>29</v>
      </c>
      <c r="H1714" s="5">
        <v>32965</v>
      </c>
      <c r="I1714" s="3" t="str">
        <f>VLOOKUP(Tabela1[[#This Row],[Advogado]],Tabela2[],2,FALSE)</f>
        <v>Renê Amaranto</v>
      </c>
      <c r="J1714" s="17">
        <f>IF(Tabela1[[#This Row],[Data de conclusão]]="",NETWORKDAYS(Tabela1[[#This Row],[Data de entrada]],$J$2),NETWORKDAYS(Tabela1[[#This Row],[Data de entrada]],Tabela1[[#This Row],[Data de conclusão]]))</f>
        <v>331</v>
      </c>
      <c r="K1714" s="1"/>
    </row>
    <row r="1715" spans="2:11" x14ac:dyDescent="0.25">
      <c r="B1715" s="3">
        <v>1822</v>
      </c>
      <c r="C1715" s="3" t="s">
        <v>8</v>
      </c>
      <c r="D1715" s="3" t="s">
        <v>17</v>
      </c>
      <c r="E1715" s="4">
        <v>43100</v>
      </c>
      <c r="F1715" s="4"/>
      <c r="G1715" s="3" t="s">
        <v>29</v>
      </c>
      <c r="H1715" s="5">
        <v>7092</v>
      </c>
      <c r="I1715" s="3" t="str">
        <f>VLOOKUP(Tabela1[[#This Row],[Advogado]],Tabela2[],2,FALSE)</f>
        <v>Renê Amaranto</v>
      </c>
      <c r="J1715" s="17">
        <f>IF(Tabela1[[#This Row],[Data de conclusão]]="",NETWORKDAYS(Tabela1[[#This Row],[Data de entrada]],$J$2),NETWORKDAYS(Tabela1[[#This Row],[Data de entrada]],Tabela1[[#This Row],[Data de conclusão]]))</f>
        <v>97</v>
      </c>
      <c r="K1715" s="1"/>
    </row>
    <row r="1716" spans="2:11" x14ac:dyDescent="0.25">
      <c r="B1716" s="3">
        <v>1823</v>
      </c>
      <c r="C1716" s="3" t="s">
        <v>9</v>
      </c>
      <c r="D1716" s="3" t="s">
        <v>10</v>
      </c>
      <c r="E1716" s="4">
        <v>42735</v>
      </c>
      <c r="F1716" s="4"/>
      <c r="G1716" s="3" t="s">
        <v>29</v>
      </c>
      <c r="H1716" s="5">
        <v>24245</v>
      </c>
      <c r="I1716" s="3" t="str">
        <f>VLOOKUP(Tabela1[[#This Row],[Advogado]],Tabela2[],2,FALSE)</f>
        <v>Caio Brito</v>
      </c>
      <c r="J1716" s="17">
        <f>IF(Tabela1[[#This Row],[Data de conclusão]]="",NETWORKDAYS(Tabela1[[#This Row],[Data de entrada]],$J$2),NETWORKDAYS(Tabela1[[#This Row],[Data de entrada]],Tabela1[[#This Row],[Data de conclusão]]))</f>
        <v>357</v>
      </c>
      <c r="K1716" s="1"/>
    </row>
    <row r="1717" spans="2:11" x14ac:dyDescent="0.25">
      <c r="B1717" s="3">
        <v>1824</v>
      </c>
      <c r="C1717" s="3" t="s">
        <v>7</v>
      </c>
      <c r="D1717" s="3" t="s">
        <v>11</v>
      </c>
      <c r="E1717" s="4">
        <v>42571</v>
      </c>
      <c r="F1717" s="4"/>
      <c r="G1717" s="3" t="s">
        <v>29</v>
      </c>
      <c r="H1717" s="5">
        <v>26681</v>
      </c>
      <c r="I1717" s="3" t="str">
        <f>VLOOKUP(Tabela1[[#This Row],[Advogado]],Tabela2[],2,FALSE)</f>
        <v>Caio Brito</v>
      </c>
      <c r="J1717" s="17">
        <f>IF(Tabela1[[#This Row],[Data de conclusão]]="",NETWORKDAYS(Tabela1[[#This Row],[Data de entrada]],$J$2),NETWORKDAYS(Tabela1[[#This Row],[Data de entrada]],Tabela1[[#This Row],[Data de conclusão]]))</f>
        <v>475</v>
      </c>
      <c r="K1717" s="1"/>
    </row>
    <row r="1718" spans="2:11" x14ac:dyDescent="0.25">
      <c r="B1718" s="3">
        <v>1825</v>
      </c>
      <c r="C1718" s="3" t="s">
        <v>8</v>
      </c>
      <c r="D1718" s="3" t="s">
        <v>12</v>
      </c>
      <c r="E1718" s="4">
        <v>42662</v>
      </c>
      <c r="F1718" s="4">
        <v>42708</v>
      </c>
      <c r="G1718" s="3" t="s">
        <v>28</v>
      </c>
      <c r="H1718" s="5">
        <v>41643</v>
      </c>
      <c r="I1718" s="3" t="str">
        <f>VLOOKUP(Tabela1[[#This Row],[Advogado]],Tabela2[],2,FALSE)</f>
        <v>Caio Brito</v>
      </c>
      <c r="J1718" s="17">
        <f>IF(Tabela1[[#This Row],[Data de conclusão]]="",NETWORKDAYS(Tabela1[[#This Row],[Data de entrada]],$J$2),NETWORKDAYS(Tabela1[[#This Row],[Data de entrada]],Tabela1[[#This Row],[Data de conclusão]]))</f>
        <v>33</v>
      </c>
      <c r="K1718" s="1"/>
    </row>
    <row r="1719" spans="2:11" x14ac:dyDescent="0.25">
      <c r="B1719" s="3">
        <v>1826</v>
      </c>
      <c r="C1719" s="3" t="s">
        <v>9</v>
      </c>
      <c r="D1719" s="3" t="s">
        <v>13</v>
      </c>
      <c r="E1719" s="4">
        <v>42796</v>
      </c>
      <c r="F1719" s="4"/>
      <c r="G1719" s="3" t="s">
        <v>27</v>
      </c>
      <c r="H1719" s="5">
        <v>47124</v>
      </c>
      <c r="I1719" s="3" t="str">
        <f>VLOOKUP(Tabela1[[#This Row],[Advogado]],Tabela2[],2,FALSE)</f>
        <v>Caio Brito</v>
      </c>
      <c r="J1719" s="17">
        <f>IF(Tabela1[[#This Row],[Data de conclusão]]="",NETWORKDAYS(Tabela1[[#This Row],[Data de entrada]],$J$2),NETWORKDAYS(Tabela1[[#This Row],[Data de entrada]],Tabela1[[#This Row],[Data de conclusão]]))</f>
        <v>314</v>
      </c>
      <c r="K1719" s="1"/>
    </row>
    <row r="1720" spans="2:11" x14ac:dyDescent="0.25">
      <c r="B1720" s="3">
        <v>1827</v>
      </c>
      <c r="C1720" s="3" t="s">
        <v>7</v>
      </c>
      <c r="D1720" s="3" t="s">
        <v>14</v>
      </c>
      <c r="E1720" s="4">
        <v>42849</v>
      </c>
      <c r="F1720" s="4"/>
      <c r="G1720" s="3" t="s">
        <v>29</v>
      </c>
      <c r="H1720" s="5">
        <v>55815</v>
      </c>
      <c r="I1720" s="3" t="str">
        <f>VLOOKUP(Tabela1[[#This Row],[Advogado]],Tabela2[],2,FALSE)</f>
        <v>Renê Amaranto</v>
      </c>
      <c r="J1720" s="17">
        <f>IF(Tabela1[[#This Row],[Data de conclusão]]="",NETWORKDAYS(Tabela1[[#This Row],[Data de entrada]],$J$2),NETWORKDAYS(Tabela1[[#This Row],[Data de entrada]],Tabela1[[#This Row],[Data de conclusão]]))</f>
        <v>277</v>
      </c>
      <c r="K1720" s="1"/>
    </row>
    <row r="1721" spans="2:11" x14ac:dyDescent="0.25">
      <c r="B1721" s="3">
        <v>1828</v>
      </c>
      <c r="C1721" s="3" t="s">
        <v>8</v>
      </c>
      <c r="D1721" s="3" t="s">
        <v>15</v>
      </c>
      <c r="E1721" s="4">
        <v>43075</v>
      </c>
      <c r="F1721" s="4"/>
      <c r="G1721" s="3" t="s">
        <v>29</v>
      </c>
      <c r="H1721" s="5">
        <v>35427</v>
      </c>
      <c r="I1721" s="3" t="str">
        <f>VLOOKUP(Tabela1[[#This Row],[Advogado]],Tabela2[],2,FALSE)</f>
        <v>Renê Amaranto</v>
      </c>
      <c r="J1721" s="17">
        <f>IF(Tabela1[[#This Row],[Data de conclusão]]="",NETWORKDAYS(Tabela1[[#This Row],[Data de entrada]],$J$2),NETWORKDAYS(Tabela1[[#This Row],[Data de entrada]],Tabela1[[#This Row],[Data de conclusão]]))</f>
        <v>115</v>
      </c>
      <c r="K1721" s="1"/>
    </row>
    <row r="1722" spans="2:11" x14ac:dyDescent="0.25">
      <c r="B1722" s="3">
        <v>1829</v>
      </c>
      <c r="C1722" s="3" t="s">
        <v>9</v>
      </c>
      <c r="D1722" s="3" t="s">
        <v>16</v>
      </c>
      <c r="E1722" s="4">
        <v>42585</v>
      </c>
      <c r="F1722" s="4"/>
      <c r="G1722" s="3" t="s">
        <v>29</v>
      </c>
      <c r="H1722" s="5">
        <v>19355</v>
      </c>
      <c r="I1722" s="3" t="str">
        <f>VLOOKUP(Tabela1[[#This Row],[Advogado]],Tabela2[],2,FALSE)</f>
        <v>Renê Amaranto</v>
      </c>
      <c r="J1722" s="17">
        <f>IF(Tabela1[[#This Row],[Data de conclusão]]="",NETWORKDAYS(Tabela1[[#This Row],[Data de entrada]],$J$2),NETWORKDAYS(Tabela1[[#This Row],[Data de entrada]],Tabela1[[#This Row],[Data de conclusão]]))</f>
        <v>465</v>
      </c>
      <c r="K1722" s="1"/>
    </row>
    <row r="1723" spans="2:11" x14ac:dyDescent="0.25">
      <c r="B1723" s="3">
        <v>1830</v>
      </c>
      <c r="C1723" s="3" t="s">
        <v>7</v>
      </c>
      <c r="D1723" s="3" t="s">
        <v>17</v>
      </c>
      <c r="E1723" s="4">
        <v>42581</v>
      </c>
      <c r="F1723" s="4"/>
      <c r="G1723" s="3" t="s">
        <v>29</v>
      </c>
      <c r="H1723" s="5">
        <v>5357</v>
      </c>
      <c r="I1723" s="3" t="str">
        <f>VLOOKUP(Tabela1[[#This Row],[Advogado]],Tabela2[],2,FALSE)</f>
        <v>Renê Amaranto</v>
      </c>
      <c r="J1723" s="17">
        <f>IF(Tabela1[[#This Row],[Data de conclusão]]="",NETWORKDAYS(Tabela1[[#This Row],[Data de entrada]],$J$2),NETWORKDAYS(Tabela1[[#This Row],[Data de entrada]],Tabela1[[#This Row],[Data de conclusão]]))</f>
        <v>467</v>
      </c>
      <c r="K1723" s="1"/>
    </row>
    <row r="1724" spans="2:11" x14ac:dyDescent="0.25">
      <c r="B1724" s="3">
        <v>1831</v>
      </c>
      <c r="C1724" s="3" t="s">
        <v>8</v>
      </c>
      <c r="D1724" s="3" t="s">
        <v>10</v>
      </c>
      <c r="E1724" s="4">
        <v>42511</v>
      </c>
      <c r="F1724" s="4"/>
      <c r="G1724" s="3" t="s">
        <v>29</v>
      </c>
      <c r="H1724" s="5">
        <v>51331</v>
      </c>
      <c r="I1724" s="3" t="str">
        <f>VLOOKUP(Tabela1[[#This Row],[Advogado]],Tabela2[],2,FALSE)</f>
        <v>Caio Brito</v>
      </c>
      <c r="J1724" s="17">
        <f>IF(Tabela1[[#This Row],[Data de conclusão]]="",NETWORKDAYS(Tabela1[[#This Row],[Data de entrada]],$J$2),NETWORKDAYS(Tabela1[[#This Row],[Data de entrada]],Tabela1[[#This Row],[Data de conclusão]]))</f>
        <v>517</v>
      </c>
      <c r="K1724" s="1"/>
    </row>
    <row r="1725" spans="2:11" x14ac:dyDescent="0.25">
      <c r="B1725" s="3">
        <v>1832</v>
      </c>
      <c r="C1725" s="3" t="s">
        <v>9</v>
      </c>
      <c r="D1725" s="3" t="s">
        <v>11</v>
      </c>
      <c r="E1725" s="4">
        <v>42974</v>
      </c>
      <c r="F1725" s="4"/>
      <c r="G1725" s="3" t="s">
        <v>29</v>
      </c>
      <c r="H1725" s="5">
        <v>46099</v>
      </c>
      <c r="I1725" s="3" t="str">
        <f>VLOOKUP(Tabela1[[#This Row],[Advogado]],Tabela2[],2,FALSE)</f>
        <v>Caio Brito</v>
      </c>
      <c r="J1725" s="17">
        <f>IF(Tabela1[[#This Row],[Data de conclusão]]="",NETWORKDAYS(Tabela1[[#This Row],[Data de entrada]],$J$2),NETWORKDAYS(Tabela1[[#This Row],[Data de entrada]],Tabela1[[#This Row],[Data de conclusão]]))</f>
        <v>187</v>
      </c>
      <c r="K1725" s="1"/>
    </row>
    <row r="1726" spans="2:11" x14ac:dyDescent="0.25">
      <c r="B1726" s="3">
        <v>1833</v>
      </c>
      <c r="C1726" s="3" t="s">
        <v>7</v>
      </c>
      <c r="D1726" s="3" t="s">
        <v>12</v>
      </c>
      <c r="E1726" s="4">
        <v>42757</v>
      </c>
      <c r="F1726" s="4"/>
      <c r="G1726" s="3" t="s">
        <v>29</v>
      </c>
      <c r="H1726" s="5">
        <v>7656</v>
      </c>
      <c r="I1726" s="3" t="str">
        <f>VLOOKUP(Tabela1[[#This Row],[Advogado]],Tabela2[],2,FALSE)</f>
        <v>Caio Brito</v>
      </c>
      <c r="J1726" s="17">
        <f>IF(Tabela1[[#This Row],[Data de conclusão]]="",NETWORKDAYS(Tabela1[[#This Row],[Data de entrada]],$J$2),NETWORKDAYS(Tabela1[[#This Row],[Data de entrada]],Tabela1[[#This Row],[Data de conclusão]]))</f>
        <v>342</v>
      </c>
      <c r="K1726" s="1"/>
    </row>
    <row r="1727" spans="2:11" x14ac:dyDescent="0.25">
      <c r="B1727" s="3">
        <v>1834</v>
      </c>
      <c r="C1727" s="3" t="s">
        <v>8</v>
      </c>
      <c r="D1727" s="3" t="s">
        <v>13</v>
      </c>
      <c r="E1727" s="4">
        <v>42919</v>
      </c>
      <c r="F1727" s="4"/>
      <c r="G1727" s="3" t="s">
        <v>29</v>
      </c>
      <c r="H1727" s="5">
        <v>45364</v>
      </c>
      <c r="I1727" s="3" t="str">
        <f>VLOOKUP(Tabela1[[#This Row],[Advogado]],Tabela2[],2,FALSE)</f>
        <v>Caio Brito</v>
      </c>
      <c r="J1727" s="17">
        <f>IF(Tabela1[[#This Row],[Data de conclusão]]="",NETWORKDAYS(Tabela1[[#This Row],[Data de entrada]],$J$2),NETWORKDAYS(Tabela1[[#This Row],[Data de entrada]],Tabela1[[#This Row],[Data de conclusão]]))</f>
        <v>227</v>
      </c>
      <c r="K1727" s="1"/>
    </row>
    <row r="1728" spans="2:11" x14ac:dyDescent="0.25">
      <c r="B1728" s="3">
        <v>1835</v>
      </c>
      <c r="C1728" s="3" t="s">
        <v>9</v>
      </c>
      <c r="D1728" s="3" t="s">
        <v>14</v>
      </c>
      <c r="E1728" s="4">
        <v>43039</v>
      </c>
      <c r="F1728" s="4"/>
      <c r="G1728" s="3" t="s">
        <v>29</v>
      </c>
      <c r="H1728" s="5">
        <v>25309</v>
      </c>
      <c r="I1728" s="3" t="str">
        <f>VLOOKUP(Tabela1[[#This Row],[Advogado]],Tabela2[],2,FALSE)</f>
        <v>Renê Amaranto</v>
      </c>
      <c r="J1728" s="17">
        <f>IF(Tabela1[[#This Row],[Data de conclusão]]="",NETWORKDAYS(Tabela1[[#This Row],[Data de entrada]],$J$2),NETWORKDAYS(Tabela1[[#This Row],[Data de entrada]],Tabela1[[#This Row],[Data de conclusão]]))</f>
        <v>141</v>
      </c>
      <c r="K1728" s="1"/>
    </row>
    <row r="1729" spans="2:11" x14ac:dyDescent="0.25">
      <c r="B1729" s="3">
        <v>1836</v>
      </c>
      <c r="C1729" s="3" t="s">
        <v>7</v>
      </c>
      <c r="D1729" s="3" t="s">
        <v>15</v>
      </c>
      <c r="E1729" s="4">
        <v>42784</v>
      </c>
      <c r="F1729" s="4"/>
      <c r="G1729" s="3" t="s">
        <v>29</v>
      </c>
      <c r="H1729" s="5">
        <v>43118</v>
      </c>
      <c r="I1729" s="3" t="str">
        <f>VLOOKUP(Tabela1[[#This Row],[Advogado]],Tabela2[],2,FALSE)</f>
        <v>Renê Amaranto</v>
      </c>
      <c r="J1729" s="17">
        <f>IF(Tabela1[[#This Row],[Data de conclusão]]="",NETWORKDAYS(Tabela1[[#This Row],[Data de entrada]],$J$2),NETWORKDAYS(Tabela1[[#This Row],[Data de entrada]],Tabela1[[#This Row],[Data de conclusão]]))</f>
        <v>322</v>
      </c>
      <c r="K1729" s="1"/>
    </row>
    <row r="1730" spans="2:11" x14ac:dyDescent="0.25">
      <c r="B1730" s="3">
        <v>1837</v>
      </c>
      <c r="C1730" s="3" t="s">
        <v>8</v>
      </c>
      <c r="D1730" s="3" t="s">
        <v>16</v>
      </c>
      <c r="E1730" s="4">
        <v>42913</v>
      </c>
      <c r="F1730" s="4"/>
      <c r="G1730" s="3" t="s">
        <v>29</v>
      </c>
      <c r="H1730" s="5">
        <v>34304</v>
      </c>
      <c r="I1730" s="3" t="str">
        <f>VLOOKUP(Tabela1[[#This Row],[Advogado]],Tabela2[],2,FALSE)</f>
        <v>Renê Amaranto</v>
      </c>
      <c r="J1730" s="17">
        <f>IF(Tabela1[[#This Row],[Data de conclusão]]="",NETWORKDAYS(Tabela1[[#This Row],[Data de entrada]],$J$2),NETWORKDAYS(Tabela1[[#This Row],[Data de entrada]],Tabela1[[#This Row],[Data de conclusão]]))</f>
        <v>231</v>
      </c>
      <c r="K1730" s="1"/>
    </row>
    <row r="1731" spans="2:11" x14ac:dyDescent="0.25">
      <c r="B1731" s="3">
        <v>1838</v>
      </c>
      <c r="C1731" s="3" t="s">
        <v>9</v>
      </c>
      <c r="D1731" s="3" t="s">
        <v>17</v>
      </c>
      <c r="E1731" s="4">
        <v>42732</v>
      </c>
      <c r="F1731" s="4">
        <v>42823</v>
      </c>
      <c r="G1731" s="3" t="s">
        <v>28</v>
      </c>
      <c r="H1731" s="5">
        <v>10090</v>
      </c>
      <c r="I1731" s="3" t="str">
        <f>VLOOKUP(Tabela1[[#This Row],[Advogado]],Tabela2[],2,FALSE)</f>
        <v>Renê Amaranto</v>
      </c>
      <c r="J1731" s="17">
        <f>IF(Tabela1[[#This Row],[Data de conclusão]]="",NETWORKDAYS(Tabela1[[#This Row],[Data de entrada]],$J$2),NETWORKDAYS(Tabela1[[#This Row],[Data de entrada]],Tabela1[[#This Row],[Data de conclusão]]))</f>
        <v>66</v>
      </c>
      <c r="K1731" s="1"/>
    </row>
    <row r="1732" spans="2:11" x14ac:dyDescent="0.25">
      <c r="B1732" s="3">
        <v>1839</v>
      </c>
      <c r="C1732" s="3" t="s">
        <v>7</v>
      </c>
      <c r="D1732" s="3" t="s">
        <v>10</v>
      </c>
      <c r="E1732" s="4">
        <v>42953</v>
      </c>
      <c r="F1732" s="4"/>
      <c r="G1732" s="3" t="s">
        <v>27</v>
      </c>
      <c r="H1732" s="5">
        <v>27803</v>
      </c>
      <c r="I1732" s="3" t="str">
        <f>VLOOKUP(Tabela1[[#This Row],[Advogado]],Tabela2[],2,FALSE)</f>
        <v>Caio Brito</v>
      </c>
      <c r="J1732" s="17">
        <f>IF(Tabela1[[#This Row],[Data de conclusão]]="",NETWORKDAYS(Tabela1[[#This Row],[Data de entrada]],$J$2),NETWORKDAYS(Tabela1[[#This Row],[Data de entrada]],Tabela1[[#This Row],[Data de conclusão]]))</f>
        <v>202</v>
      </c>
      <c r="K1732" s="1"/>
    </row>
    <row r="1733" spans="2:11" x14ac:dyDescent="0.25">
      <c r="B1733" s="3">
        <v>1840</v>
      </c>
      <c r="C1733" s="3" t="s">
        <v>8</v>
      </c>
      <c r="D1733" s="3" t="s">
        <v>11</v>
      </c>
      <c r="E1733" s="4">
        <v>42546</v>
      </c>
      <c r="F1733" s="4"/>
      <c r="G1733" s="3" t="s">
        <v>29</v>
      </c>
      <c r="H1733" s="5">
        <v>39806</v>
      </c>
      <c r="I1733" s="3" t="str">
        <f>VLOOKUP(Tabela1[[#This Row],[Advogado]],Tabela2[],2,FALSE)</f>
        <v>Caio Brito</v>
      </c>
      <c r="J1733" s="17">
        <f>IF(Tabela1[[#This Row],[Data de conclusão]]="",NETWORKDAYS(Tabela1[[#This Row],[Data de entrada]],$J$2),NETWORKDAYS(Tabela1[[#This Row],[Data de entrada]],Tabela1[[#This Row],[Data de conclusão]]))</f>
        <v>492</v>
      </c>
      <c r="K1733" s="1"/>
    </row>
    <row r="1734" spans="2:11" x14ac:dyDescent="0.25">
      <c r="B1734" s="3">
        <v>1841</v>
      </c>
      <c r="C1734" s="3" t="s">
        <v>9</v>
      </c>
      <c r="D1734" s="3" t="s">
        <v>12</v>
      </c>
      <c r="E1734" s="4">
        <v>43025</v>
      </c>
      <c r="F1734" s="4"/>
      <c r="G1734" s="3" t="s">
        <v>29</v>
      </c>
      <c r="H1734" s="5">
        <v>52651</v>
      </c>
      <c r="I1734" s="3" t="str">
        <f>VLOOKUP(Tabela1[[#This Row],[Advogado]],Tabela2[],2,FALSE)</f>
        <v>Caio Brito</v>
      </c>
      <c r="J1734" s="17">
        <f>IF(Tabela1[[#This Row],[Data de conclusão]]="",NETWORKDAYS(Tabela1[[#This Row],[Data de entrada]],$J$2),NETWORKDAYS(Tabela1[[#This Row],[Data de entrada]],Tabela1[[#This Row],[Data de conclusão]]))</f>
        <v>151</v>
      </c>
      <c r="K1734" s="1"/>
    </row>
    <row r="1735" spans="2:11" x14ac:dyDescent="0.25">
      <c r="B1735" s="3">
        <v>1842</v>
      </c>
      <c r="C1735" s="3" t="s">
        <v>7</v>
      </c>
      <c r="D1735" s="3" t="s">
        <v>13</v>
      </c>
      <c r="E1735" s="4">
        <v>43040</v>
      </c>
      <c r="F1735" s="4"/>
      <c r="G1735" s="3" t="s">
        <v>29</v>
      </c>
      <c r="H1735" s="5">
        <v>4050</v>
      </c>
      <c r="I1735" s="3" t="str">
        <f>VLOOKUP(Tabela1[[#This Row],[Advogado]],Tabela2[],2,FALSE)</f>
        <v>Caio Brito</v>
      </c>
      <c r="J1735" s="17">
        <f>IF(Tabela1[[#This Row],[Data de conclusão]]="",NETWORKDAYS(Tabela1[[#This Row],[Data de entrada]],$J$2),NETWORKDAYS(Tabela1[[#This Row],[Data de entrada]],Tabela1[[#This Row],[Data de conclusão]]))</f>
        <v>140</v>
      </c>
      <c r="K1735" s="1"/>
    </row>
    <row r="1736" spans="2:11" x14ac:dyDescent="0.25">
      <c r="B1736" s="3">
        <v>1843</v>
      </c>
      <c r="C1736" s="3" t="s">
        <v>8</v>
      </c>
      <c r="D1736" s="3" t="s">
        <v>14</v>
      </c>
      <c r="E1736" s="4">
        <v>42608</v>
      </c>
      <c r="F1736" s="4"/>
      <c r="G1736" s="3" t="s">
        <v>29</v>
      </c>
      <c r="H1736" s="5">
        <v>3637</v>
      </c>
      <c r="I1736" s="3" t="str">
        <f>VLOOKUP(Tabela1[[#This Row],[Advogado]],Tabela2[],2,FALSE)</f>
        <v>Renê Amaranto</v>
      </c>
      <c r="J1736" s="17">
        <f>IF(Tabela1[[#This Row],[Data de conclusão]]="",NETWORKDAYS(Tabela1[[#This Row],[Data de entrada]],$J$2),NETWORKDAYS(Tabela1[[#This Row],[Data de entrada]],Tabela1[[#This Row],[Data de conclusão]]))</f>
        <v>448</v>
      </c>
      <c r="K1736" s="1"/>
    </row>
    <row r="1737" spans="2:11" x14ac:dyDescent="0.25">
      <c r="B1737" s="3">
        <v>1844</v>
      </c>
      <c r="C1737" s="3" t="s">
        <v>9</v>
      </c>
      <c r="D1737" s="3" t="s">
        <v>15</v>
      </c>
      <c r="E1737" s="4">
        <v>42435</v>
      </c>
      <c r="F1737" s="4"/>
      <c r="G1737" s="3" t="s">
        <v>29</v>
      </c>
      <c r="H1737" s="5">
        <v>1420</v>
      </c>
      <c r="I1737" s="3" t="str">
        <f>VLOOKUP(Tabela1[[#This Row],[Advogado]],Tabela2[],2,FALSE)</f>
        <v>Renê Amaranto</v>
      </c>
      <c r="J1737" s="17">
        <f>IF(Tabela1[[#This Row],[Data de conclusão]]="",NETWORKDAYS(Tabela1[[#This Row],[Data de entrada]],$J$2),NETWORKDAYS(Tabela1[[#This Row],[Data de entrada]],Tabela1[[#This Row],[Data de conclusão]]))</f>
        <v>572</v>
      </c>
      <c r="K1737" s="1"/>
    </row>
    <row r="1738" spans="2:11" x14ac:dyDescent="0.25">
      <c r="B1738" s="3">
        <v>1845</v>
      </c>
      <c r="C1738" s="3" t="s">
        <v>7</v>
      </c>
      <c r="D1738" s="3" t="s">
        <v>16</v>
      </c>
      <c r="E1738" s="4">
        <v>42484</v>
      </c>
      <c r="F1738" s="4"/>
      <c r="G1738" s="3" t="s">
        <v>29</v>
      </c>
      <c r="H1738" s="5">
        <v>47997</v>
      </c>
      <c r="I1738" s="3" t="str">
        <f>VLOOKUP(Tabela1[[#This Row],[Advogado]],Tabela2[],2,FALSE)</f>
        <v>Renê Amaranto</v>
      </c>
      <c r="J1738" s="17">
        <f>IF(Tabela1[[#This Row],[Data de conclusão]]="",NETWORKDAYS(Tabela1[[#This Row],[Data de entrada]],$J$2),NETWORKDAYS(Tabela1[[#This Row],[Data de entrada]],Tabela1[[#This Row],[Data de conclusão]]))</f>
        <v>537</v>
      </c>
      <c r="K1738" s="1"/>
    </row>
    <row r="1739" spans="2:11" x14ac:dyDescent="0.25">
      <c r="B1739" s="3">
        <v>1846</v>
      </c>
      <c r="C1739" s="3" t="s">
        <v>8</v>
      </c>
      <c r="D1739" s="3" t="s">
        <v>17</v>
      </c>
      <c r="E1739" s="4">
        <v>42862</v>
      </c>
      <c r="F1739" s="4"/>
      <c r="G1739" s="3" t="s">
        <v>29</v>
      </c>
      <c r="H1739" s="5">
        <v>38545</v>
      </c>
      <c r="I1739" s="3" t="str">
        <f>VLOOKUP(Tabela1[[#This Row],[Advogado]],Tabela2[],2,FALSE)</f>
        <v>Renê Amaranto</v>
      </c>
      <c r="J1739" s="17">
        <f>IF(Tabela1[[#This Row],[Data de conclusão]]="",NETWORKDAYS(Tabela1[[#This Row],[Data de entrada]],$J$2),NETWORKDAYS(Tabela1[[#This Row],[Data de entrada]],Tabela1[[#This Row],[Data de conclusão]]))</f>
        <v>267</v>
      </c>
      <c r="K1739" s="1"/>
    </row>
    <row r="1740" spans="2:11" x14ac:dyDescent="0.25">
      <c r="B1740" s="3">
        <v>1847</v>
      </c>
      <c r="C1740" s="3" t="s">
        <v>9</v>
      </c>
      <c r="D1740" s="3" t="s">
        <v>10</v>
      </c>
      <c r="E1740" s="4">
        <v>43013</v>
      </c>
      <c r="F1740" s="4"/>
      <c r="G1740" s="3" t="s">
        <v>29</v>
      </c>
      <c r="H1740" s="5">
        <v>7341</v>
      </c>
      <c r="I1740" s="3" t="str">
        <f>VLOOKUP(Tabela1[[#This Row],[Advogado]],Tabela2[],2,FALSE)</f>
        <v>Caio Brito</v>
      </c>
      <c r="J1740" s="17">
        <f>IF(Tabela1[[#This Row],[Data de conclusão]]="",NETWORKDAYS(Tabela1[[#This Row],[Data de entrada]],$J$2),NETWORKDAYS(Tabela1[[#This Row],[Data de entrada]],Tabela1[[#This Row],[Data de conclusão]]))</f>
        <v>159</v>
      </c>
      <c r="K1740" s="1"/>
    </row>
    <row r="1741" spans="2:11" x14ac:dyDescent="0.25">
      <c r="B1741" s="3">
        <v>1848</v>
      </c>
      <c r="C1741" s="3" t="s">
        <v>7</v>
      </c>
      <c r="D1741" s="3" t="s">
        <v>11</v>
      </c>
      <c r="E1741" s="4">
        <v>42834</v>
      </c>
      <c r="F1741" s="4"/>
      <c r="G1741" s="3" t="s">
        <v>29</v>
      </c>
      <c r="H1741" s="5">
        <v>28648</v>
      </c>
      <c r="I1741" s="3" t="str">
        <f>VLOOKUP(Tabela1[[#This Row],[Advogado]],Tabela2[],2,FALSE)</f>
        <v>Caio Brito</v>
      </c>
      <c r="J1741" s="17">
        <f>IF(Tabela1[[#This Row],[Data de conclusão]]="",NETWORKDAYS(Tabela1[[#This Row],[Data de entrada]],$J$2),NETWORKDAYS(Tabela1[[#This Row],[Data de entrada]],Tabela1[[#This Row],[Data de conclusão]]))</f>
        <v>287</v>
      </c>
      <c r="K1741" s="1"/>
    </row>
    <row r="1742" spans="2:11" x14ac:dyDescent="0.25">
      <c r="B1742" s="3">
        <v>1849</v>
      </c>
      <c r="C1742" s="3" t="s">
        <v>8</v>
      </c>
      <c r="D1742" s="3" t="s">
        <v>12</v>
      </c>
      <c r="E1742" s="4">
        <v>42554</v>
      </c>
      <c r="F1742" s="4"/>
      <c r="G1742" s="3" t="s">
        <v>29</v>
      </c>
      <c r="H1742" s="5">
        <v>49764</v>
      </c>
      <c r="I1742" s="3" t="str">
        <f>VLOOKUP(Tabela1[[#This Row],[Advogado]],Tabela2[],2,FALSE)</f>
        <v>Caio Brito</v>
      </c>
      <c r="J1742" s="17">
        <f>IF(Tabela1[[#This Row],[Data de conclusão]]="",NETWORKDAYS(Tabela1[[#This Row],[Data de entrada]],$J$2),NETWORKDAYS(Tabela1[[#This Row],[Data de entrada]],Tabela1[[#This Row],[Data de conclusão]]))</f>
        <v>487</v>
      </c>
      <c r="K1742" s="1"/>
    </row>
    <row r="1743" spans="2:11" x14ac:dyDescent="0.25">
      <c r="B1743" s="3">
        <v>1850</v>
      </c>
      <c r="C1743" s="3" t="s">
        <v>9</v>
      </c>
      <c r="D1743" s="3" t="s">
        <v>13</v>
      </c>
      <c r="E1743" s="4">
        <v>42905</v>
      </c>
      <c r="F1743" s="4"/>
      <c r="G1743" s="3" t="s">
        <v>29</v>
      </c>
      <c r="H1743" s="5">
        <v>59377</v>
      </c>
      <c r="I1743" s="3" t="str">
        <f>VLOOKUP(Tabela1[[#This Row],[Advogado]],Tabela2[],2,FALSE)</f>
        <v>Caio Brito</v>
      </c>
      <c r="J1743" s="17">
        <f>IF(Tabela1[[#This Row],[Data de conclusão]]="",NETWORKDAYS(Tabela1[[#This Row],[Data de entrada]],$J$2),NETWORKDAYS(Tabela1[[#This Row],[Data de entrada]],Tabela1[[#This Row],[Data de conclusão]]))</f>
        <v>237</v>
      </c>
      <c r="K1743" s="1"/>
    </row>
    <row r="1744" spans="2:11" x14ac:dyDescent="0.25">
      <c r="B1744" s="3">
        <v>1851</v>
      </c>
      <c r="C1744" s="3" t="s">
        <v>7</v>
      </c>
      <c r="D1744" s="3" t="s">
        <v>14</v>
      </c>
      <c r="E1744" s="4">
        <v>42564</v>
      </c>
      <c r="F1744" s="4">
        <v>42636</v>
      </c>
      <c r="G1744" s="3" t="s">
        <v>28</v>
      </c>
      <c r="H1744" s="5">
        <v>14286</v>
      </c>
      <c r="I1744" s="3" t="str">
        <f>VLOOKUP(Tabela1[[#This Row],[Advogado]],Tabela2[],2,FALSE)</f>
        <v>Renê Amaranto</v>
      </c>
      <c r="J1744" s="17">
        <f>IF(Tabela1[[#This Row],[Data de conclusão]]="",NETWORKDAYS(Tabela1[[#This Row],[Data de entrada]],$J$2),NETWORKDAYS(Tabela1[[#This Row],[Data de entrada]],Tabela1[[#This Row],[Data de conclusão]]))</f>
        <v>53</v>
      </c>
      <c r="K1744" s="1"/>
    </row>
    <row r="1745" spans="2:11" x14ac:dyDescent="0.25">
      <c r="B1745" s="3">
        <v>1852</v>
      </c>
      <c r="C1745" s="3" t="s">
        <v>8</v>
      </c>
      <c r="D1745" s="3" t="s">
        <v>15</v>
      </c>
      <c r="E1745" s="4">
        <v>42594</v>
      </c>
      <c r="F1745" s="4"/>
      <c r="G1745" s="3" t="s">
        <v>27</v>
      </c>
      <c r="H1745" s="5">
        <v>41759</v>
      </c>
      <c r="I1745" s="3" t="str">
        <f>VLOOKUP(Tabela1[[#This Row],[Advogado]],Tabela2[],2,FALSE)</f>
        <v>Renê Amaranto</v>
      </c>
      <c r="J1745" s="17">
        <f>IF(Tabela1[[#This Row],[Data de conclusão]]="",NETWORKDAYS(Tabela1[[#This Row],[Data de entrada]],$J$2),NETWORKDAYS(Tabela1[[#This Row],[Data de entrada]],Tabela1[[#This Row],[Data de conclusão]]))</f>
        <v>458</v>
      </c>
      <c r="K1745" s="1"/>
    </row>
    <row r="1746" spans="2:11" x14ac:dyDescent="0.25">
      <c r="B1746" s="3">
        <v>1853</v>
      </c>
      <c r="C1746" s="3" t="s">
        <v>9</v>
      </c>
      <c r="D1746" s="3" t="s">
        <v>16</v>
      </c>
      <c r="E1746" s="4">
        <v>43036</v>
      </c>
      <c r="F1746" s="4"/>
      <c r="G1746" s="3" t="s">
        <v>29</v>
      </c>
      <c r="H1746" s="5">
        <v>30644</v>
      </c>
      <c r="I1746" s="3" t="str">
        <f>VLOOKUP(Tabela1[[#This Row],[Advogado]],Tabela2[],2,FALSE)</f>
        <v>Renê Amaranto</v>
      </c>
      <c r="J1746" s="17">
        <f>IF(Tabela1[[#This Row],[Data de conclusão]]="",NETWORKDAYS(Tabela1[[#This Row],[Data de entrada]],$J$2),NETWORKDAYS(Tabela1[[#This Row],[Data de entrada]],Tabela1[[#This Row],[Data de conclusão]]))</f>
        <v>142</v>
      </c>
      <c r="K1746" s="1"/>
    </row>
    <row r="1747" spans="2:11" x14ac:dyDescent="0.25">
      <c r="B1747" s="3">
        <v>1854</v>
      </c>
      <c r="C1747" s="3" t="s">
        <v>7</v>
      </c>
      <c r="D1747" s="3" t="s">
        <v>17</v>
      </c>
      <c r="E1747" s="4">
        <v>42383</v>
      </c>
      <c r="F1747" s="4"/>
      <c r="G1747" s="3" t="s">
        <v>29</v>
      </c>
      <c r="H1747" s="5">
        <v>44799</v>
      </c>
      <c r="I1747" s="3" t="str">
        <f>VLOOKUP(Tabela1[[#This Row],[Advogado]],Tabela2[],2,FALSE)</f>
        <v>Renê Amaranto</v>
      </c>
      <c r="J1747" s="17">
        <f>IF(Tabela1[[#This Row],[Data de conclusão]]="",NETWORKDAYS(Tabela1[[#This Row],[Data de entrada]],$J$2),NETWORKDAYS(Tabela1[[#This Row],[Data de entrada]],Tabela1[[#This Row],[Data de conclusão]]))</f>
        <v>609</v>
      </c>
      <c r="K1747" s="1"/>
    </row>
    <row r="1748" spans="2:11" x14ac:dyDescent="0.25">
      <c r="B1748" s="3">
        <v>1855</v>
      </c>
      <c r="C1748" s="3" t="s">
        <v>8</v>
      </c>
      <c r="D1748" s="3" t="s">
        <v>10</v>
      </c>
      <c r="E1748" s="4">
        <v>42924</v>
      </c>
      <c r="F1748" s="4"/>
      <c r="G1748" s="3" t="s">
        <v>29</v>
      </c>
      <c r="H1748" s="5">
        <v>37431</v>
      </c>
      <c r="I1748" s="3" t="str">
        <f>VLOOKUP(Tabela1[[#This Row],[Advogado]],Tabela2[],2,FALSE)</f>
        <v>Caio Brito</v>
      </c>
      <c r="J1748" s="17">
        <f>IF(Tabela1[[#This Row],[Data de conclusão]]="",NETWORKDAYS(Tabela1[[#This Row],[Data de entrada]],$J$2),NETWORKDAYS(Tabela1[[#This Row],[Data de entrada]],Tabela1[[#This Row],[Data de conclusão]]))</f>
        <v>222</v>
      </c>
      <c r="K1748" s="1"/>
    </row>
    <row r="1749" spans="2:11" x14ac:dyDescent="0.25">
      <c r="B1749" s="3">
        <v>1856</v>
      </c>
      <c r="C1749" s="3" t="s">
        <v>9</v>
      </c>
      <c r="D1749" s="3" t="s">
        <v>11</v>
      </c>
      <c r="E1749" s="4">
        <v>42790</v>
      </c>
      <c r="F1749" s="4"/>
      <c r="G1749" s="3" t="s">
        <v>29</v>
      </c>
      <c r="H1749" s="5">
        <v>53100</v>
      </c>
      <c r="I1749" s="3" t="str">
        <f>VLOOKUP(Tabela1[[#This Row],[Advogado]],Tabela2[],2,FALSE)</f>
        <v>Caio Brito</v>
      </c>
      <c r="J1749" s="17">
        <f>IF(Tabela1[[#This Row],[Data de conclusão]]="",NETWORKDAYS(Tabela1[[#This Row],[Data de entrada]],$J$2),NETWORKDAYS(Tabela1[[#This Row],[Data de entrada]],Tabela1[[#This Row],[Data de conclusão]]))</f>
        <v>318</v>
      </c>
      <c r="K1749" s="1"/>
    </row>
    <row r="1750" spans="2:11" x14ac:dyDescent="0.25">
      <c r="B1750" s="3">
        <v>1857</v>
      </c>
      <c r="C1750" s="3" t="s">
        <v>7</v>
      </c>
      <c r="D1750" s="3" t="s">
        <v>12</v>
      </c>
      <c r="E1750" s="4">
        <v>43061</v>
      </c>
      <c r="F1750" s="4"/>
      <c r="G1750" s="3" t="s">
        <v>29</v>
      </c>
      <c r="H1750" s="5">
        <v>51363</v>
      </c>
      <c r="I1750" s="3" t="str">
        <f>VLOOKUP(Tabela1[[#This Row],[Advogado]],Tabela2[],2,FALSE)</f>
        <v>Caio Brito</v>
      </c>
      <c r="J1750" s="17">
        <f>IF(Tabela1[[#This Row],[Data de conclusão]]="",NETWORKDAYS(Tabela1[[#This Row],[Data de entrada]],$J$2),NETWORKDAYS(Tabela1[[#This Row],[Data de entrada]],Tabela1[[#This Row],[Data de conclusão]]))</f>
        <v>125</v>
      </c>
      <c r="K1750" s="1"/>
    </row>
    <row r="1751" spans="2:11" x14ac:dyDescent="0.25">
      <c r="B1751" s="3">
        <v>1858</v>
      </c>
      <c r="C1751" s="3" t="s">
        <v>8</v>
      </c>
      <c r="D1751" s="3" t="s">
        <v>13</v>
      </c>
      <c r="E1751" s="4">
        <v>42882</v>
      </c>
      <c r="F1751" s="4"/>
      <c r="G1751" s="3" t="s">
        <v>29</v>
      </c>
      <c r="H1751" s="5">
        <v>14639</v>
      </c>
      <c r="I1751" s="3" t="str">
        <f>VLOOKUP(Tabela1[[#This Row],[Advogado]],Tabela2[],2,FALSE)</f>
        <v>Caio Brito</v>
      </c>
      <c r="J1751" s="17">
        <f>IF(Tabela1[[#This Row],[Data de conclusão]]="",NETWORKDAYS(Tabela1[[#This Row],[Data de entrada]],$J$2),NETWORKDAYS(Tabela1[[#This Row],[Data de entrada]],Tabela1[[#This Row],[Data de conclusão]]))</f>
        <v>252</v>
      </c>
      <c r="K1751" s="1"/>
    </row>
    <row r="1752" spans="2:11" x14ac:dyDescent="0.25">
      <c r="B1752" s="3">
        <v>1859</v>
      </c>
      <c r="C1752" s="3" t="s">
        <v>9</v>
      </c>
      <c r="D1752" s="3" t="s">
        <v>14</v>
      </c>
      <c r="E1752" s="4">
        <v>42794</v>
      </c>
      <c r="F1752" s="4"/>
      <c r="G1752" s="3" t="s">
        <v>29</v>
      </c>
      <c r="H1752" s="5">
        <v>15722</v>
      </c>
      <c r="I1752" s="3" t="str">
        <f>VLOOKUP(Tabela1[[#This Row],[Advogado]],Tabela2[],2,FALSE)</f>
        <v>Renê Amaranto</v>
      </c>
      <c r="J1752" s="17">
        <f>IF(Tabela1[[#This Row],[Data de conclusão]]="",NETWORKDAYS(Tabela1[[#This Row],[Data de entrada]],$J$2),NETWORKDAYS(Tabela1[[#This Row],[Data de entrada]],Tabela1[[#This Row],[Data de conclusão]]))</f>
        <v>316</v>
      </c>
      <c r="K1752" s="1"/>
    </row>
    <row r="1753" spans="2:11" x14ac:dyDescent="0.25">
      <c r="B1753" s="3">
        <v>1860</v>
      </c>
      <c r="C1753" s="3" t="s">
        <v>7</v>
      </c>
      <c r="D1753" s="3" t="s">
        <v>15</v>
      </c>
      <c r="E1753" s="4">
        <v>42913</v>
      </c>
      <c r="F1753" s="4"/>
      <c r="G1753" s="3" t="s">
        <v>29</v>
      </c>
      <c r="H1753" s="5">
        <v>18319</v>
      </c>
      <c r="I1753" s="3" t="str">
        <f>VLOOKUP(Tabela1[[#This Row],[Advogado]],Tabela2[],2,FALSE)</f>
        <v>Renê Amaranto</v>
      </c>
      <c r="J1753" s="17">
        <f>IF(Tabela1[[#This Row],[Data de conclusão]]="",NETWORKDAYS(Tabela1[[#This Row],[Data de entrada]],$J$2),NETWORKDAYS(Tabela1[[#This Row],[Data de entrada]],Tabela1[[#This Row],[Data de conclusão]]))</f>
        <v>231</v>
      </c>
      <c r="K1753" s="1"/>
    </row>
    <row r="1754" spans="2:11" x14ac:dyDescent="0.25">
      <c r="B1754" s="3">
        <v>1861</v>
      </c>
      <c r="C1754" s="3" t="s">
        <v>8</v>
      </c>
      <c r="D1754" s="3" t="s">
        <v>16</v>
      </c>
      <c r="E1754" s="4">
        <v>42659</v>
      </c>
      <c r="F1754" s="4"/>
      <c r="G1754" s="3" t="s">
        <v>29</v>
      </c>
      <c r="H1754" s="5">
        <v>42393</v>
      </c>
      <c r="I1754" s="3" t="str">
        <f>VLOOKUP(Tabela1[[#This Row],[Advogado]],Tabela2[],2,FALSE)</f>
        <v>Renê Amaranto</v>
      </c>
      <c r="J1754" s="17">
        <f>IF(Tabela1[[#This Row],[Data de conclusão]]="",NETWORKDAYS(Tabela1[[#This Row],[Data de entrada]],$J$2),NETWORKDAYS(Tabela1[[#This Row],[Data de entrada]],Tabela1[[#This Row],[Data de conclusão]]))</f>
        <v>412</v>
      </c>
      <c r="K1754" s="1"/>
    </row>
    <row r="1755" spans="2:11" x14ac:dyDescent="0.25">
      <c r="B1755" s="3">
        <v>1862</v>
      </c>
      <c r="C1755" s="3" t="s">
        <v>9</v>
      </c>
      <c r="D1755" s="3" t="s">
        <v>17</v>
      </c>
      <c r="E1755" s="4">
        <v>42927</v>
      </c>
      <c r="F1755" s="4"/>
      <c r="G1755" s="3" t="s">
        <v>29</v>
      </c>
      <c r="H1755" s="5">
        <v>2997</v>
      </c>
      <c r="I1755" s="3" t="str">
        <f>VLOOKUP(Tabela1[[#This Row],[Advogado]],Tabela2[],2,FALSE)</f>
        <v>Renê Amaranto</v>
      </c>
      <c r="J1755" s="17">
        <f>IF(Tabela1[[#This Row],[Data de conclusão]]="",NETWORKDAYS(Tabela1[[#This Row],[Data de entrada]],$J$2),NETWORKDAYS(Tabela1[[#This Row],[Data de entrada]],Tabela1[[#This Row],[Data de conclusão]]))</f>
        <v>221</v>
      </c>
      <c r="K1755" s="1"/>
    </row>
    <row r="1756" spans="2:11" x14ac:dyDescent="0.25">
      <c r="B1756" s="3">
        <v>1863</v>
      </c>
      <c r="C1756" s="3" t="s">
        <v>7</v>
      </c>
      <c r="D1756" s="3" t="s">
        <v>10</v>
      </c>
      <c r="E1756" s="4">
        <v>42562</v>
      </c>
      <c r="F1756" s="4"/>
      <c r="G1756" s="3" t="s">
        <v>29</v>
      </c>
      <c r="H1756" s="5">
        <v>5994</v>
      </c>
      <c r="I1756" s="3" t="str">
        <f>VLOOKUP(Tabela1[[#This Row],[Advogado]],Tabela2[],2,FALSE)</f>
        <v>Caio Brito</v>
      </c>
      <c r="J1756" s="17">
        <f>IF(Tabela1[[#This Row],[Data de conclusão]]="",NETWORKDAYS(Tabela1[[#This Row],[Data de entrada]],$J$2),NETWORKDAYS(Tabela1[[#This Row],[Data de entrada]],Tabela1[[#This Row],[Data de conclusão]]))</f>
        <v>482</v>
      </c>
      <c r="K1756" s="1"/>
    </row>
    <row r="1757" spans="2:11" x14ac:dyDescent="0.25">
      <c r="B1757" s="3">
        <v>1864</v>
      </c>
      <c r="C1757" s="3" t="s">
        <v>8</v>
      </c>
      <c r="D1757" s="3" t="s">
        <v>11</v>
      </c>
      <c r="E1757" s="4">
        <v>42997</v>
      </c>
      <c r="F1757" s="4">
        <v>43055</v>
      </c>
      <c r="G1757" s="3" t="s">
        <v>28</v>
      </c>
      <c r="H1757" s="5">
        <v>12426</v>
      </c>
      <c r="I1757" s="3" t="str">
        <f>VLOOKUP(Tabela1[[#This Row],[Advogado]],Tabela2[],2,FALSE)</f>
        <v>Caio Brito</v>
      </c>
      <c r="J1757" s="17">
        <f>IF(Tabela1[[#This Row],[Data de conclusão]]="",NETWORKDAYS(Tabela1[[#This Row],[Data de entrada]],$J$2),NETWORKDAYS(Tabela1[[#This Row],[Data de entrada]],Tabela1[[#This Row],[Data de conclusão]]))</f>
        <v>43</v>
      </c>
      <c r="K1757" s="1"/>
    </row>
    <row r="1758" spans="2:11" x14ac:dyDescent="0.25">
      <c r="B1758" s="3">
        <v>1865</v>
      </c>
      <c r="C1758" s="3" t="s">
        <v>9</v>
      </c>
      <c r="D1758" s="3" t="s">
        <v>12</v>
      </c>
      <c r="E1758" s="4">
        <v>42378</v>
      </c>
      <c r="F1758" s="4"/>
      <c r="G1758" s="3" t="s">
        <v>27</v>
      </c>
      <c r="H1758" s="5">
        <v>6910</v>
      </c>
      <c r="I1758" s="3" t="str">
        <f>VLOOKUP(Tabela1[[#This Row],[Advogado]],Tabela2[],2,FALSE)</f>
        <v>Caio Brito</v>
      </c>
      <c r="J1758" s="17">
        <f>IF(Tabela1[[#This Row],[Data de conclusão]]="",NETWORKDAYS(Tabela1[[#This Row],[Data de entrada]],$J$2),NETWORKDAYS(Tabela1[[#This Row],[Data de entrada]],Tabela1[[#This Row],[Data de conclusão]]))</f>
        <v>612</v>
      </c>
      <c r="K1758" s="1"/>
    </row>
    <row r="1759" spans="2:11" x14ac:dyDescent="0.25">
      <c r="B1759" s="3">
        <v>1866</v>
      </c>
      <c r="C1759" s="3" t="s">
        <v>7</v>
      </c>
      <c r="D1759" s="3" t="s">
        <v>13</v>
      </c>
      <c r="E1759" s="4">
        <v>42967</v>
      </c>
      <c r="F1759" s="4"/>
      <c r="G1759" s="3" t="s">
        <v>29</v>
      </c>
      <c r="H1759" s="5">
        <v>19638</v>
      </c>
      <c r="I1759" s="3" t="str">
        <f>VLOOKUP(Tabela1[[#This Row],[Advogado]],Tabela2[],2,FALSE)</f>
        <v>Caio Brito</v>
      </c>
      <c r="J1759" s="17">
        <f>IF(Tabela1[[#This Row],[Data de conclusão]]="",NETWORKDAYS(Tabela1[[#This Row],[Data de entrada]],$J$2),NETWORKDAYS(Tabela1[[#This Row],[Data de entrada]],Tabela1[[#This Row],[Data de conclusão]]))</f>
        <v>192</v>
      </c>
      <c r="K1759" s="1"/>
    </row>
    <row r="1760" spans="2:11" x14ac:dyDescent="0.25">
      <c r="B1760" s="3">
        <v>1867</v>
      </c>
      <c r="C1760" s="3" t="s">
        <v>8</v>
      </c>
      <c r="D1760" s="3" t="s">
        <v>14</v>
      </c>
      <c r="E1760" s="4">
        <v>42648</v>
      </c>
      <c r="F1760" s="4"/>
      <c r="G1760" s="3" t="s">
        <v>29</v>
      </c>
      <c r="H1760" s="5">
        <v>27141</v>
      </c>
      <c r="I1760" s="3" t="str">
        <f>VLOOKUP(Tabela1[[#This Row],[Advogado]],Tabela2[],2,FALSE)</f>
        <v>Renê Amaranto</v>
      </c>
      <c r="J1760" s="17">
        <f>IF(Tabela1[[#This Row],[Data de conclusão]]="",NETWORKDAYS(Tabela1[[#This Row],[Data de entrada]],$J$2),NETWORKDAYS(Tabela1[[#This Row],[Data de entrada]],Tabela1[[#This Row],[Data de conclusão]]))</f>
        <v>420</v>
      </c>
      <c r="K1760" s="1"/>
    </row>
    <row r="1761" spans="2:11" x14ac:dyDescent="0.25">
      <c r="B1761" s="3">
        <v>1868</v>
      </c>
      <c r="C1761" s="3" t="s">
        <v>9</v>
      </c>
      <c r="D1761" s="3" t="s">
        <v>15</v>
      </c>
      <c r="E1761" s="4">
        <v>43034</v>
      </c>
      <c r="F1761" s="4"/>
      <c r="G1761" s="3" t="s">
        <v>29</v>
      </c>
      <c r="H1761" s="5">
        <v>30542</v>
      </c>
      <c r="I1761" s="3" t="str">
        <f>VLOOKUP(Tabela1[[#This Row],[Advogado]],Tabela2[],2,FALSE)</f>
        <v>Renê Amaranto</v>
      </c>
      <c r="J1761" s="17">
        <f>IF(Tabela1[[#This Row],[Data de conclusão]]="",NETWORKDAYS(Tabela1[[#This Row],[Data de entrada]],$J$2),NETWORKDAYS(Tabela1[[#This Row],[Data de entrada]],Tabela1[[#This Row],[Data de conclusão]]))</f>
        <v>144</v>
      </c>
      <c r="K1761" s="1"/>
    </row>
    <row r="1762" spans="2:11" x14ac:dyDescent="0.25">
      <c r="B1762" s="3">
        <v>1869</v>
      </c>
      <c r="C1762" s="3" t="s">
        <v>7</v>
      </c>
      <c r="D1762" s="3" t="s">
        <v>16</v>
      </c>
      <c r="E1762" s="4">
        <v>42679</v>
      </c>
      <c r="F1762" s="4"/>
      <c r="G1762" s="3" t="s">
        <v>29</v>
      </c>
      <c r="H1762" s="5">
        <v>42807</v>
      </c>
      <c r="I1762" s="3" t="str">
        <f>VLOOKUP(Tabela1[[#This Row],[Advogado]],Tabela2[],2,FALSE)</f>
        <v>Renê Amaranto</v>
      </c>
      <c r="J1762" s="17">
        <f>IF(Tabela1[[#This Row],[Data de conclusão]]="",NETWORKDAYS(Tabela1[[#This Row],[Data de entrada]],$J$2),NETWORKDAYS(Tabela1[[#This Row],[Data de entrada]],Tabela1[[#This Row],[Data de conclusão]]))</f>
        <v>397</v>
      </c>
      <c r="K1762" s="1"/>
    </row>
    <row r="1763" spans="2:11" x14ac:dyDescent="0.25">
      <c r="B1763" s="3">
        <v>1870</v>
      </c>
      <c r="C1763" s="3" t="s">
        <v>8</v>
      </c>
      <c r="D1763" s="3" t="s">
        <v>17</v>
      </c>
      <c r="E1763" s="4">
        <v>42635</v>
      </c>
      <c r="F1763" s="4"/>
      <c r="G1763" s="3" t="s">
        <v>29</v>
      </c>
      <c r="H1763" s="5">
        <v>40944</v>
      </c>
      <c r="I1763" s="3" t="str">
        <f>VLOOKUP(Tabela1[[#This Row],[Advogado]],Tabela2[],2,FALSE)</f>
        <v>Renê Amaranto</v>
      </c>
      <c r="J1763" s="17">
        <f>IF(Tabela1[[#This Row],[Data de conclusão]]="",NETWORKDAYS(Tabela1[[#This Row],[Data de entrada]],$J$2),NETWORKDAYS(Tabela1[[#This Row],[Data de entrada]],Tabela1[[#This Row],[Data de conclusão]]))</f>
        <v>429</v>
      </c>
      <c r="K1763" s="1"/>
    </row>
    <row r="1764" spans="2:11" x14ac:dyDescent="0.25">
      <c r="B1764" s="3">
        <v>1871</v>
      </c>
      <c r="C1764" s="3" t="s">
        <v>9</v>
      </c>
      <c r="D1764" s="3" t="s">
        <v>10</v>
      </c>
      <c r="E1764" s="4">
        <v>42686</v>
      </c>
      <c r="F1764" s="4"/>
      <c r="G1764" s="3" t="s">
        <v>29</v>
      </c>
      <c r="H1764" s="5">
        <v>55894</v>
      </c>
      <c r="I1764" s="3" t="str">
        <f>VLOOKUP(Tabela1[[#This Row],[Advogado]],Tabela2[],2,FALSE)</f>
        <v>Caio Brito</v>
      </c>
      <c r="J1764" s="17">
        <f>IF(Tabela1[[#This Row],[Data de conclusão]]="",NETWORKDAYS(Tabela1[[#This Row],[Data de entrada]],$J$2),NETWORKDAYS(Tabela1[[#This Row],[Data de entrada]],Tabela1[[#This Row],[Data de conclusão]]))</f>
        <v>392</v>
      </c>
      <c r="K1764" s="1"/>
    </row>
    <row r="1765" spans="2:11" x14ac:dyDescent="0.25">
      <c r="B1765" s="3">
        <v>1872</v>
      </c>
      <c r="C1765" s="3" t="s">
        <v>7</v>
      </c>
      <c r="D1765" s="3" t="s">
        <v>11</v>
      </c>
      <c r="E1765" s="4">
        <v>42708</v>
      </c>
      <c r="F1765" s="4"/>
      <c r="G1765" s="3" t="s">
        <v>29</v>
      </c>
      <c r="H1765" s="5">
        <v>49499</v>
      </c>
      <c r="I1765" s="3" t="str">
        <f>VLOOKUP(Tabela1[[#This Row],[Advogado]],Tabela2[],2,FALSE)</f>
        <v>Caio Brito</v>
      </c>
      <c r="J1765" s="17">
        <f>IF(Tabela1[[#This Row],[Data de conclusão]]="",NETWORKDAYS(Tabela1[[#This Row],[Data de entrada]],$J$2),NETWORKDAYS(Tabela1[[#This Row],[Data de entrada]],Tabela1[[#This Row],[Data de conclusão]]))</f>
        <v>377</v>
      </c>
      <c r="K1765" s="1"/>
    </row>
    <row r="1766" spans="2:11" x14ac:dyDescent="0.25">
      <c r="B1766" s="3">
        <v>1873</v>
      </c>
      <c r="C1766" s="3" t="s">
        <v>8</v>
      </c>
      <c r="D1766" s="3" t="s">
        <v>12</v>
      </c>
      <c r="E1766" s="4">
        <v>42491</v>
      </c>
      <c r="F1766" s="4"/>
      <c r="G1766" s="3" t="s">
        <v>29</v>
      </c>
      <c r="H1766" s="5">
        <v>42215</v>
      </c>
      <c r="I1766" s="3" t="str">
        <f>VLOOKUP(Tabela1[[#This Row],[Advogado]],Tabela2[],2,FALSE)</f>
        <v>Caio Brito</v>
      </c>
      <c r="J1766" s="17">
        <f>IF(Tabela1[[#This Row],[Data de conclusão]]="",NETWORKDAYS(Tabela1[[#This Row],[Data de entrada]],$J$2),NETWORKDAYS(Tabela1[[#This Row],[Data de entrada]],Tabela1[[#This Row],[Data de conclusão]]))</f>
        <v>532</v>
      </c>
      <c r="K1766" s="1"/>
    </row>
    <row r="1767" spans="2:11" x14ac:dyDescent="0.25">
      <c r="B1767" s="3">
        <v>1874</v>
      </c>
      <c r="C1767" s="3" t="s">
        <v>9</v>
      </c>
      <c r="D1767" s="3" t="s">
        <v>13</v>
      </c>
      <c r="E1767" s="4">
        <v>42788</v>
      </c>
      <c r="F1767" s="4"/>
      <c r="G1767" s="3" t="s">
        <v>29</v>
      </c>
      <c r="H1767" s="5">
        <v>36930</v>
      </c>
      <c r="I1767" s="3" t="str">
        <f>VLOOKUP(Tabela1[[#This Row],[Advogado]],Tabela2[],2,FALSE)</f>
        <v>Caio Brito</v>
      </c>
      <c r="J1767" s="17">
        <f>IF(Tabela1[[#This Row],[Data de conclusão]]="",NETWORKDAYS(Tabela1[[#This Row],[Data de entrada]],$J$2),NETWORKDAYS(Tabela1[[#This Row],[Data de entrada]],Tabela1[[#This Row],[Data de conclusão]]))</f>
        <v>320</v>
      </c>
      <c r="K1767" s="1"/>
    </row>
    <row r="1768" spans="2:11" x14ac:dyDescent="0.25">
      <c r="B1768" s="3">
        <v>1875</v>
      </c>
      <c r="C1768" s="3" t="s">
        <v>7</v>
      </c>
      <c r="D1768" s="3" t="s">
        <v>14</v>
      </c>
      <c r="E1768" s="4">
        <v>42977</v>
      </c>
      <c r="F1768" s="4"/>
      <c r="G1768" s="3" t="s">
        <v>29</v>
      </c>
      <c r="H1768" s="5">
        <v>20183</v>
      </c>
      <c r="I1768" s="3" t="str">
        <f>VLOOKUP(Tabela1[[#This Row],[Advogado]],Tabela2[],2,FALSE)</f>
        <v>Renê Amaranto</v>
      </c>
      <c r="J1768" s="17">
        <f>IF(Tabela1[[#This Row],[Data de conclusão]]="",NETWORKDAYS(Tabela1[[#This Row],[Data de entrada]],$J$2),NETWORKDAYS(Tabela1[[#This Row],[Data de entrada]],Tabela1[[#This Row],[Data de conclusão]]))</f>
        <v>185</v>
      </c>
      <c r="K1768" s="1"/>
    </row>
    <row r="1769" spans="2:11" x14ac:dyDescent="0.25">
      <c r="B1769" s="3">
        <v>1876</v>
      </c>
      <c r="C1769" s="3" t="s">
        <v>8</v>
      </c>
      <c r="D1769" s="3" t="s">
        <v>15</v>
      </c>
      <c r="E1769" s="4">
        <v>42534</v>
      </c>
      <c r="F1769" s="4"/>
      <c r="G1769" s="3" t="s">
        <v>29</v>
      </c>
      <c r="H1769" s="5">
        <v>53030</v>
      </c>
      <c r="I1769" s="3" t="str">
        <f>VLOOKUP(Tabela1[[#This Row],[Advogado]],Tabela2[],2,FALSE)</f>
        <v>Renê Amaranto</v>
      </c>
      <c r="J1769" s="17">
        <f>IF(Tabela1[[#This Row],[Data de conclusão]]="",NETWORKDAYS(Tabela1[[#This Row],[Data de entrada]],$J$2),NETWORKDAYS(Tabela1[[#This Row],[Data de entrada]],Tabela1[[#This Row],[Data de conclusão]]))</f>
        <v>502</v>
      </c>
      <c r="K1769" s="1"/>
    </row>
    <row r="1770" spans="2:11" x14ac:dyDescent="0.25">
      <c r="B1770" s="3">
        <v>1877</v>
      </c>
      <c r="C1770" s="3" t="s">
        <v>9</v>
      </c>
      <c r="D1770" s="3" t="s">
        <v>16</v>
      </c>
      <c r="E1770" s="4">
        <v>42594</v>
      </c>
      <c r="F1770" s="4">
        <v>42667</v>
      </c>
      <c r="G1770" s="3" t="s">
        <v>28</v>
      </c>
      <c r="H1770" s="5">
        <v>58679</v>
      </c>
      <c r="I1770" s="3" t="str">
        <f>VLOOKUP(Tabela1[[#This Row],[Advogado]],Tabela2[],2,FALSE)</f>
        <v>Renê Amaranto</v>
      </c>
      <c r="J1770" s="17">
        <f>IF(Tabela1[[#This Row],[Data de conclusão]]="",NETWORKDAYS(Tabela1[[#This Row],[Data de entrada]],$J$2),NETWORKDAYS(Tabela1[[#This Row],[Data de entrada]],Tabela1[[#This Row],[Data de conclusão]]))</f>
        <v>52</v>
      </c>
      <c r="K1770" s="1"/>
    </row>
    <row r="1771" spans="2:11" x14ac:dyDescent="0.25">
      <c r="B1771" s="3">
        <v>1878</v>
      </c>
      <c r="C1771" s="3" t="s">
        <v>7</v>
      </c>
      <c r="D1771" s="3" t="s">
        <v>17</v>
      </c>
      <c r="E1771" s="4">
        <v>42936</v>
      </c>
      <c r="F1771" s="4"/>
      <c r="G1771" s="3" t="s">
        <v>27</v>
      </c>
      <c r="H1771" s="5">
        <v>35355</v>
      </c>
      <c r="I1771" s="3" t="str">
        <f>VLOOKUP(Tabela1[[#This Row],[Advogado]],Tabela2[],2,FALSE)</f>
        <v>Renê Amaranto</v>
      </c>
      <c r="J1771" s="17">
        <f>IF(Tabela1[[#This Row],[Data de conclusão]]="",NETWORKDAYS(Tabela1[[#This Row],[Data de entrada]],$J$2),NETWORKDAYS(Tabela1[[#This Row],[Data de entrada]],Tabela1[[#This Row],[Data de conclusão]]))</f>
        <v>214</v>
      </c>
      <c r="K1771" s="1"/>
    </row>
    <row r="1772" spans="2:11" x14ac:dyDescent="0.25">
      <c r="B1772" s="3">
        <v>1879</v>
      </c>
      <c r="C1772" s="3" t="s">
        <v>8</v>
      </c>
      <c r="D1772" s="3" t="s">
        <v>10</v>
      </c>
      <c r="E1772" s="4">
        <v>42411</v>
      </c>
      <c r="F1772" s="4"/>
      <c r="G1772" s="3" t="s">
        <v>29</v>
      </c>
      <c r="H1772" s="5">
        <v>14355</v>
      </c>
      <c r="I1772" s="3" t="str">
        <f>VLOOKUP(Tabela1[[#This Row],[Advogado]],Tabela2[],2,FALSE)</f>
        <v>Caio Brito</v>
      </c>
      <c r="J1772" s="17">
        <f>IF(Tabela1[[#This Row],[Data de conclusão]]="",NETWORKDAYS(Tabela1[[#This Row],[Data de entrada]],$J$2),NETWORKDAYS(Tabela1[[#This Row],[Data de entrada]],Tabela1[[#This Row],[Data de conclusão]]))</f>
        <v>589</v>
      </c>
      <c r="K1772" s="1"/>
    </row>
    <row r="1773" spans="2:11" x14ac:dyDescent="0.25">
      <c r="B1773" s="3">
        <v>1880</v>
      </c>
      <c r="C1773" s="3" t="s">
        <v>9</v>
      </c>
      <c r="D1773" s="3" t="s">
        <v>11</v>
      </c>
      <c r="E1773" s="4">
        <v>42503</v>
      </c>
      <c r="F1773" s="4"/>
      <c r="G1773" s="3" t="s">
        <v>29</v>
      </c>
      <c r="H1773" s="5">
        <v>15386</v>
      </c>
      <c r="I1773" s="3" t="str">
        <f>VLOOKUP(Tabela1[[#This Row],[Advogado]],Tabela2[],2,FALSE)</f>
        <v>Caio Brito</v>
      </c>
      <c r="J1773" s="17">
        <f>IF(Tabela1[[#This Row],[Data de conclusão]]="",NETWORKDAYS(Tabela1[[#This Row],[Data de entrada]],$J$2),NETWORKDAYS(Tabela1[[#This Row],[Data de entrada]],Tabela1[[#This Row],[Data de conclusão]]))</f>
        <v>523</v>
      </c>
      <c r="K1773" s="1"/>
    </row>
    <row r="1774" spans="2:11" x14ac:dyDescent="0.25">
      <c r="B1774" s="3">
        <v>1881</v>
      </c>
      <c r="C1774" s="3" t="s">
        <v>7</v>
      </c>
      <c r="D1774" s="3" t="s">
        <v>12</v>
      </c>
      <c r="E1774" s="4">
        <v>42544</v>
      </c>
      <c r="F1774" s="4"/>
      <c r="G1774" s="3" t="s">
        <v>29</v>
      </c>
      <c r="H1774" s="5">
        <v>3496</v>
      </c>
      <c r="I1774" s="3" t="str">
        <f>VLOOKUP(Tabela1[[#This Row],[Advogado]],Tabela2[],2,FALSE)</f>
        <v>Caio Brito</v>
      </c>
      <c r="J1774" s="17">
        <f>IF(Tabela1[[#This Row],[Data de conclusão]]="",NETWORKDAYS(Tabela1[[#This Row],[Data de entrada]],$J$2),NETWORKDAYS(Tabela1[[#This Row],[Data de entrada]],Tabela1[[#This Row],[Data de conclusão]]))</f>
        <v>494</v>
      </c>
      <c r="K1774" s="1"/>
    </row>
    <row r="1775" spans="2:11" x14ac:dyDescent="0.25">
      <c r="B1775" s="3">
        <v>1882</v>
      </c>
      <c r="C1775" s="3" t="s">
        <v>8</v>
      </c>
      <c r="D1775" s="3" t="s">
        <v>13</v>
      </c>
      <c r="E1775" s="4">
        <v>42643</v>
      </c>
      <c r="F1775" s="4"/>
      <c r="G1775" s="3" t="s">
        <v>29</v>
      </c>
      <c r="H1775" s="5">
        <v>18586</v>
      </c>
      <c r="I1775" s="3" t="str">
        <f>VLOOKUP(Tabela1[[#This Row],[Advogado]],Tabela2[],2,FALSE)</f>
        <v>Caio Brito</v>
      </c>
      <c r="J1775" s="17">
        <f>IF(Tabela1[[#This Row],[Data de conclusão]]="",NETWORKDAYS(Tabela1[[#This Row],[Data de entrada]],$J$2),NETWORKDAYS(Tabela1[[#This Row],[Data de entrada]],Tabela1[[#This Row],[Data de conclusão]]))</f>
        <v>423</v>
      </c>
      <c r="K1775" s="1"/>
    </row>
    <row r="1776" spans="2:11" x14ac:dyDescent="0.25">
      <c r="B1776" s="3">
        <v>1883</v>
      </c>
      <c r="C1776" s="3" t="s">
        <v>9</v>
      </c>
      <c r="D1776" s="3" t="s">
        <v>14</v>
      </c>
      <c r="E1776" s="4">
        <v>42495</v>
      </c>
      <c r="F1776" s="4"/>
      <c r="G1776" s="3" t="s">
        <v>29</v>
      </c>
      <c r="H1776" s="5">
        <v>1410</v>
      </c>
      <c r="I1776" s="3" t="str">
        <f>VLOOKUP(Tabela1[[#This Row],[Advogado]],Tabela2[],2,FALSE)</f>
        <v>Renê Amaranto</v>
      </c>
      <c r="J1776" s="17">
        <f>IF(Tabela1[[#This Row],[Data de conclusão]]="",NETWORKDAYS(Tabela1[[#This Row],[Data de entrada]],$J$2),NETWORKDAYS(Tabela1[[#This Row],[Data de entrada]],Tabela1[[#This Row],[Data de conclusão]]))</f>
        <v>529</v>
      </c>
      <c r="K1776" s="1"/>
    </row>
    <row r="1777" spans="2:11" x14ac:dyDescent="0.25">
      <c r="B1777" s="3">
        <v>1884</v>
      </c>
      <c r="C1777" s="3" t="s">
        <v>7</v>
      </c>
      <c r="D1777" s="3" t="s">
        <v>15</v>
      </c>
      <c r="E1777" s="4">
        <v>42488</v>
      </c>
      <c r="F1777" s="4"/>
      <c r="G1777" s="3" t="s">
        <v>29</v>
      </c>
      <c r="H1777" s="5">
        <v>53314</v>
      </c>
      <c r="I1777" s="3" t="str">
        <f>VLOOKUP(Tabela1[[#This Row],[Advogado]],Tabela2[],2,FALSE)</f>
        <v>Renê Amaranto</v>
      </c>
      <c r="J1777" s="17">
        <f>IF(Tabela1[[#This Row],[Data de conclusão]]="",NETWORKDAYS(Tabela1[[#This Row],[Data de entrada]],$J$2),NETWORKDAYS(Tabela1[[#This Row],[Data de entrada]],Tabela1[[#This Row],[Data de conclusão]]))</f>
        <v>534</v>
      </c>
      <c r="K1777" s="1"/>
    </row>
    <row r="1778" spans="2:11" x14ac:dyDescent="0.25">
      <c r="B1778" s="3">
        <v>1885</v>
      </c>
      <c r="C1778" s="3" t="s">
        <v>8</v>
      </c>
      <c r="D1778" s="3" t="s">
        <v>16</v>
      </c>
      <c r="E1778" s="4">
        <v>42546</v>
      </c>
      <c r="F1778" s="4"/>
      <c r="G1778" s="3" t="s">
        <v>29</v>
      </c>
      <c r="H1778" s="5">
        <v>53765</v>
      </c>
      <c r="I1778" s="3" t="str">
        <f>VLOOKUP(Tabela1[[#This Row],[Advogado]],Tabela2[],2,FALSE)</f>
        <v>Renê Amaranto</v>
      </c>
      <c r="J1778" s="17">
        <f>IF(Tabela1[[#This Row],[Data de conclusão]]="",NETWORKDAYS(Tabela1[[#This Row],[Data de entrada]],$J$2),NETWORKDAYS(Tabela1[[#This Row],[Data de entrada]],Tabela1[[#This Row],[Data de conclusão]]))</f>
        <v>492</v>
      </c>
      <c r="K1778" s="1"/>
    </row>
    <row r="1779" spans="2:11" x14ac:dyDescent="0.25">
      <c r="B1779" s="3">
        <v>1886</v>
      </c>
      <c r="C1779" s="3" t="s">
        <v>9</v>
      </c>
      <c r="D1779" s="3" t="s">
        <v>17</v>
      </c>
      <c r="E1779" s="4">
        <v>42928</v>
      </c>
      <c r="F1779" s="4"/>
      <c r="G1779" s="3" t="s">
        <v>29</v>
      </c>
      <c r="H1779" s="5">
        <v>42312</v>
      </c>
      <c r="I1779" s="3" t="str">
        <f>VLOOKUP(Tabela1[[#This Row],[Advogado]],Tabela2[],2,FALSE)</f>
        <v>Renê Amaranto</v>
      </c>
      <c r="J1779" s="17">
        <f>IF(Tabela1[[#This Row],[Data de conclusão]]="",NETWORKDAYS(Tabela1[[#This Row],[Data de entrada]],$J$2),NETWORKDAYS(Tabela1[[#This Row],[Data de entrada]],Tabela1[[#This Row],[Data de conclusão]]))</f>
        <v>220</v>
      </c>
      <c r="K1779" s="1"/>
    </row>
    <row r="1780" spans="2:11" x14ac:dyDescent="0.25">
      <c r="B1780" s="3">
        <v>1887</v>
      </c>
      <c r="C1780" s="3" t="s">
        <v>7</v>
      </c>
      <c r="D1780" s="3" t="s">
        <v>10</v>
      </c>
      <c r="E1780" s="4">
        <v>42724</v>
      </c>
      <c r="F1780" s="4"/>
      <c r="G1780" s="3" t="s">
        <v>29</v>
      </c>
      <c r="H1780" s="5">
        <v>34248</v>
      </c>
      <c r="I1780" s="3" t="str">
        <f>VLOOKUP(Tabela1[[#This Row],[Advogado]],Tabela2[],2,FALSE)</f>
        <v>Caio Brito</v>
      </c>
      <c r="J1780" s="17">
        <f>IF(Tabela1[[#This Row],[Data de conclusão]]="",NETWORKDAYS(Tabela1[[#This Row],[Data de entrada]],$J$2),NETWORKDAYS(Tabela1[[#This Row],[Data de entrada]],Tabela1[[#This Row],[Data de conclusão]]))</f>
        <v>366</v>
      </c>
      <c r="K1780" s="1"/>
    </row>
    <row r="1781" spans="2:11" x14ac:dyDescent="0.25">
      <c r="B1781" s="3">
        <v>1888</v>
      </c>
      <c r="C1781" s="3" t="s">
        <v>8</v>
      </c>
      <c r="D1781" s="3" t="s">
        <v>11</v>
      </c>
      <c r="E1781" s="4">
        <v>42722</v>
      </c>
      <c r="F1781" s="4"/>
      <c r="G1781" s="3" t="s">
        <v>29</v>
      </c>
      <c r="H1781" s="5">
        <v>26778</v>
      </c>
      <c r="I1781" s="3" t="str">
        <f>VLOOKUP(Tabela1[[#This Row],[Advogado]],Tabela2[],2,FALSE)</f>
        <v>Caio Brito</v>
      </c>
      <c r="J1781" s="17">
        <f>IF(Tabela1[[#This Row],[Data de conclusão]]="",NETWORKDAYS(Tabela1[[#This Row],[Data de entrada]],$J$2),NETWORKDAYS(Tabela1[[#This Row],[Data de entrada]],Tabela1[[#This Row],[Data de conclusão]]))</f>
        <v>367</v>
      </c>
      <c r="K1781" s="1"/>
    </row>
    <row r="1782" spans="2:11" x14ac:dyDescent="0.25">
      <c r="B1782" s="3">
        <v>1889</v>
      </c>
      <c r="C1782" s="3" t="s">
        <v>9</v>
      </c>
      <c r="D1782" s="3" t="s">
        <v>12</v>
      </c>
      <c r="E1782" s="4">
        <v>43089</v>
      </c>
      <c r="F1782" s="4"/>
      <c r="G1782" s="3" t="s">
        <v>29</v>
      </c>
      <c r="H1782" s="5">
        <v>46223</v>
      </c>
      <c r="I1782" s="3" t="str">
        <f>VLOOKUP(Tabela1[[#This Row],[Advogado]],Tabela2[],2,FALSE)</f>
        <v>Caio Brito</v>
      </c>
      <c r="J1782" s="17">
        <f>IF(Tabela1[[#This Row],[Data de conclusão]]="",NETWORKDAYS(Tabela1[[#This Row],[Data de entrada]],$J$2),NETWORKDAYS(Tabela1[[#This Row],[Data de entrada]],Tabela1[[#This Row],[Data de conclusão]]))</f>
        <v>105</v>
      </c>
      <c r="K1782" s="1"/>
    </row>
    <row r="1783" spans="2:11" x14ac:dyDescent="0.25">
      <c r="B1783" s="3">
        <v>1890</v>
      </c>
      <c r="C1783" s="3" t="s">
        <v>7</v>
      </c>
      <c r="D1783" s="3" t="s">
        <v>13</v>
      </c>
      <c r="E1783" s="4">
        <v>42728</v>
      </c>
      <c r="F1783" s="4">
        <v>42800</v>
      </c>
      <c r="G1783" s="3" t="s">
        <v>28</v>
      </c>
      <c r="H1783" s="5">
        <v>17236</v>
      </c>
      <c r="I1783" s="3" t="str">
        <f>VLOOKUP(Tabela1[[#This Row],[Advogado]],Tabela2[],2,FALSE)</f>
        <v>Caio Brito</v>
      </c>
      <c r="J1783" s="17">
        <f>IF(Tabela1[[#This Row],[Data de conclusão]]="",NETWORKDAYS(Tabela1[[#This Row],[Data de entrada]],$J$2),NETWORKDAYS(Tabela1[[#This Row],[Data de entrada]],Tabela1[[#This Row],[Data de conclusão]]))</f>
        <v>51</v>
      </c>
      <c r="K1783" s="1"/>
    </row>
    <row r="1784" spans="2:11" x14ac:dyDescent="0.25">
      <c r="B1784" s="3">
        <v>1891</v>
      </c>
      <c r="C1784" s="3" t="s">
        <v>8</v>
      </c>
      <c r="D1784" s="3" t="s">
        <v>14</v>
      </c>
      <c r="E1784" s="4">
        <v>42682</v>
      </c>
      <c r="F1784" s="4"/>
      <c r="G1784" s="3" t="s">
        <v>27</v>
      </c>
      <c r="H1784" s="5">
        <v>44784</v>
      </c>
      <c r="I1784" s="3" t="str">
        <f>VLOOKUP(Tabela1[[#This Row],[Advogado]],Tabela2[],2,FALSE)</f>
        <v>Renê Amaranto</v>
      </c>
      <c r="J1784" s="17">
        <f>IF(Tabela1[[#This Row],[Data de conclusão]]="",NETWORKDAYS(Tabela1[[#This Row],[Data de entrada]],$J$2),NETWORKDAYS(Tabela1[[#This Row],[Data de entrada]],Tabela1[[#This Row],[Data de conclusão]]))</f>
        <v>396</v>
      </c>
      <c r="K1784" s="1"/>
    </row>
    <row r="1785" spans="2:11" x14ac:dyDescent="0.25">
      <c r="B1785" s="3">
        <v>1892</v>
      </c>
      <c r="C1785" s="3" t="s">
        <v>9</v>
      </c>
      <c r="D1785" s="3" t="s">
        <v>15</v>
      </c>
      <c r="E1785" s="4">
        <v>42726</v>
      </c>
      <c r="F1785" s="4"/>
      <c r="G1785" s="3" t="s">
        <v>29</v>
      </c>
      <c r="H1785" s="5">
        <v>56732</v>
      </c>
      <c r="I1785" s="3" t="str">
        <f>VLOOKUP(Tabela1[[#This Row],[Advogado]],Tabela2[],2,FALSE)</f>
        <v>Renê Amaranto</v>
      </c>
      <c r="J1785" s="17">
        <f>IF(Tabela1[[#This Row],[Data de conclusão]]="",NETWORKDAYS(Tabela1[[#This Row],[Data de entrada]],$J$2),NETWORKDAYS(Tabela1[[#This Row],[Data de entrada]],Tabela1[[#This Row],[Data de conclusão]]))</f>
        <v>364</v>
      </c>
      <c r="K1785" s="1"/>
    </row>
    <row r="1786" spans="2:11" x14ac:dyDescent="0.25">
      <c r="B1786" s="3">
        <v>1893</v>
      </c>
      <c r="C1786" s="3" t="s">
        <v>7</v>
      </c>
      <c r="D1786" s="3" t="s">
        <v>16</v>
      </c>
      <c r="E1786" s="4">
        <v>42849</v>
      </c>
      <c r="F1786" s="4"/>
      <c r="G1786" s="3" t="s">
        <v>29</v>
      </c>
      <c r="H1786" s="5">
        <v>58659</v>
      </c>
      <c r="I1786" s="3" t="str">
        <f>VLOOKUP(Tabela1[[#This Row],[Advogado]],Tabela2[],2,FALSE)</f>
        <v>Renê Amaranto</v>
      </c>
      <c r="J1786" s="17">
        <f>IF(Tabela1[[#This Row],[Data de conclusão]]="",NETWORKDAYS(Tabela1[[#This Row],[Data de entrada]],$J$2),NETWORKDAYS(Tabela1[[#This Row],[Data de entrada]],Tabela1[[#This Row],[Data de conclusão]]))</f>
        <v>277</v>
      </c>
      <c r="K1786" s="1"/>
    </row>
    <row r="1787" spans="2:11" x14ac:dyDescent="0.25">
      <c r="B1787" s="3">
        <v>1894</v>
      </c>
      <c r="C1787" s="3" t="s">
        <v>8</v>
      </c>
      <c r="D1787" s="3" t="s">
        <v>17</v>
      </c>
      <c r="E1787" s="4">
        <v>42780</v>
      </c>
      <c r="F1787" s="4"/>
      <c r="G1787" s="3" t="s">
        <v>29</v>
      </c>
      <c r="H1787" s="5">
        <v>52629</v>
      </c>
      <c r="I1787" s="3" t="str">
        <f>VLOOKUP(Tabela1[[#This Row],[Advogado]],Tabela2[],2,FALSE)</f>
        <v>Renê Amaranto</v>
      </c>
      <c r="J1787" s="17">
        <f>IF(Tabela1[[#This Row],[Data de conclusão]]="",NETWORKDAYS(Tabela1[[#This Row],[Data de entrada]],$J$2),NETWORKDAYS(Tabela1[[#This Row],[Data de entrada]],Tabela1[[#This Row],[Data de conclusão]]))</f>
        <v>326</v>
      </c>
      <c r="K1787" s="1"/>
    </row>
    <row r="1788" spans="2:11" x14ac:dyDescent="0.25">
      <c r="B1788" s="3">
        <v>1895</v>
      </c>
      <c r="C1788" s="3" t="s">
        <v>9</v>
      </c>
      <c r="D1788" s="3" t="s">
        <v>10</v>
      </c>
      <c r="E1788" s="4">
        <v>43051</v>
      </c>
      <c r="F1788" s="4"/>
      <c r="G1788" s="3" t="s">
        <v>29</v>
      </c>
      <c r="H1788" s="5">
        <v>44323</v>
      </c>
      <c r="I1788" s="3" t="str">
        <f>VLOOKUP(Tabela1[[#This Row],[Advogado]],Tabela2[],2,FALSE)</f>
        <v>Caio Brito</v>
      </c>
      <c r="J1788" s="17">
        <f>IF(Tabela1[[#This Row],[Data de conclusão]]="",NETWORKDAYS(Tabela1[[#This Row],[Data de entrada]],$J$2),NETWORKDAYS(Tabela1[[#This Row],[Data de entrada]],Tabela1[[#This Row],[Data de conclusão]]))</f>
        <v>132</v>
      </c>
      <c r="K1788" s="1"/>
    </row>
    <row r="1789" spans="2:11" x14ac:dyDescent="0.25">
      <c r="B1789" s="3">
        <v>1896</v>
      </c>
      <c r="C1789" s="3" t="s">
        <v>7</v>
      </c>
      <c r="D1789" s="3" t="s">
        <v>11</v>
      </c>
      <c r="E1789" s="4">
        <v>42752</v>
      </c>
      <c r="F1789" s="4"/>
      <c r="G1789" s="3" t="s">
        <v>29</v>
      </c>
      <c r="H1789" s="5">
        <v>58316</v>
      </c>
      <c r="I1789" s="3" t="str">
        <f>VLOOKUP(Tabela1[[#This Row],[Advogado]],Tabela2[],2,FALSE)</f>
        <v>Caio Brito</v>
      </c>
      <c r="J1789" s="17">
        <f>IF(Tabela1[[#This Row],[Data de conclusão]]="",NETWORKDAYS(Tabela1[[#This Row],[Data de entrada]],$J$2),NETWORKDAYS(Tabela1[[#This Row],[Data de entrada]],Tabela1[[#This Row],[Data de conclusão]]))</f>
        <v>346</v>
      </c>
      <c r="K1789" s="1"/>
    </row>
    <row r="1790" spans="2:11" x14ac:dyDescent="0.25">
      <c r="B1790" s="3">
        <v>1897</v>
      </c>
      <c r="C1790" s="3" t="s">
        <v>8</v>
      </c>
      <c r="D1790" s="3" t="s">
        <v>12</v>
      </c>
      <c r="E1790" s="4">
        <v>42948</v>
      </c>
      <c r="F1790" s="4"/>
      <c r="G1790" s="3" t="s">
        <v>29</v>
      </c>
      <c r="H1790" s="5">
        <v>17865</v>
      </c>
      <c r="I1790" s="3" t="str">
        <f>VLOOKUP(Tabela1[[#This Row],[Advogado]],Tabela2[],2,FALSE)</f>
        <v>Caio Brito</v>
      </c>
      <c r="J1790" s="17">
        <f>IF(Tabela1[[#This Row],[Data de conclusão]]="",NETWORKDAYS(Tabela1[[#This Row],[Data de entrada]],$J$2),NETWORKDAYS(Tabela1[[#This Row],[Data de entrada]],Tabela1[[#This Row],[Data de conclusão]]))</f>
        <v>206</v>
      </c>
      <c r="K1790" s="1"/>
    </row>
    <row r="1791" spans="2:11" x14ac:dyDescent="0.25">
      <c r="B1791" s="3">
        <v>1898</v>
      </c>
      <c r="C1791" s="3" t="s">
        <v>9</v>
      </c>
      <c r="D1791" s="3" t="s">
        <v>13</v>
      </c>
      <c r="E1791" s="4">
        <v>42572</v>
      </c>
      <c r="F1791" s="4"/>
      <c r="G1791" s="3" t="s">
        <v>29</v>
      </c>
      <c r="H1791" s="5">
        <v>21090</v>
      </c>
      <c r="I1791" s="3" t="str">
        <f>VLOOKUP(Tabela1[[#This Row],[Advogado]],Tabela2[],2,FALSE)</f>
        <v>Caio Brito</v>
      </c>
      <c r="J1791" s="17">
        <f>IF(Tabela1[[#This Row],[Data de conclusão]]="",NETWORKDAYS(Tabela1[[#This Row],[Data de entrada]],$J$2),NETWORKDAYS(Tabela1[[#This Row],[Data de entrada]],Tabela1[[#This Row],[Data de conclusão]]))</f>
        <v>474</v>
      </c>
      <c r="K1791" s="1"/>
    </row>
    <row r="1792" spans="2:11" x14ac:dyDescent="0.25">
      <c r="B1792" s="3">
        <v>1899</v>
      </c>
      <c r="C1792" s="3" t="s">
        <v>7</v>
      </c>
      <c r="D1792" s="3" t="s">
        <v>14</v>
      </c>
      <c r="E1792" s="4">
        <v>42438</v>
      </c>
      <c r="F1792" s="4"/>
      <c r="G1792" s="3" t="s">
        <v>29</v>
      </c>
      <c r="H1792" s="5">
        <v>4528</v>
      </c>
      <c r="I1792" s="3" t="str">
        <f>VLOOKUP(Tabela1[[#This Row],[Advogado]],Tabela2[],2,FALSE)</f>
        <v>Renê Amaranto</v>
      </c>
      <c r="J1792" s="17">
        <f>IF(Tabela1[[#This Row],[Data de conclusão]]="",NETWORKDAYS(Tabela1[[#This Row],[Data de entrada]],$J$2),NETWORKDAYS(Tabela1[[#This Row],[Data de entrada]],Tabela1[[#This Row],[Data de conclusão]]))</f>
        <v>570</v>
      </c>
      <c r="K1792" s="1"/>
    </row>
    <row r="1793" spans="2:11" x14ac:dyDescent="0.25">
      <c r="B1793" s="3">
        <v>1900</v>
      </c>
      <c r="C1793" s="3" t="s">
        <v>8</v>
      </c>
      <c r="D1793" s="3" t="s">
        <v>15</v>
      </c>
      <c r="E1793" s="4">
        <v>42765</v>
      </c>
      <c r="F1793" s="4"/>
      <c r="G1793" s="3" t="s">
        <v>29</v>
      </c>
      <c r="H1793" s="5">
        <v>28807</v>
      </c>
      <c r="I1793" s="3" t="str">
        <f>VLOOKUP(Tabela1[[#This Row],[Advogado]],Tabela2[],2,FALSE)</f>
        <v>Renê Amaranto</v>
      </c>
      <c r="J1793" s="17">
        <f>IF(Tabela1[[#This Row],[Data de conclusão]]="",NETWORKDAYS(Tabela1[[#This Row],[Data de entrada]],$J$2),NETWORKDAYS(Tabela1[[#This Row],[Data de entrada]],Tabela1[[#This Row],[Data de conclusão]]))</f>
        <v>337</v>
      </c>
      <c r="K1793" s="1"/>
    </row>
    <row r="1794" spans="2:11" x14ac:dyDescent="0.25">
      <c r="B1794" s="3">
        <v>1901</v>
      </c>
      <c r="C1794" s="3" t="s">
        <v>9</v>
      </c>
      <c r="D1794" s="3" t="s">
        <v>16</v>
      </c>
      <c r="E1794" s="4">
        <v>42389</v>
      </c>
      <c r="F1794" s="4"/>
      <c r="G1794" s="3" t="s">
        <v>29</v>
      </c>
      <c r="H1794" s="5">
        <v>45126</v>
      </c>
      <c r="I1794" s="3" t="str">
        <f>VLOOKUP(Tabela1[[#This Row],[Advogado]],Tabela2[],2,FALSE)</f>
        <v>Renê Amaranto</v>
      </c>
      <c r="J1794" s="17">
        <f>IF(Tabela1[[#This Row],[Data de conclusão]]="",NETWORKDAYS(Tabela1[[#This Row],[Data de entrada]],$J$2),NETWORKDAYS(Tabela1[[#This Row],[Data de entrada]],Tabela1[[#This Row],[Data de conclusão]]))</f>
        <v>605</v>
      </c>
      <c r="K1794" s="1"/>
    </row>
    <row r="1795" spans="2:11" x14ac:dyDescent="0.25">
      <c r="B1795" s="3">
        <v>1902</v>
      </c>
      <c r="C1795" s="3" t="s">
        <v>7</v>
      </c>
      <c r="D1795" s="3" t="s">
        <v>17</v>
      </c>
      <c r="E1795" s="4">
        <v>42607</v>
      </c>
      <c r="F1795" s="4"/>
      <c r="G1795" s="3" t="s">
        <v>29</v>
      </c>
      <c r="H1795" s="5">
        <v>20706</v>
      </c>
      <c r="I1795" s="3" t="str">
        <f>VLOOKUP(Tabela1[[#This Row],[Advogado]],Tabela2[],2,FALSE)</f>
        <v>Renê Amaranto</v>
      </c>
      <c r="J1795" s="17">
        <f>IF(Tabela1[[#This Row],[Data de conclusão]]="",NETWORKDAYS(Tabela1[[#This Row],[Data de entrada]],$J$2),NETWORKDAYS(Tabela1[[#This Row],[Data de entrada]],Tabela1[[#This Row],[Data de conclusão]]))</f>
        <v>449</v>
      </c>
      <c r="K1795" s="1"/>
    </row>
    <row r="1796" spans="2:11" x14ac:dyDescent="0.25">
      <c r="B1796" s="3">
        <v>1903</v>
      </c>
      <c r="C1796" s="3" t="s">
        <v>8</v>
      </c>
      <c r="D1796" s="3" t="s">
        <v>10</v>
      </c>
      <c r="E1796" s="4">
        <v>42523</v>
      </c>
      <c r="F1796" s="4">
        <v>42670</v>
      </c>
      <c r="G1796" s="3" t="s">
        <v>28</v>
      </c>
      <c r="H1796" s="5">
        <v>22928</v>
      </c>
      <c r="I1796" s="3" t="str">
        <f>VLOOKUP(Tabela1[[#This Row],[Advogado]],Tabela2[],2,FALSE)</f>
        <v>Caio Brito</v>
      </c>
      <c r="J1796" s="17">
        <f>IF(Tabela1[[#This Row],[Data de conclusão]]="",NETWORKDAYS(Tabela1[[#This Row],[Data de entrada]],$J$2),NETWORKDAYS(Tabela1[[#This Row],[Data de entrada]],Tabela1[[#This Row],[Data de conclusão]]))</f>
        <v>106</v>
      </c>
      <c r="K1796" s="1"/>
    </row>
    <row r="1797" spans="2:11" x14ac:dyDescent="0.25">
      <c r="B1797" s="3">
        <v>1904</v>
      </c>
      <c r="C1797" s="3" t="s">
        <v>9</v>
      </c>
      <c r="D1797" s="3" t="s">
        <v>11</v>
      </c>
      <c r="E1797" s="4">
        <v>42462</v>
      </c>
      <c r="F1797" s="4"/>
      <c r="G1797" s="3" t="s">
        <v>27</v>
      </c>
      <c r="H1797" s="5">
        <v>58919</v>
      </c>
      <c r="I1797" s="3" t="str">
        <f>VLOOKUP(Tabela1[[#This Row],[Advogado]],Tabela2[],2,FALSE)</f>
        <v>Caio Brito</v>
      </c>
      <c r="J1797" s="17">
        <f>IF(Tabela1[[#This Row],[Data de conclusão]]="",NETWORKDAYS(Tabela1[[#This Row],[Data de entrada]],$J$2),NETWORKDAYS(Tabela1[[#This Row],[Data de entrada]],Tabela1[[#This Row],[Data de conclusão]]))</f>
        <v>552</v>
      </c>
      <c r="K1797" s="1"/>
    </row>
    <row r="1798" spans="2:11" x14ac:dyDescent="0.25">
      <c r="B1798" s="3">
        <v>1905</v>
      </c>
      <c r="C1798" s="3" t="s">
        <v>7</v>
      </c>
      <c r="D1798" s="3" t="s">
        <v>12</v>
      </c>
      <c r="E1798" s="4">
        <v>42499</v>
      </c>
      <c r="F1798" s="4"/>
      <c r="G1798" s="3" t="s">
        <v>29</v>
      </c>
      <c r="H1798" s="5">
        <v>59863</v>
      </c>
      <c r="I1798" s="3" t="str">
        <f>VLOOKUP(Tabela1[[#This Row],[Advogado]],Tabela2[],2,FALSE)</f>
        <v>Caio Brito</v>
      </c>
      <c r="J1798" s="17">
        <f>IF(Tabela1[[#This Row],[Data de conclusão]]="",NETWORKDAYS(Tabela1[[#This Row],[Data de entrada]],$J$2),NETWORKDAYS(Tabela1[[#This Row],[Data de entrada]],Tabela1[[#This Row],[Data de conclusão]]))</f>
        <v>527</v>
      </c>
      <c r="K1798" s="1"/>
    </row>
    <row r="1799" spans="2:11" x14ac:dyDescent="0.25">
      <c r="B1799" s="3">
        <v>1906</v>
      </c>
      <c r="C1799" s="3" t="s">
        <v>8</v>
      </c>
      <c r="D1799" s="3" t="s">
        <v>13</v>
      </c>
      <c r="E1799" s="4">
        <v>42899</v>
      </c>
      <c r="F1799" s="4"/>
      <c r="G1799" s="3" t="s">
        <v>29</v>
      </c>
      <c r="H1799" s="5">
        <v>54128</v>
      </c>
      <c r="I1799" s="3" t="str">
        <f>VLOOKUP(Tabela1[[#This Row],[Advogado]],Tabela2[],2,FALSE)</f>
        <v>Caio Brito</v>
      </c>
      <c r="J1799" s="17">
        <f>IF(Tabela1[[#This Row],[Data de conclusão]]="",NETWORKDAYS(Tabela1[[#This Row],[Data de entrada]],$J$2),NETWORKDAYS(Tabela1[[#This Row],[Data de entrada]],Tabela1[[#This Row],[Data de conclusão]]))</f>
        <v>241</v>
      </c>
      <c r="K1799" s="1"/>
    </row>
    <row r="1800" spans="2:11" x14ac:dyDescent="0.25">
      <c r="B1800" s="3">
        <v>1907</v>
      </c>
      <c r="C1800" s="3" t="s">
        <v>9</v>
      </c>
      <c r="D1800" s="3" t="s">
        <v>14</v>
      </c>
      <c r="E1800" s="4">
        <v>42763</v>
      </c>
      <c r="F1800" s="4"/>
      <c r="G1800" s="3" t="s">
        <v>29</v>
      </c>
      <c r="H1800" s="5">
        <v>19010</v>
      </c>
      <c r="I1800" s="3" t="str">
        <f>VLOOKUP(Tabela1[[#This Row],[Advogado]],Tabela2[],2,FALSE)</f>
        <v>Renê Amaranto</v>
      </c>
      <c r="J1800" s="17">
        <f>IF(Tabela1[[#This Row],[Data de conclusão]]="",NETWORKDAYS(Tabela1[[#This Row],[Data de entrada]],$J$2),NETWORKDAYS(Tabela1[[#This Row],[Data de entrada]],Tabela1[[#This Row],[Data de conclusão]]))</f>
        <v>337</v>
      </c>
      <c r="K1800" s="1"/>
    </row>
    <row r="1801" spans="2:11" x14ac:dyDescent="0.25">
      <c r="B1801" s="3">
        <v>1908</v>
      </c>
      <c r="C1801" s="3" t="s">
        <v>7</v>
      </c>
      <c r="D1801" s="3" t="s">
        <v>15</v>
      </c>
      <c r="E1801" s="4">
        <v>42516</v>
      </c>
      <c r="F1801" s="4"/>
      <c r="G1801" s="3" t="s">
        <v>29</v>
      </c>
      <c r="H1801" s="5">
        <v>23158</v>
      </c>
      <c r="I1801" s="3" t="str">
        <f>VLOOKUP(Tabela1[[#This Row],[Advogado]],Tabela2[],2,FALSE)</f>
        <v>Renê Amaranto</v>
      </c>
      <c r="J1801" s="17">
        <f>IF(Tabela1[[#This Row],[Data de conclusão]]="",NETWORKDAYS(Tabela1[[#This Row],[Data de entrada]],$J$2),NETWORKDAYS(Tabela1[[#This Row],[Data de entrada]],Tabela1[[#This Row],[Data de conclusão]]))</f>
        <v>514</v>
      </c>
      <c r="K1801" s="1"/>
    </row>
    <row r="1802" spans="2:11" x14ac:dyDescent="0.25">
      <c r="B1802" s="3">
        <v>1909</v>
      </c>
      <c r="C1802" s="3" t="s">
        <v>8</v>
      </c>
      <c r="D1802" s="3" t="s">
        <v>16</v>
      </c>
      <c r="E1802" s="4">
        <v>42958</v>
      </c>
      <c r="F1802" s="4"/>
      <c r="G1802" s="3" t="s">
        <v>29</v>
      </c>
      <c r="H1802" s="5">
        <v>33768</v>
      </c>
      <c r="I1802" s="3" t="str">
        <f>VLOOKUP(Tabela1[[#This Row],[Advogado]],Tabela2[],2,FALSE)</f>
        <v>Renê Amaranto</v>
      </c>
      <c r="J1802" s="17">
        <f>IF(Tabela1[[#This Row],[Data de conclusão]]="",NETWORKDAYS(Tabela1[[#This Row],[Data de entrada]],$J$2),NETWORKDAYS(Tabela1[[#This Row],[Data de entrada]],Tabela1[[#This Row],[Data de conclusão]]))</f>
        <v>198</v>
      </c>
      <c r="K1802" s="1"/>
    </row>
    <row r="1803" spans="2:11" x14ac:dyDescent="0.25">
      <c r="B1803" s="3">
        <v>1910</v>
      </c>
      <c r="C1803" s="3" t="s">
        <v>9</v>
      </c>
      <c r="D1803" s="3" t="s">
        <v>17</v>
      </c>
      <c r="E1803" s="4">
        <v>42597</v>
      </c>
      <c r="F1803" s="4"/>
      <c r="G1803" s="3" t="s">
        <v>29</v>
      </c>
      <c r="H1803" s="5">
        <v>1849</v>
      </c>
      <c r="I1803" s="3" t="str">
        <f>VLOOKUP(Tabela1[[#This Row],[Advogado]],Tabela2[],2,FALSE)</f>
        <v>Renê Amaranto</v>
      </c>
      <c r="J1803" s="17">
        <f>IF(Tabela1[[#This Row],[Data de conclusão]]="",NETWORKDAYS(Tabela1[[#This Row],[Data de entrada]],$J$2),NETWORKDAYS(Tabela1[[#This Row],[Data de entrada]],Tabela1[[#This Row],[Data de conclusão]]))</f>
        <v>457</v>
      </c>
      <c r="K1803" s="1"/>
    </row>
    <row r="1804" spans="2:11" x14ac:dyDescent="0.25">
      <c r="B1804" s="3">
        <v>1911</v>
      </c>
      <c r="C1804" s="3" t="s">
        <v>7</v>
      </c>
      <c r="D1804" s="3" t="s">
        <v>10</v>
      </c>
      <c r="E1804" s="4">
        <v>42954</v>
      </c>
      <c r="F1804" s="4"/>
      <c r="G1804" s="3" t="s">
        <v>29</v>
      </c>
      <c r="H1804" s="5">
        <v>15123</v>
      </c>
      <c r="I1804" s="3" t="str">
        <f>VLOOKUP(Tabela1[[#This Row],[Advogado]],Tabela2[],2,FALSE)</f>
        <v>Caio Brito</v>
      </c>
      <c r="J1804" s="17">
        <f>IF(Tabela1[[#This Row],[Data de conclusão]]="",NETWORKDAYS(Tabela1[[#This Row],[Data de entrada]],$J$2),NETWORKDAYS(Tabela1[[#This Row],[Data de entrada]],Tabela1[[#This Row],[Data de conclusão]]))</f>
        <v>202</v>
      </c>
      <c r="K1804" s="1"/>
    </row>
    <row r="1805" spans="2:11" x14ac:dyDescent="0.25">
      <c r="B1805" s="3">
        <v>1912</v>
      </c>
      <c r="C1805" s="3" t="s">
        <v>8</v>
      </c>
      <c r="D1805" s="3" t="s">
        <v>11</v>
      </c>
      <c r="E1805" s="4">
        <v>42942</v>
      </c>
      <c r="F1805" s="4"/>
      <c r="G1805" s="3" t="s">
        <v>29</v>
      </c>
      <c r="H1805" s="5">
        <v>8246</v>
      </c>
      <c r="I1805" s="3" t="str">
        <f>VLOOKUP(Tabela1[[#This Row],[Advogado]],Tabela2[],2,FALSE)</f>
        <v>Caio Brito</v>
      </c>
      <c r="J1805" s="17">
        <f>IF(Tabela1[[#This Row],[Data de conclusão]]="",NETWORKDAYS(Tabela1[[#This Row],[Data de entrada]],$J$2),NETWORKDAYS(Tabela1[[#This Row],[Data de entrada]],Tabela1[[#This Row],[Data de conclusão]]))</f>
        <v>210</v>
      </c>
      <c r="K1805" s="1"/>
    </row>
    <row r="1806" spans="2:11" x14ac:dyDescent="0.25">
      <c r="B1806" s="3">
        <v>1913</v>
      </c>
      <c r="C1806" s="3" t="s">
        <v>9</v>
      </c>
      <c r="D1806" s="3" t="s">
        <v>12</v>
      </c>
      <c r="E1806" s="4">
        <v>42691</v>
      </c>
      <c r="F1806" s="4"/>
      <c r="G1806" s="3" t="s">
        <v>29</v>
      </c>
      <c r="H1806" s="5">
        <v>33668</v>
      </c>
      <c r="I1806" s="3" t="str">
        <f>VLOOKUP(Tabela1[[#This Row],[Advogado]],Tabela2[],2,FALSE)</f>
        <v>Caio Brito</v>
      </c>
      <c r="J1806" s="17">
        <f>IF(Tabela1[[#This Row],[Data de conclusão]]="",NETWORKDAYS(Tabela1[[#This Row],[Data de entrada]],$J$2),NETWORKDAYS(Tabela1[[#This Row],[Data de entrada]],Tabela1[[#This Row],[Data de conclusão]]))</f>
        <v>389</v>
      </c>
      <c r="K1806" s="1"/>
    </row>
    <row r="1807" spans="2:11" x14ac:dyDescent="0.25">
      <c r="B1807" s="3">
        <v>1914</v>
      </c>
      <c r="C1807" s="3" t="s">
        <v>7</v>
      </c>
      <c r="D1807" s="3" t="s">
        <v>13</v>
      </c>
      <c r="E1807" s="4">
        <v>42976</v>
      </c>
      <c r="F1807" s="4"/>
      <c r="G1807" s="3" t="s">
        <v>29</v>
      </c>
      <c r="H1807" s="5">
        <v>39478</v>
      </c>
      <c r="I1807" s="3" t="str">
        <f>VLOOKUP(Tabela1[[#This Row],[Advogado]],Tabela2[],2,FALSE)</f>
        <v>Caio Brito</v>
      </c>
      <c r="J1807" s="17">
        <f>IF(Tabela1[[#This Row],[Data de conclusão]]="",NETWORKDAYS(Tabela1[[#This Row],[Data de entrada]],$J$2),NETWORKDAYS(Tabela1[[#This Row],[Data de entrada]],Tabela1[[#This Row],[Data de conclusão]]))</f>
        <v>186</v>
      </c>
      <c r="K1807" s="1"/>
    </row>
    <row r="1808" spans="2:11" x14ac:dyDescent="0.25">
      <c r="B1808" s="3">
        <v>1915</v>
      </c>
      <c r="C1808" s="3" t="s">
        <v>8</v>
      </c>
      <c r="D1808" s="3" t="s">
        <v>14</v>
      </c>
      <c r="E1808" s="4">
        <v>43023</v>
      </c>
      <c r="F1808" s="4"/>
      <c r="G1808" s="3" t="s">
        <v>29</v>
      </c>
      <c r="H1808" s="5">
        <v>50926</v>
      </c>
      <c r="I1808" s="3" t="str">
        <f>VLOOKUP(Tabela1[[#This Row],[Advogado]],Tabela2[],2,FALSE)</f>
        <v>Renê Amaranto</v>
      </c>
      <c r="J1808" s="17">
        <f>IF(Tabela1[[#This Row],[Data de conclusão]]="",NETWORKDAYS(Tabela1[[#This Row],[Data de entrada]],$J$2),NETWORKDAYS(Tabela1[[#This Row],[Data de entrada]],Tabela1[[#This Row],[Data de conclusão]]))</f>
        <v>152</v>
      </c>
      <c r="K1808" s="1"/>
    </row>
    <row r="1809" spans="2:11" x14ac:dyDescent="0.25">
      <c r="B1809" s="3">
        <v>1916</v>
      </c>
      <c r="C1809" s="3" t="s">
        <v>9</v>
      </c>
      <c r="D1809" s="3" t="s">
        <v>15</v>
      </c>
      <c r="E1809" s="4">
        <v>42567</v>
      </c>
      <c r="F1809" s="4">
        <v>42680</v>
      </c>
      <c r="G1809" s="3" t="s">
        <v>28</v>
      </c>
      <c r="H1809" s="5">
        <v>36006</v>
      </c>
      <c r="I1809" s="3" t="str">
        <f>VLOOKUP(Tabela1[[#This Row],[Advogado]],Tabela2[],2,FALSE)</f>
        <v>Renê Amaranto</v>
      </c>
      <c r="J1809" s="17">
        <f>IF(Tabela1[[#This Row],[Data de conclusão]]="",NETWORKDAYS(Tabela1[[#This Row],[Data de entrada]],$J$2),NETWORKDAYS(Tabela1[[#This Row],[Data de entrada]],Tabela1[[#This Row],[Data de conclusão]]))</f>
        <v>80</v>
      </c>
      <c r="K1809" s="1"/>
    </row>
    <row r="1810" spans="2:11" x14ac:dyDescent="0.25">
      <c r="B1810" s="3">
        <v>1917</v>
      </c>
      <c r="C1810" s="3" t="s">
        <v>7</v>
      </c>
      <c r="D1810" s="3" t="s">
        <v>16</v>
      </c>
      <c r="E1810" s="4">
        <v>42499</v>
      </c>
      <c r="F1810" s="4"/>
      <c r="G1810" s="3" t="s">
        <v>27</v>
      </c>
      <c r="H1810" s="5">
        <v>45429</v>
      </c>
      <c r="I1810" s="3" t="str">
        <f>VLOOKUP(Tabela1[[#This Row],[Advogado]],Tabela2[],2,FALSE)</f>
        <v>Renê Amaranto</v>
      </c>
      <c r="J1810" s="17">
        <f>IF(Tabela1[[#This Row],[Data de conclusão]]="",NETWORKDAYS(Tabela1[[#This Row],[Data de entrada]],$J$2),NETWORKDAYS(Tabela1[[#This Row],[Data de entrada]],Tabela1[[#This Row],[Data de conclusão]]))</f>
        <v>527</v>
      </c>
      <c r="K1810" s="1"/>
    </row>
    <row r="1811" spans="2:11" x14ac:dyDescent="0.25">
      <c r="B1811" s="3">
        <v>1918</v>
      </c>
      <c r="C1811" s="3" t="s">
        <v>8</v>
      </c>
      <c r="D1811" s="3" t="s">
        <v>17</v>
      </c>
      <c r="E1811" s="4">
        <v>42466</v>
      </c>
      <c r="F1811" s="4"/>
      <c r="G1811" s="3" t="s">
        <v>29</v>
      </c>
      <c r="H1811" s="5">
        <v>55624</v>
      </c>
      <c r="I1811" s="3" t="str">
        <f>VLOOKUP(Tabela1[[#This Row],[Advogado]],Tabela2[],2,FALSE)</f>
        <v>Renê Amaranto</v>
      </c>
      <c r="J1811" s="17">
        <f>IF(Tabela1[[#This Row],[Data de conclusão]]="",NETWORKDAYS(Tabela1[[#This Row],[Data de entrada]],$J$2),NETWORKDAYS(Tabela1[[#This Row],[Data de entrada]],Tabela1[[#This Row],[Data de conclusão]]))</f>
        <v>550</v>
      </c>
      <c r="K1811" s="1"/>
    </row>
    <row r="1812" spans="2:11" x14ac:dyDescent="0.25">
      <c r="B1812" s="3">
        <v>1919</v>
      </c>
      <c r="C1812" s="3" t="s">
        <v>9</v>
      </c>
      <c r="D1812" s="3" t="s">
        <v>10</v>
      </c>
      <c r="E1812" s="4">
        <v>42552</v>
      </c>
      <c r="F1812" s="4"/>
      <c r="G1812" s="3" t="s">
        <v>29</v>
      </c>
      <c r="H1812" s="5">
        <v>39663</v>
      </c>
      <c r="I1812" s="3" t="str">
        <f>VLOOKUP(Tabela1[[#This Row],[Advogado]],Tabela2[],2,FALSE)</f>
        <v>Caio Brito</v>
      </c>
      <c r="J1812" s="17">
        <f>IF(Tabela1[[#This Row],[Data de conclusão]]="",NETWORKDAYS(Tabela1[[#This Row],[Data de entrada]],$J$2),NETWORKDAYS(Tabela1[[#This Row],[Data de entrada]],Tabela1[[#This Row],[Data de conclusão]]))</f>
        <v>488</v>
      </c>
      <c r="K1812" s="1"/>
    </row>
    <row r="1813" spans="2:11" x14ac:dyDescent="0.25">
      <c r="B1813" s="3">
        <v>1920</v>
      </c>
      <c r="C1813" s="3" t="s">
        <v>7</v>
      </c>
      <c r="D1813" s="3" t="s">
        <v>11</v>
      </c>
      <c r="E1813" s="4">
        <v>43018</v>
      </c>
      <c r="F1813" s="4"/>
      <c r="G1813" s="3" t="s">
        <v>29</v>
      </c>
      <c r="H1813" s="5">
        <v>22112</v>
      </c>
      <c r="I1813" s="3" t="str">
        <f>VLOOKUP(Tabela1[[#This Row],[Advogado]],Tabela2[],2,FALSE)</f>
        <v>Caio Brito</v>
      </c>
      <c r="J1813" s="17">
        <f>IF(Tabela1[[#This Row],[Data de conclusão]]="",NETWORKDAYS(Tabela1[[#This Row],[Data de entrada]],$J$2),NETWORKDAYS(Tabela1[[#This Row],[Data de entrada]],Tabela1[[#This Row],[Data de conclusão]]))</f>
        <v>156</v>
      </c>
      <c r="K1813" s="1"/>
    </row>
    <row r="1814" spans="2:11" x14ac:dyDescent="0.25">
      <c r="B1814" s="3">
        <v>1921</v>
      </c>
      <c r="C1814" s="3" t="s">
        <v>8</v>
      </c>
      <c r="D1814" s="3" t="s">
        <v>12</v>
      </c>
      <c r="E1814" s="4">
        <v>42757</v>
      </c>
      <c r="F1814" s="4"/>
      <c r="G1814" s="3" t="s">
        <v>29</v>
      </c>
      <c r="H1814" s="5">
        <v>18885</v>
      </c>
      <c r="I1814" s="3" t="str">
        <f>VLOOKUP(Tabela1[[#This Row],[Advogado]],Tabela2[],2,FALSE)</f>
        <v>Caio Brito</v>
      </c>
      <c r="J1814" s="17">
        <f>IF(Tabela1[[#This Row],[Data de conclusão]]="",NETWORKDAYS(Tabela1[[#This Row],[Data de entrada]],$J$2),NETWORKDAYS(Tabela1[[#This Row],[Data de entrada]],Tabela1[[#This Row],[Data de conclusão]]))</f>
        <v>342</v>
      </c>
      <c r="K1814" s="1"/>
    </row>
    <row r="1815" spans="2:11" x14ac:dyDescent="0.25">
      <c r="B1815" s="3">
        <v>1922</v>
      </c>
      <c r="C1815" s="3" t="s">
        <v>9</v>
      </c>
      <c r="D1815" s="3" t="s">
        <v>13</v>
      </c>
      <c r="E1815" s="4">
        <v>42896</v>
      </c>
      <c r="F1815" s="4"/>
      <c r="G1815" s="3" t="s">
        <v>29</v>
      </c>
      <c r="H1815" s="5">
        <v>4831</v>
      </c>
      <c r="I1815" s="3" t="str">
        <f>VLOOKUP(Tabela1[[#This Row],[Advogado]],Tabela2[],2,FALSE)</f>
        <v>Caio Brito</v>
      </c>
      <c r="J1815" s="17">
        <f>IF(Tabela1[[#This Row],[Data de conclusão]]="",NETWORKDAYS(Tabela1[[#This Row],[Data de entrada]],$J$2),NETWORKDAYS(Tabela1[[#This Row],[Data de entrada]],Tabela1[[#This Row],[Data de conclusão]]))</f>
        <v>242</v>
      </c>
      <c r="K1815" s="1"/>
    </row>
    <row r="1816" spans="2:11" x14ac:dyDescent="0.25">
      <c r="B1816" s="3">
        <v>1923</v>
      </c>
      <c r="C1816" s="3" t="s">
        <v>7</v>
      </c>
      <c r="D1816" s="3" t="s">
        <v>14</v>
      </c>
      <c r="E1816" s="4">
        <v>42405</v>
      </c>
      <c r="F1816" s="4"/>
      <c r="G1816" s="3" t="s">
        <v>29</v>
      </c>
      <c r="H1816" s="5">
        <v>18812</v>
      </c>
      <c r="I1816" s="3" t="str">
        <f>VLOOKUP(Tabela1[[#This Row],[Advogado]],Tabela2[],2,FALSE)</f>
        <v>Renê Amaranto</v>
      </c>
      <c r="J1816" s="17">
        <f>IF(Tabela1[[#This Row],[Data de conclusão]]="",NETWORKDAYS(Tabela1[[#This Row],[Data de entrada]],$J$2),NETWORKDAYS(Tabela1[[#This Row],[Data de entrada]],Tabela1[[#This Row],[Data de conclusão]]))</f>
        <v>593</v>
      </c>
      <c r="K1816" s="1"/>
    </row>
    <row r="1817" spans="2:11" x14ac:dyDescent="0.25">
      <c r="B1817" s="3">
        <v>1924</v>
      </c>
      <c r="C1817" s="3" t="s">
        <v>8</v>
      </c>
      <c r="D1817" s="3" t="s">
        <v>15</v>
      </c>
      <c r="E1817" s="4">
        <v>43051</v>
      </c>
      <c r="F1817" s="4"/>
      <c r="G1817" s="3" t="s">
        <v>29</v>
      </c>
      <c r="H1817" s="5">
        <v>7745</v>
      </c>
      <c r="I1817" s="3" t="str">
        <f>VLOOKUP(Tabela1[[#This Row],[Advogado]],Tabela2[],2,FALSE)</f>
        <v>Renê Amaranto</v>
      </c>
      <c r="J1817" s="17">
        <f>IF(Tabela1[[#This Row],[Data de conclusão]]="",NETWORKDAYS(Tabela1[[#This Row],[Data de entrada]],$J$2),NETWORKDAYS(Tabela1[[#This Row],[Data de entrada]],Tabela1[[#This Row],[Data de conclusão]]))</f>
        <v>132</v>
      </c>
      <c r="K1817" s="1"/>
    </row>
    <row r="1818" spans="2:11" x14ac:dyDescent="0.25">
      <c r="B1818" s="3">
        <v>1925</v>
      </c>
      <c r="C1818" s="3" t="s">
        <v>9</v>
      </c>
      <c r="D1818" s="3" t="s">
        <v>16</v>
      </c>
      <c r="E1818" s="4">
        <v>42446</v>
      </c>
      <c r="F1818" s="4"/>
      <c r="G1818" s="3" t="s">
        <v>29</v>
      </c>
      <c r="H1818" s="5">
        <v>10148</v>
      </c>
      <c r="I1818" s="3" t="str">
        <f>VLOOKUP(Tabela1[[#This Row],[Advogado]],Tabela2[],2,FALSE)</f>
        <v>Renê Amaranto</v>
      </c>
      <c r="J1818" s="17">
        <f>IF(Tabela1[[#This Row],[Data de conclusão]]="",NETWORKDAYS(Tabela1[[#This Row],[Data de entrada]],$J$2),NETWORKDAYS(Tabela1[[#This Row],[Data de entrada]],Tabela1[[#This Row],[Data de conclusão]]))</f>
        <v>564</v>
      </c>
      <c r="K1818" s="1"/>
    </row>
    <row r="1819" spans="2:11" x14ac:dyDescent="0.25">
      <c r="B1819" s="3">
        <v>1926</v>
      </c>
      <c r="C1819" s="3" t="s">
        <v>7</v>
      </c>
      <c r="D1819" s="3" t="s">
        <v>17</v>
      </c>
      <c r="E1819" s="4">
        <v>42845</v>
      </c>
      <c r="F1819" s="4"/>
      <c r="G1819" s="3" t="s">
        <v>29</v>
      </c>
      <c r="H1819" s="5">
        <v>37377</v>
      </c>
      <c r="I1819" s="3" t="str">
        <f>VLOOKUP(Tabela1[[#This Row],[Advogado]],Tabela2[],2,FALSE)</f>
        <v>Renê Amaranto</v>
      </c>
      <c r="J1819" s="17">
        <f>IF(Tabela1[[#This Row],[Data de conclusão]]="",NETWORKDAYS(Tabela1[[#This Row],[Data de entrada]],$J$2),NETWORKDAYS(Tabela1[[#This Row],[Data de entrada]],Tabela1[[#This Row],[Data de conclusão]]))</f>
        <v>279</v>
      </c>
      <c r="K1819" s="1"/>
    </row>
    <row r="1820" spans="2:11" x14ac:dyDescent="0.25">
      <c r="B1820" s="3">
        <v>1927</v>
      </c>
      <c r="C1820" s="3" t="s">
        <v>8</v>
      </c>
      <c r="D1820" s="3" t="s">
        <v>10</v>
      </c>
      <c r="E1820" s="4">
        <v>42392</v>
      </c>
      <c r="F1820" s="4"/>
      <c r="G1820" s="3" t="s">
        <v>29</v>
      </c>
      <c r="H1820" s="5">
        <v>21366</v>
      </c>
      <c r="I1820" s="3" t="str">
        <f>VLOOKUP(Tabela1[[#This Row],[Advogado]],Tabela2[],2,FALSE)</f>
        <v>Caio Brito</v>
      </c>
      <c r="J1820" s="17">
        <f>IF(Tabela1[[#This Row],[Data de conclusão]]="",NETWORKDAYS(Tabela1[[#This Row],[Data de entrada]],$J$2),NETWORKDAYS(Tabela1[[#This Row],[Data de entrada]],Tabela1[[#This Row],[Data de conclusão]]))</f>
        <v>602</v>
      </c>
      <c r="K1820" s="1"/>
    </row>
    <row r="1821" spans="2:11" x14ac:dyDescent="0.25">
      <c r="B1821" s="3">
        <v>1928</v>
      </c>
      <c r="C1821" s="3" t="s">
        <v>9</v>
      </c>
      <c r="D1821" s="3" t="s">
        <v>11</v>
      </c>
      <c r="E1821" s="4">
        <v>42759</v>
      </c>
      <c r="F1821" s="4"/>
      <c r="G1821" s="3" t="s">
        <v>29</v>
      </c>
      <c r="H1821" s="5">
        <v>13589</v>
      </c>
      <c r="I1821" s="3" t="str">
        <f>VLOOKUP(Tabela1[[#This Row],[Advogado]],Tabela2[],2,FALSE)</f>
        <v>Caio Brito</v>
      </c>
      <c r="J1821" s="17">
        <f>IF(Tabela1[[#This Row],[Data de conclusão]]="",NETWORKDAYS(Tabela1[[#This Row],[Data de entrada]],$J$2),NETWORKDAYS(Tabela1[[#This Row],[Data de entrada]],Tabela1[[#This Row],[Data de conclusão]]))</f>
        <v>341</v>
      </c>
      <c r="K1821" s="1"/>
    </row>
    <row r="1822" spans="2:11" x14ac:dyDescent="0.25">
      <c r="B1822" s="3">
        <v>1929</v>
      </c>
      <c r="C1822" s="3" t="s">
        <v>7</v>
      </c>
      <c r="D1822" s="3" t="s">
        <v>12</v>
      </c>
      <c r="E1822" s="4">
        <v>42512</v>
      </c>
      <c r="F1822" s="4">
        <v>42620</v>
      </c>
      <c r="G1822" s="3" t="s">
        <v>28</v>
      </c>
      <c r="H1822" s="5">
        <v>7129</v>
      </c>
      <c r="I1822" s="3" t="str">
        <f>VLOOKUP(Tabela1[[#This Row],[Advogado]],Tabela2[],2,FALSE)</f>
        <v>Caio Brito</v>
      </c>
      <c r="J1822" s="17">
        <f>IF(Tabela1[[#This Row],[Data de conclusão]]="",NETWORKDAYS(Tabela1[[#This Row],[Data de entrada]],$J$2),NETWORKDAYS(Tabela1[[#This Row],[Data de entrada]],Tabela1[[#This Row],[Data de conclusão]]))</f>
        <v>78</v>
      </c>
      <c r="K1822" s="1"/>
    </row>
    <row r="1823" spans="2:11" x14ac:dyDescent="0.25">
      <c r="B1823" s="3">
        <v>1930</v>
      </c>
      <c r="C1823" s="3" t="s">
        <v>8</v>
      </c>
      <c r="D1823" s="3" t="s">
        <v>13</v>
      </c>
      <c r="E1823" s="4">
        <v>42842</v>
      </c>
      <c r="F1823" s="4"/>
      <c r="G1823" s="3" t="s">
        <v>27</v>
      </c>
      <c r="H1823" s="5">
        <v>42643</v>
      </c>
      <c r="I1823" s="3" t="str">
        <f>VLOOKUP(Tabela1[[#This Row],[Advogado]],Tabela2[],2,FALSE)</f>
        <v>Caio Brito</v>
      </c>
      <c r="J1823" s="17">
        <f>IF(Tabela1[[#This Row],[Data de conclusão]]="",NETWORKDAYS(Tabela1[[#This Row],[Data de entrada]],$J$2),NETWORKDAYS(Tabela1[[#This Row],[Data de entrada]],Tabela1[[#This Row],[Data de conclusão]]))</f>
        <v>282</v>
      </c>
      <c r="K1823" s="1"/>
    </row>
    <row r="1824" spans="2:11" x14ac:dyDescent="0.25">
      <c r="B1824" s="3">
        <v>1931</v>
      </c>
      <c r="C1824" s="3" t="s">
        <v>9</v>
      </c>
      <c r="D1824" s="3" t="s">
        <v>14</v>
      </c>
      <c r="E1824" s="4">
        <v>42478</v>
      </c>
      <c r="F1824" s="4"/>
      <c r="G1824" s="3" t="s">
        <v>29</v>
      </c>
      <c r="H1824" s="5">
        <v>4220</v>
      </c>
      <c r="I1824" s="3" t="str">
        <f>VLOOKUP(Tabela1[[#This Row],[Advogado]],Tabela2[],2,FALSE)</f>
        <v>Renê Amaranto</v>
      </c>
      <c r="J1824" s="17">
        <f>IF(Tabela1[[#This Row],[Data de conclusão]]="",NETWORKDAYS(Tabela1[[#This Row],[Data de entrada]],$J$2),NETWORKDAYS(Tabela1[[#This Row],[Data de entrada]],Tabela1[[#This Row],[Data de conclusão]]))</f>
        <v>542</v>
      </c>
      <c r="K1824" s="1"/>
    </row>
    <row r="1825" spans="2:11" x14ac:dyDescent="0.25">
      <c r="B1825" s="3">
        <v>1932</v>
      </c>
      <c r="C1825" s="3" t="s">
        <v>7</v>
      </c>
      <c r="D1825" s="3" t="s">
        <v>15</v>
      </c>
      <c r="E1825" s="4">
        <v>42593</v>
      </c>
      <c r="F1825" s="4"/>
      <c r="G1825" s="3" t="s">
        <v>29</v>
      </c>
      <c r="H1825" s="5">
        <v>11935</v>
      </c>
      <c r="I1825" s="3" t="str">
        <f>VLOOKUP(Tabela1[[#This Row],[Advogado]],Tabela2[],2,FALSE)</f>
        <v>Renê Amaranto</v>
      </c>
      <c r="J1825" s="17">
        <f>IF(Tabela1[[#This Row],[Data de conclusão]]="",NETWORKDAYS(Tabela1[[#This Row],[Data de entrada]],$J$2),NETWORKDAYS(Tabela1[[#This Row],[Data de entrada]],Tabela1[[#This Row],[Data de conclusão]]))</f>
        <v>459</v>
      </c>
      <c r="K1825" s="1"/>
    </row>
    <row r="1826" spans="2:11" x14ac:dyDescent="0.25">
      <c r="B1826" s="3">
        <v>1933</v>
      </c>
      <c r="C1826" s="3" t="s">
        <v>8</v>
      </c>
      <c r="D1826" s="3" t="s">
        <v>16</v>
      </c>
      <c r="E1826" s="4">
        <v>42852</v>
      </c>
      <c r="F1826" s="4"/>
      <c r="G1826" s="3" t="s">
        <v>29</v>
      </c>
      <c r="H1826" s="5">
        <v>54207</v>
      </c>
      <c r="I1826" s="3" t="str">
        <f>VLOOKUP(Tabela1[[#This Row],[Advogado]],Tabela2[],2,FALSE)</f>
        <v>Renê Amaranto</v>
      </c>
      <c r="J1826" s="17">
        <f>IF(Tabela1[[#This Row],[Data de conclusão]]="",NETWORKDAYS(Tabela1[[#This Row],[Data de entrada]],$J$2),NETWORKDAYS(Tabela1[[#This Row],[Data de entrada]],Tabela1[[#This Row],[Data de conclusão]]))</f>
        <v>274</v>
      </c>
      <c r="K1826" s="1"/>
    </row>
    <row r="1827" spans="2:11" x14ac:dyDescent="0.25">
      <c r="B1827" s="3">
        <v>1934</v>
      </c>
      <c r="C1827" s="3" t="s">
        <v>9</v>
      </c>
      <c r="D1827" s="3" t="s">
        <v>17</v>
      </c>
      <c r="E1827" s="4">
        <v>42577</v>
      </c>
      <c r="F1827" s="4"/>
      <c r="G1827" s="3" t="s">
        <v>29</v>
      </c>
      <c r="H1827" s="5">
        <v>44964</v>
      </c>
      <c r="I1827" s="3" t="str">
        <f>VLOOKUP(Tabela1[[#This Row],[Advogado]],Tabela2[],2,FALSE)</f>
        <v>Renê Amaranto</v>
      </c>
      <c r="J1827" s="17">
        <f>IF(Tabela1[[#This Row],[Data de conclusão]]="",NETWORKDAYS(Tabela1[[#This Row],[Data de entrada]],$J$2),NETWORKDAYS(Tabela1[[#This Row],[Data de entrada]],Tabela1[[#This Row],[Data de conclusão]]))</f>
        <v>471</v>
      </c>
      <c r="K1827" s="1"/>
    </row>
    <row r="1828" spans="2:11" x14ac:dyDescent="0.25">
      <c r="B1828" s="3">
        <v>1935</v>
      </c>
      <c r="C1828" s="3" t="s">
        <v>7</v>
      </c>
      <c r="D1828" s="3" t="s">
        <v>10</v>
      </c>
      <c r="E1828" s="4">
        <v>42743</v>
      </c>
      <c r="F1828" s="4"/>
      <c r="G1828" s="3" t="s">
        <v>29</v>
      </c>
      <c r="H1828" s="5">
        <v>34981</v>
      </c>
      <c r="I1828" s="3" t="str">
        <f>VLOOKUP(Tabela1[[#This Row],[Advogado]],Tabela2[],2,FALSE)</f>
        <v>Caio Brito</v>
      </c>
      <c r="J1828" s="17">
        <f>IF(Tabela1[[#This Row],[Data de conclusão]]="",NETWORKDAYS(Tabela1[[#This Row],[Data de entrada]],$J$2),NETWORKDAYS(Tabela1[[#This Row],[Data de entrada]],Tabela1[[#This Row],[Data de conclusão]]))</f>
        <v>352</v>
      </c>
      <c r="K1828" s="1"/>
    </row>
    <row r="1829" spans="2:11" x14ac:dyDescent="0.25">
      <c r="B1829" s="3">
        <v>1936</v>
      </c>
      <c r="C1829" s="3" t="s">
        <v>8</v>
      </c>
      <c r="D1829" s="3" t="s">
        <v>11</v>
      </c>
      <c r="E1829" s="4">
        <v>42722</v>
      </c>
      <c r="F1829" s="4"/>
      <c r="G1829" s="3" t="s">
        <v>29</v>
      </c>
      <c r="H1829" s="5">
        <v>16330</v>
      </c>
      <c r="I1829" s="3" t="str">
        <f>VLOOKUP(Tabela1[[#This Row],[Advogado]],Tabela2[],2,FALSE)</f>
        <v>Caio Brito</v>
      </c>
      <c r="J1829" s="17">
        <f>IF(Tabela1[[#This Row],[Data de conclusão]]="",NETWORKDAYS(Tabela1[[#This Row],[Data de entrada]],$J$2),NETWORKDAYS(Tabela1[[#This Row],[Data de entrada]],Tabela1[[#This Row],[Data de conclusão]]))</f>
        <v>367</v>
      </c>
      <c r="K1829" s="1"/>
    </row>
    <row r="1830" spans="2:11" x14ac:dyDescent="0.25">
      <c r="B1830" s="3">
        <v>1937</v>
      </c>
      <c r="C1830" s="3" t="s">
        <v>9</v>
      </c>
      <c r="D1830" s="3" t="s">
        <v>12</v>
      </c>
      <c r="E1830" s="4">
        <v>42872</v>
      </c>
      <c r="F1830" s="4"/>
      <c r="G1830" s="3" t="s">
        <v>29</v>
      </c>
      <c r="H1830" s="5">
        <v>3664</v>
      </c>
      <c r="I1830" s="3" t="str">
        <f>VLOOKUP(Tabela1[[#This Row],[Advogado]],Tabela2[],2,FALSE)</f>
        <v>Caio Brito</v>
      </c>
      <c r="J1830" s="17">
        <f>IF(Tabela1[[#This Row],[Data de conclusão]]="",NETWORKDAYS(Tabela1[[#This Row],[Data de entrada]],$J$2),NETWORKDAYS(Tabela1[[#This Row],[Data de entrada]],Tabela1[[#This Row],[Data de conclusão]]))</f>
        <v>260</v>
      </c>
      <c r="K1830" s="1"/>
    </row>
    <row r="1831" spans="2:11" x14ac:dyDescent="0.25">
      <c r="B1831" s="3">
        <v>1938</v>
      </c>
      <c r="C1831" s="3" t="s">
        <v>7</v>
      </c>
      <c r="D1831" s="3" t="s">
        <v>13</v>
      </c>
      <c r="E1831" s="4">
        <v>42978</v>
      </c>
      <c r="F1831" s="4"/>
      <c r="G1831" s="3" t="s">
        <v>29</v>
      </c>
      <c r="H1831" s="5">
        <v>29966</v>
      </c>
      <c r="I1831" s="3" t="str">
        <f>VLOOKUP(Tabela1[[#This Row],[Advogado]],Tabela2[],2,FALSE)</f>
        <v>Caio Brito</v>
      </c>
      <c r="J1831" s="17">
        <f>IF(Tabela1[[#This Row],[Data de conclusão]]="",NETWORKDAYS(Tabela1[[#This Row],[Data de entrada]],$J$2),NETWORKDAYS(Tabela1[[#This Row],[Data de entrada]],Tabela1[[#This Row],[Data de conclusão]]))</f>
        <v>184</v>
      </c>
      <c r="K1831" s="1"/>
    </row>
    <row r="1832" spans="2:11" x14ac:dyDescent="0.25">
      <c r="B1832" s="3">
        <v>1939</v>
      </c>
      <c r="C1832" s="3" t="s">
        <v>8</v>
      </c>
      <c r="D1832" s="3" t="s">
        <v>14</v>
      </c>
      <c r="E1832" s="4">
        <v>42759</v>
      </c>
      <c r="F1832" s="4"/>
      <c r="G1832" s="3" t="s">
        <v>29</v>
      </c>
      <c r="H1832" s="5">
        <v>15781</v>
      </c>
      <c r="I1832" s="3" t="str">
        <f>VLOOKUP(Tabela1[[#This Row],[Advogado]],Tabela2[],2,FALSE)</f>
        <v>Renê Amaranto</v>
      </c>
      <c r="J1832" s="17">
        <f>IF(Tabela1[[#This Row],[Data de conclusão]]="",NETWORKDAYS(Tabela1[[#This Row],[Data de entrada]],$J$2),NETWORKDAYS(Tabela1[[#This Row],[Data de entrada]],Tabela1[[#This Row],[Data de conclusão]]))</f>
        <v>341</v>
      </c>
      <c r="K1832" s="1"/>
    </row>
    <row r="1833" spans="2:11" x14ac:dyDescent="0.25">
      <c r="B1833" s="3">
        <v>1940</v>
      </c>
      <c r="C1833" s="3" t="s">
        <v>9</v>
      </c>
      <c r="D1833" s="3" t="s">
        <v>15</v>
      </c>
      <c r="E1833" s="4">
        <v>42492</v>
      </c>
      <c r="F1833" s="4"/>
      <c r="G1833" s="3" t="s">
        <v>29</v>
      </c>
      <c r="H1833" s="5">
        <v>1664</v>
      </c>
      <c r="I1833" s="3" t="str">
        <f>VLOOKUP(Tabela1[[#This Row],[Advogado]],Tabela2[],2,FALSE)</f>
        <v>Renê Amaranto</v>
      </c>
      <c r="J1833" s="17">
        <f>IF(Tabela1[[#This Row],[Data de conclusão]]="",NETWORKDAYS(Tabela1[[#This Row],[Data de entrada]],$J$2),NETWORKDAYS(Tabela1[[#This Row],[Data de entrada]],Tabela1[[#This Row],[Data de conclusão]]))</f>
        <v>532</v>
      </c>
      <c r="K1833" s="1"/>
    </row>
    <row r="1834" spans="2:11" x14ac:dyDescent="0.25">
      <c r="B1834" s="3">
        <v>1941</v>
      </c>
      <c r="C1834" s="3" t="s">
        <v>7</v>
      </c>
      <c r="D1834" s="3" t="s">
        <v>16</v>
      </c>
      <c r="E1834" s="4">
        <v>43046</v>
      </c>
      <c r="F1834" s="4"/>
      <c r="G1834" s="3" t="s">
        <v>29</v>
      </c>
      <c r="H1834" s="5">
        <v>23331</v>
      </c>
      <c r="I1834" s="3" t="str">
        <f>VLOOKUP(Tabela1[[#This Row],[Advogado]],Tabela2[],2,FALSE)</f>
        <v>Renê Amaranto</v>
      </c>
      <c r="J1834" s="17">
        <f>IF(Tabela1[[#This Row],[Data de conclusão]]="",NETWORKDAYS(Tabela1[[#This Row],[Data de entrada]],$J$2),NETWORKDAYS(Tabela1[[#This Row],[Data de entrada]],Tabela1[[#This Row],[Data de conclusão]]))</f>
        <v>136</v>
      </c>
      <c r="K1834" s="1"/>
    </row>
    <row r="1835" spans="2:11" x14ac:dyDescent="0.25">
      <c r="B1835" s="3">
        <v>1942</v>
      </c>
      <c r="C1835" s="3" t="s">
        <v>8</v>
      </c>
      <c r="D1835" s="3" t="s">
        <v>17</v>
      </c>
      <c r="E1835" s="4">
        <v>42588</v>
      </c>
      <c r="F1835" s="4">
        <v>42700</v>
      </c>
      <c r="G1835" s="3" t="s">
        <v>28</v>
      </c>
      <c r="H1835" s="5">
        <v>19112</v>
      </c>
      <c r="I1835" s="3" t="str">
        <f>VLOOKUP(Tabela1[[#This Row],[Advogado]],Tabela2[],2,FALSE)</f>
        <v>Renê Amaranto</v>
      </c>
      <c r="J1835" s="17">
        <f>IF(Tabela1[[#This Row],[Data de conclusão]]="",NETWORKDAYS(Tabela1[[#This Row],[Data de entrada]],$J$2),NETWORKDAYS(Tabela1[[#This Row],[Data de entrada]],Tabela1[[#This Row],[Data de conclusão]]))</f>
        <v>80</v>
      </c>
      <c r="K1835" s="1"/>
    </row>
    <row r="1836" spans="2:11" x14ac:dyDescent="0.25">
      <c r="B1836" s="3">
        <v>1943</v>
      </c>
      <c r="C1836" s="3" t="s">
        <v>9</v>
      </c>
      <c r="D1836" s="3" t="s">
        <v>10</v>
      </c>
      <c r="E1836" s="4">
        <v>42860</v>
      </c>
      <c r="F1836" s="4"/>
      <c r="G1836" s="3" t="s">
        <v>27</v>
      </c>
      <c r="H1836" s="5">
        <v>58878</v>
      </c>
      <c r="I1836" s="3" t="str">
        <f>VLOOKUP(Tabela1[[#This Row],[Advogado]],Tabela2[],2,FALSE)</f>
        <v>Caio Brito</v>
      </c>
      <c r="J1836" s="17">
        <f>IF(Tabela1[[#This Row],[Data de conclusão]]="",NETWORKDAYS(Tabela1[[#This Row],[Data de entrada]],$J$2),NETWORKDAYS(Tabela1[[#This Row],[Data de entrada]],Tabela1[[#This Row],[Data de conclusão]]))</f>
        <v>268</v>
      </c>
      <c r="K1836" s="1"/>
    </row>
    <row r="1837" spans="2:11" x14ac:dyDescent="0.25">
      <c r="B1837" s="3">
        <v>1944</v>
      </c>
      <c r="C1837" s="3" t="s">
        <v>7</v>
      </c>
      <c r="D1837" s="3" t="s">
        <v>11</v>
      </c>
      <c r="E1837" s="4">
        <v>42370</v>
      </c>
      <c r="F1837" s="4"/>
      <c r="G1837" s="3" t="s">
        <v>29</v>
      </c>
      <c r="H1837" s="5">
        <v>32020</v>
      </c>
      <c r="I1837" s="3" t="str">
        <f>VLOOKUP(Tabela1[[#This Row],[Advogado]],Tabela2[],2,FALSE)</f>
        <v>Caio Brito</v>
      </c>
      <c r="J1837" s="17">
        <f>IF(Tabela1[[#This Row],[Data de conclusão]]="",NETWORKDAYS(Tabela1[[#This Row],[Data de entrada]],$J$2),NETWORKDAYS(Tabela1[[#This Row],[Data de entrada]],Tabela1[[#This Row],[Data de conclusão]]))</f>
        <v>618</v>
      </c>
      <c r="K1837" s="1"/>
    </row>
    <row r="1838" spans="2:11" x14ac:dyDescent="0.25">
      <c r="B1838" s="3">
        <v>1945</v>
      </c>
      <c r="C1838" s="3" t="s">
        <v>8</v>
      </c>
      <c r="D1838" s="3" t="s">
        <v>12</v>
      </c>
      <c r="E1838" s="4">
        <v>42832</v>
      </c>
      <c r="F1838" s="4"/>
      <c r="G1838" s="3" t="s">
        <v>29</v>
      </c>
      <c r="H1838" s="5">
        <v>51013</v>
      </c>
      <c r="I1838" s="3" t="str">
        <f>VLOOKUP(Tabela1[[#This Row],[Advogado]],Tabela2[],2,FALSE)</f>
        <v>Caio Brito</v>
      </c>
      <c r="J1838" s="17">
        <f>IF(Tabela1[[#This Row],[Data de conclusão]]="",NETWORKDAYS(Tabela1[[#This Row],[Data de entrada]],$J$2),NETWORKDAYS(Tabela1[[#This Row],[Data de entrada]],Tabela1[[#This Row],[Data de conclusão]]))</f>
        <v>288</v>
      </c>
      <c r="K1838" s="1"/>
    </row>
    <row r="1839" spans="2:11" x14ac:dyDescent="0.25">
      <c r="B1839" s="3">
        <v>1946</v>
      </c>
      <c r="C1839" s="3" t="s">
        <v>9</v>
      </c>
      <c r="D1839" s="3" t="s">
        <v>13</v>
      </c>
      <c r="E1839" s="4">
        <v>42741</v>
      </c>
      <c r="F1839" s="4"/>
      <c r="G1839" s="3" t="s">
        <v>29</v>
      </c>
      <c r="H1839" s="5">
        <v>34059</v>
      </c>
      <c r="I1839" s="3" t="str">
        <f>VLOOKUP(Tabela1[[#This Row],[Advogado]],Tabela2[],2,FALSE)</f>
        <v>Caio Brito</v>
      </c>
      <c r="J1839" s="17">
        <f>IF(Tabela1[[#This Row],[Data de conclusão]]="",NETWORKDAYS(Tabela1[[#This Row],[Data de entrada]],$J$2),NETWORKDAYS(Tabela1[[#This Row],[Data de entrada]],Tabela1[[#This Row],[Data de conclusão]]))</f>
        <v>353</v>
      </c>
      <c r="K1839" s="1"/>
    </row>
    <row r="1840" spans="2:11" x14ac:dyDescent="0.25">
      <c r="B1840" s="3">
        <v>1947</v>
      </c>
      <c r="C1840" s="3" t="s">
        <v>7</v>
      </c>
      <c r="D1840" s="3" t="s">
        <v>14</v>
      </c>
      <c r="E1840" s="4">
        <v>42735</v>
      </c>
      <c r="F1840" s="4"/>
      <c r="G1840" s="3" t="s">
        <v>29</v>
      </c>
      <c r="H1840" s="5">
        <v>8520</v>
      </c>
      <c r="I1840" s="3" t="str">
        <f>VLOOKUP(Tabela1[[#This Row],[Advogado]],Tabela2[],2,FALSE)</f>
        <v>Renê Amaranto</v>
      </c>
      <c r="J1840" s="17">
        <f>IF(Tabela1[[#This Row],[Data de conclusão]]="",NETWORKDAYS(Tabela1[[#This Row],[Data de entrada]],$J$2),NETWORKDAYS(Tabela1[[#This Row],[Data de entrada]],Tabela1[[#This Row],[Data de conclusão]]))</f>
        <v>357</v>
      </c>
      <c r="K1840" s="1"/>
    </row>
    <row r="1841" spans="2:11" x14ac:dyDescent="0.25">
      <c r="B1841" s="3">
        <v>1948</v>
      </c>
      <c r="C1841" s="3" t="s">
        <v>8</v>
      </c>
      <c r="D1841" s="3" t="s">
        <v>15</v>
      </c>
      <c r="E1841" s="4">
        <v>42609</v>
      </c>
      <c r="F1841" s="4"/>
      <c r="G1841" s="3" t="s">
        <v>29</v>
      </c>
      <c r="H1841" s="5">
        <v>51872</v>
      </c>
      <c r="I1841" s="3" t="str">
        <f>VLOOKUP(Tabela1[[#This Row],[Advogado]],Tabela2[],2,FALSE)</f>
        <v>Renê Amaranto</v>
      </c>
      <c r="J1841" s="17">
        <f>IF(Tabela1[[#This Row],[Data de conclusão]]="",NETWORKDAYS(Tabela1[[#This Row],[Data de entrada]],$J$2),NETWORKDAYS(Tabela1[[#This Row],[Data de entrada]],Tabela1[[#This Row],[Data de conclusão]]))</f>
        <v>447</v>
      </c>
      <c r="K1841" s="1"/>
    </row>
    <row r="1842" spans="2:11" x14ac:dyDescent="0.25">
      <c r="B1842" s="3">
        <v>1949</v>
      </c>
      <c r="C1842" s="3" t="s">
        <v>9</v>
      </c>
      <c r="D1842" s="3" t="s">
        <v>16</v>
      </c>
      <c r="E1842" s="4">
        <v>42439</v>
      </c>
      <c r="F1842" s="4"/>
      <c r="G1842" s="3" t="s">
        <v>29</v>
      </c>
      <c r="H1842" s="5">
        <v>16897</v>
      </c>
      <c r="I1842" s="3" t="str">
        <f>VLOOKUP(Tabela1[[#This Row],[Advogado]],Tabela2[],2,FALSE)</f>
        <v>Renê Amaranto</v>
      </c>
      <c r="J1842" s="17">
        <f>IF(Tabela1[[#This Row],[Data de conclusão]]="",NETWORKDAYS(Tabela1[[#This Row],[Data de entrada]],$J$2),NETWORKDAYS(Tabela1[[#This Row],[Data de entrada]],Tabela1[[#This Row],[Data de conclusão]]))</f>
        <v>569</v>
      </c>
      <c r="K1842" s="1"/>
    </row>
    <row r="1843" spans="2:11" x14ac:dyDescent="0.25">
      <c r="B1843" s="3">
        <v>1950</v>
      </c>
      <c r="C1843" s="3" t="s">
        <v>7</v>
      </c>
      <c r="D1843" s="3" t="s">
        <v>17</v>
      </c>
      <c r="E1843" s="4">
        <v>42987</v>
      </c>
      <c r="F1843" s="4"/>
      <c r="G1843" s="3" t="s">
        <v>29</v>
      </c>
      <c r="H1843" s="5">
        <v>53797</v>
      </c>
      <c r="I1843" s="3" t="str">
        <f>VLOOKUP(Tabela1[[#This Row],[Advogado]],Tabela2[],2,FALSE)</f>
        <v>Renê Amaranto</v>
      </c>
      <c r="J1843" s="17">
        <f>IF(Tabela1[[#This Row],[Data de conclusão]]="",NETWORKDAYS(Tabela1[[#This Row],[Data de entrada]],$J$2),NETWORKDAYS(Tabela1[[#This Row],[Data de entrada]],Tabela1[[#This Row],[Data de conclusão]]))</f>
        <v>177</v>
      </c>
      <c r="K1843" s="1"/>
    </row>
    <row r="1844" spans="2:11" x14ac:dyDescent="0.25">
      <c r="B1844" s="3">
        <v>1951</v>
      </c>
      <c r="C1844" s="3" t="s">
        <v>8</v>
      </c>
      <c r="D1844" s="3" t="s">
        <v>10</v>
      </c>
      <c r="E1844" s="4">
        <v>42593</v>
      </c>
      <c r="F1844" s="4"/>
      <c r="G1844" s="3" t="s">
        <v>29</v>
      </c>
      <c r="H1844" s="5">
        <v>49799</v>
      </c>
      <c r="I1844" s="3" t="str">
        <f>VLOOKUP(Tabela1[[#This Row],[Advogado]],Tabela2[],2,FALSE)</f>
        <v>Caio Brito</v>
      </c>
      <c r="J1844" s="17">
        <f>IF(Tabela1[[#This Row],[Data de conclusão]]="",NETWORKDAYS(Tabela1[[#This Row],[Data de entrada]],$J$2),NETWORKDAYS(Tabela1[[#This Row],[Data de entrada]],Tabela1[[#This Row],[Data de conclusão]]))</f>
        <v>459</v>
      </c>
      <c r="K1844" s="1"/>
    </row>
    <row r="1845" spans="2:11" x14ac:dyDescent="0.25">
      <c r="B1845" s="3">
        <v>1952</v>
      </c>
      <c r="C1845" s="3" t="s">
        <v>9</v>
      </c>
      <c r="D1845" s="3" t="s">
        <v>11</v>
      </c>
      <c r="E1845" s="4">
        <v>42839</v>
      </c>
      <c r="F1845" s="4"/>
      <c r="G1845" s="3" t="s">
        <v>29</v>
      </c>
      <c r="H1845" s="5">
        <v>39918</v>
      </c>
      <c r="I1845" s="3" t="str">
        <f>VLOOKUP(Tabela1[[#This Row],[Advogado]],Tabela2[],2,FALSE)</f>
        <v>Caio Brito</v>
      </c>
      <c r="J1845" s="17">
        <f>IF(Tabela1[[#This Row],[Data de conclusão]]="",NETWORKDAYS(Tabela1[[#This Row],[Data de entrada]],$J$2),NETWORKDAYS(Tabela1[[#This Row],[Data de entrada]],Tabela1[[#This Row],[Data de conclusão]]))</f>
        <v>283</v>
      </c>
      <c r="K1845" s="1"/>
    </row>
    <row r="1846" spans="2:11" x14ac:dyDescent="0.25">
      <c r="B1846" s="3">
        <v>1953</v>
      </c>
      <c r="C1846" s="3" t="s">
        <v>7</v>
      </c>
      <c r="D1846" s="3" t="s">
        <v>12</v>
      </c>
      <c r="E1846" s="4">
        <v>43018</v>
      </c>
      <c r="F1846" s="4"/>
      <c r="G1846" s="3" t="s">
        <v>29</v>
      </c>
      <c r="H1846" s="5">
        <v>10230</v>
      </c>
      <c r="I1846" s="3" t="str">
        <f>VLOOKUP(Tabela1[[#This Row],[Advogado]],Tabela2[],2,FALSE)</f>
        <v>Caio Brito</v>
      </c>
      <c r="J1846" s="17">
        <f>IF(Tabela1[[#This Row],[Data de conclusão]]="",NETWORKDAYS(Tabela1[[#This Row],[Data de entrada]],$J$2),NETWORKDAYS(Tabela1[[#This Row],[Data de entrada]],Tabela1[[#This Row],[Data de conclusão]]))</f>
        <v>156</v>
      </c>
      <c r="K1846" s="1"/>
    </row>
    <row r="1847" spans="2:11" x14ac:dyDescent="0.25">
      <c r="B1847" s="3">
        <v>1954</v>
      </c>
      <c r="C1847" s="3" t="s">
        <v>8</v>
      </c>
      <c r="D1847" s="3" t="s">
        <v>13</v>
      </c>
      <c r="E1847" s="4">
        <v>42611</v>
      </c>
      <c r="F1847" s="4"/>
      <c r="G1847" s="3" t="s">
        <v>29</v>
      </c>
      <c r="H1847" s="5">
        <v>49102</v>
      </c>
      <c r="I1847" s="3" t="str">
        <f>VLOOKUP(Tabela1[[#This Row],[Advogado]],Tabela2[],2,FALSE)</f>
        <v>Caio Brito</v>
      </c>
      <c r="J1847" s="17">
        <f>IF(Tabela1[[#This Row],[Data de conclusão]]="",NETWORKDAYS(Tabela1[[#This Row],[Data de entrada]],$J$2),NETWORKDAYS(Tabela1[[#This Row],[Data de entrada]],Tabela1[[#This Row],[Data de conclusão]]))</f>
        <v>447</v>
      </c>
      <c r="K1847" s="1"/>
    </row>
    <row r="1848" spans="2:11" x14ac:dyDescent="0.25">
      <c r="B1848" s="3">
        <v>1955</v>
      </c>
      <c r="C1848" s="3" t="s">
        <v>9</v>
      </c>
      <c r="D1848" s="3" t="s">
        <v>14</v>
      </c>
      <c r="E1848" s="4">
        <v>42557</v>
      </c>
      <c r="F1848" s="4">
        <v>42609</v>
      </c>
      <c r="G1848" s="3" t="s">
        <v>28</v>
      </c>
      <c r="H1848" s="5">
        <v>4080</v>
      </c>
      <c r="I1848" s="3" t="str">
        <f>VLOOKUP(Tabela1[[#This Row],[Advogado]],Tabela2[],2,FALSE)</f>
        <v>Renê Amaranto</v>
      </c>
      <c r="J1848" s="17">
        <f>IF(Tabela1[[#This Row],[Data de conclusão]]="",NETWORKDAYS(Tabela1[[#This Row],[Data de entrada]],$J$2),NETWORKDAYS(Tabela1[[#This Row],[Data de entrada]],Tabela1[[#This Row],[Data de conclusão]]))</f>
        <v>38</v>
      </c>
      <c r="K1848" s="1"/>
    </row>
    <row r="1849" spans="2:11" x14ac:dyDescent="0.25">
      <c r="B1849" s="3">
        <v>1956</v>
      </c>
      <c r="C1849" s="3" t="s">
        <v>7</v>
      </c>
      <c r="D1849" s="3" t="s">
        <v>15</v>
      </c>
      <c r="E1849" s="4">
        <v>42650</v>
      </c>
      <c r="F1849" s="4"/>
      <c r="G1849" s="3" t="s">
        <v>27</v>
      </c>
      <c r="H1849" s="5">
        <v>41627</v>
      </c>
      <c r="I1849" s="3" t="str">
        <f>VLOOKUP(Tabela1[[#This Row],[Advogado]],Tabela2[],2,FALSE)</f>
        <v>Renê Amaranto</v>
      </c>
      <c r="J1849" s="17">
        <f>IF(Tabela1[[#This Row],[Data de conclusão]]="",NETWORKDAYS(Tabela1[[#This Row],[Data de entrada]],$J$2),NETWORKDAYS(Tabela1[[#This Row],[Data de entrada]],Tabela1[[#This Row],[Data de conclusão]]))</f>
        <v>418</v>
      </c>
      <c r="K1849" s="1"/>
    </row>
    <row r="1850" spans="2:11" x14ac:dyDescent="0.25">
      <c r="B1850" s="3">
        <v>1957</v>
      </c>
      <c r="C1850" s="3" t="s">
        <v>8</v>
      </c>
      <c r="D1850" s="3" t="s">
        <v>16</v>
      </c>
      <c r="E1850" s="4">
        <v>42437</v>
      </c>
      <c r="F1850" s="4"/>
      <c r="G1850" s="3" t="s">
        <v>29</v>
      </c>
      <c r="H1850" s="5">
        <v>51743</v>
      </c>
      <c r="I1850" s="3" t="str">
        <f>VLOOKUP(Tabela1[[#This Row],[Advogado]],Tabela2[],2,FALSE)</f>
        <v>Renê Amaranto</v>
      </c>
      <c r="J1850" s="17">
        <f>IF(Tabela1[[#This Row],[Data de conclusão]]="",NETWORKDAYS(Tabela1[[#This Row],[Data de entrada]],$J$2),NETWORKDAYS(Tabela1[[#This Row],[Data de entrada]],Tabela1[[#This Row],[Data de conclusão]]))</f>
        <v>571</v>
      </c>
      <c r="K1850" s="1"/>
    </row>
    <row r="1851" spans="2:11" x14ac:dyDescent="0.25">
      <c r="B1851" s="3">
        <v>1958</v>
      </c>
      <c r="C1851" s="3" t="s">
        <v>9</v>
      </c>
      <c r="D1851" s="3" t="s">
        <v>17</v>
      </c>
      <c r="E1851" s="4">
        <v>42745</v>
      </c>
      <c r="F1851" s="4"/>
      <c r="G1851" s="3" t="s">
        <v>29</v>
      </c>
      <c r="H1851" s="5">
        <v>30656</v>
      </c>
      <c r="I1851" s="3" t="str">
        <f>VLOOKUP(Tabela1[[#This Row],[Advogado]],Tabela2[],2,FALSE)</f>
        <v>Renê Amaranto</v>
      </c>
      <c r="J1851" s="17">
        <f>IF(Tabela1[[#This Row],[Data de conclusão]]="",NETWORKDAYS(Tabela1[[#This Row],[Data de entrada]],$J$2),NETWORKDAYS(Tabela1[[#This Row],[Data de entrada]],Tabela1[[#This Row],[Data de conclusão]]))</f>
        <v>351</v>
      </c>
      <c r="K1851" s="1"/>
    </row>
    <row r="1852" spans="2:11" x14ac:dyDescent="0.25">
      <c r="B1852" s="3">
        <v>1959</v>
      </c>
      <c r="C1852" s="3" t="s">
        <v>7</v>
      </c>
      <c r="D1852" s="3" t="s">
        <v>10</v>
      </c>
      <c r="E1852" s="4">
        <v>42920</v>
      </c>
      <c r="F1852" s="4"/>
      <c r="G1852" s="3" t="s">
        <v>29</v>
      </c>
      <c r="H1852" s="5">
        <v>31056</v>
      </c>
      <c r="I1852" s="3" t="str">
        <f>VLOOKUP(Tabela1[[#This Row],[Advogado]],Tabela2[],2,FALSE)</f>
        <v>Caio Brito</v>
      </c>
      <c r="J1852" s="17">
        <f>IF(Tabela1[[#This Row],[Data de conclusão]]="",NETWORKDAYS(Tabela1[[#This Row],[Data de entrada]],$J$2),NETWORKDAYS(Tabela1[[#This Row],[Data de entrada]],Tabela1[[#This Row],[Data de conclusão]]))</f>
        <v>226</v>
      </c>
      <c r="K1852" s="1"/>
    </row>
    <row r="1853" spans="2:11" x14ac:dyDescent="0.25">
      <c r="B1853" s="3">
        <v>1960</v>
      </c>
      <c r="C1853" s="3" t="s">
        <v>8</v>
      </c>
      <c r="D1853" s="3" t="s">
        <v>11</v>
      </c>
      <c r="E1853" s="4">
        <v>42760</v>
      </c>
      <c r="F1853" s="4"/>
      <c r="G1853" s="3" t="s">
        <v>29</v>
      </c>
      <c r="H1853" s="5">
        <v>57589</v>
      </c>
      <c r="I1853" s="3" t="str">
        <f>VLOOKUP(Tabela1[[#This Row],[Advogado]],Tabela2[],2,FALSE)</f>
        <v>Caio Brito</v>
      </c>
      <c r="J1853" s="17">
        <f>IF(Tabela1[[#This Row],[Data de conclusão]]="",NETWORKDAYS(Tabela1[[#This Row],[Data de entrada]],$J$2),NETWORKDAYS(Tabela1[[#This Row],[Data de entrada]],Tabela1[[#This Row],[Data de conclusão]]))</f>
        <v>340</v>
      </c>
      <c r="K1853" s="1"/>
    </row>
    <row r="1854" spans="2:11" x14ac:dyDescent="0.25">
      <c r="B1854" s="3">
        <v>1961</v>
      </c>
      <c r="C1854" s="3" t="s">
        <v>9</v>
      </c>
      <c r="D1854" s="3" t="s">
        <v>12</v>
      </c>
      <c r="E1854" s="4">
        <v>42941</v>
      </c>
      <c r="F1854" s="4"/>
      <c r="G1854" s="3" t="s">
        <v>29</v>
      </c>
      <c r="H1854" s="5">
        <v>48296</v>
      </c>
      <c r="I1854" s="3" t="str">
        <f>VLOOKUP(Tabela1[[#This Row],[Advogado]],Tabela2[],2,FALSE)</f>
        <v>Caio Brito</v>
      </c>
      <c r="J1854" s="17">
        <f>IF(Tabela1[[#This Row],[Data de conclusão]]="",NETWORKDAYS(Tabela1[[#This Row],[Data de entrada]],$J$2),NETWORKDAYS(Tabela1[[#This Row],[Data de entrada]],Tabela1[[#This Row],[Data de conclusão]]))</f>
        <v>211</v>
      </c>
      <c r="K1854" s="1"/>
    </row>
    <row r="1855" spans="2:11" x14ac:dyDescent="0.25">
      <c r="B1855" s="3">
        <v>1962</v>
      </c>
      <c r="C1855" s="3" t="s">
        <v>7</v>
      </c>
      <c r="D1855" s="3" t="s">
        <v>13</v>
      </c>
      <c r="E1855" s="4">
        <v>42629</v>
      </c>
      <c r="F1855" s="4"/>
      <c r="G1855" s="3" t="s">
        <v>29</v>
      </c>
      <c r="H1855" s="5">
        <v>11105</v>
      </c>
      <c r="I1855" s="3" t="str">
        <f>VLOOKUP(Tabela1[[#This Row],[Advogado]],Tabela2[],2,FALSE)</f>
        <v>Caio Brito</v>
      </c>
      <c r="J1855" s="17">
        <f>IF(Tabela1[[#This Row],[Data de conclusão]]="",NETWORKDAYS(Tabela1[[#This Row],[Data de entrada]],$J$2),NETWORKDAYS(Tabela1[[#This Row],[Data de entrada]],Tabela1[[#This Row],[Data de conclusão]]))</f>
        <v>433</v>
      </c>
      <c r="K1855" s="1"/>
    </row>
    <row r="1856" spans="2:11" x14ac:dyDescent="0.25">
      <c r="B1856" s="3">
        <v>1963</v>
      </c>
      <c r="C1856" s="3" t="s">
        <v>8</v>
      </c>
      <c r="D1856" s="3" t="s">
        <v>14</v>
      </c>
      <c r="E1856" s="4">
        <v>42787</v>
      </c>
      <c r="F1856" s="4"/>
      <c r="G1856" s="3" t="s">
        <v>29</v>
      </c>
      <c r="H1856" s="5">
        <v>38400</v>
      </c>
      <c r="I1856" s="3" t="str">
        <f>VLOOKUP(Tabela1[[#This Row],[Advogado]],Tabela2[],2,FALSE)</f>
        <v>Renê Amaranto</v>
      </c>
      <c r="J1856" s="17">
        <f>IF(Tabela1[[#This Row],[Data de conclusão]]="",NETWORKDAYS(Tabela1[[#This Row],[Data de entrada]],$J$2),NETWORKDAYS(Tabela1[[#This Row],[Data de entrada]],Tabela1[[#This Row],[Data de conclusão]]))</f>
        <v>321</v>
      </c>
      <c r="K1856" s="1"/>
    </row>
    <row r="1857" spans="2:11" x14ac:dyDescent="0.25">
      <c r="B1857" s="3">
        <v>1964</v>
      </c>
      <c r="C1857" s="3" t="s">
        <v>9</v>
      </c>
      <c r="D1857" s="3" t="s">
        <v>15</v>
      </c>
      <c r="E1857" s="4">
        <v>42495</v>
      </c>
      <c r="F1857" s="4"/>
      <c r="G1857" s="3" t="s">
        <v>29</v>
      </c>
      <c r="H1857" s="5">
        <v>56204</v>
      </c>
      <c r="I1857" s="3" t="str">
        <f>VLOOKUP(Tabela1[[#This Row],[Advogado]],Tabela2[],2,FALSE)</f>
        <v>Renê Amaranto</v>
      </c>
      <c r="J1857" s="17">
        <f>IF(Tabela1[[#This Row],[Data de conclusão]]="",NETWORKDAYS(Tabela1[[#This Row],[Data de entrada]],$J$2),NETWORKDAYS(Tabela1[[#This Row],[Data de entrada]],Tabela1[[#This Row],[Data de conclusão]]))</f>
        <v>529</v>
      </c>
      <c r="K1857" s="1"/>
    </row>
    <row r="1858" spans="2:11" x14ac:dyDescent="0.25">
      <c r="B1858" s="3">
        <v>1965</v>
      </c>
      <c r="C1858" s="3" t="s">
        <v>7</v>
      </c>
      <c r="D1858" s="3" t="s">
        <v>16</v>
      </c>
      <c r="E1858" s="4">
        <v>42485</v>
      </c>
      <c r="F1858" s="4"/>
      <c r="G1858" s="3" t="s">
        <v>29</v>
      </c>
      <c r="H1858" s="5">
        <v>37215</v>
      </c>
      <c r="I1858" s="3" t="str">
        <f>VLOOKUP(Tabela1[[#This Row],[Advogado]],Tabela2[],2,FALSE)</f>
        <v>Renê Amaranto</v>
      </c>
      <c r="J1858" s="17">
        <f>IF(Tabela1[[#This Row],[Data de conclusão]]="",NETWORKDAYS(Tabela1[[#This Row],[Data de entrada]],$J$2),NETWORKDAYS(Tabela1[[#This Row],[Data de entrada]],Tabela1[[#This Row],[Data de conclusão]]))</f>
        <v>537</v>
      </c>
      <c r="K1858" s="1"/>
    </row>
    <row r="1859" spans="2:11" x14ac:dyDescent="0.25">
      <c r="B1859" s="3">
        <v>1966</v>
      </c>
      <c r="C1859" s="3" t="s">
        <v>8</v>
      </c>
      <c r="D1859" s="3" t="s">
        <v>17</v>
      </c>
      <c r="E1859" s="4">
        <v>42563</v>
      </c>
      <c r="F1859" s="4"/>
      <c r="G1859" s="3" t="s">
        <v>29</v>
      </c>
      <c r="H1859" s="5">
        <v>32562</v>
      </c>
      <c r="I1859" s="3" t="str">
        <f>VLOOKUP(Tabela1[[#This Row],[Advogado]],Tabela2[],2,FALSE)</f>
        <v>Renê Amaranto</v>
      </c>
      <c r="J1859" s="17">
        <f>IF(Tabela1[[#This Row],[Data de conclusão]]="",NETWORKDAYS(Tabela1[[#This Row],[Data de entrada]],$J$2),NETWORKDAYS(Tabela1[[#This Row],[Data de entrada]],Tabela1[[#This Row],[Data de conclusão]]))</f>
        <v>481</v>
      </c>
      <c r="K1859" s="1"/>
    </row>
    <row r="1860" spans="2:11" x14ac:dyDescent="0.25">
      <c r="B1860" s="3">
        <v>1967</v>
      </c>
      <c r="C1860" s="3" t="s">
        <v>9</v>
      </c>
      <c r="D1860" s="3" t="s">
        <v>10</v>
      </c>
      <c r="E1860" s="4">
        <v>42562</v>
      </c>
      <c r="F1860" s="4"/>
      <c r="G1860" s="3" t="s">
        <v>29</v>
      </c>
      <c r="H1860" s="5">
        <v>49414</v>
      </c>
      <c r="I1860" s="3" t="str">
        <f>VLOOKUP(Tabela1[[#This Row],[Advogado]],Tabela2[],2,FALSE)</f>
        <v>Caio Brito</v>
      </c>
      <c r="J1860" s="17">
        <f>IF(Tabela1[[#This Row],[Data de conclusão]]="",NETWORKDAYS(Tabela1[[#This Row],[Data de entrada]],$J$2),NETWORKDAYS(Tabela1[[#This Row],[Data de entrada]],Tabela1[[#This Row],[Data de conclusão]]))</f>
        <v>482</v>
      </c>
      <c r="K1860" s="1"/>
    </row>
    <row r="1861" spans="2:11" x14ac:dyDescent="0.25">
      <c r="B1861" s="3">
        <v>1968</v>
      </c>
      <c r="C1861" s="3" t="s">
        <v>7</v>
      </c>
      <c r="D1861" s="3" t="s">
        <v>11</v>
      </c>
      <c r="E1861" s="4">
        <v>42910</v>
      </c>
      <c r="F1861" s="4">
        <v>42972</v>
      </c>
      <c r="G1861" s="3" t="s">
        <v>28</v>
      </c>
      <c r="H1861" s="5">
        <v>16940</v>
      </c>
      <c r="I1861" s="3" t="str">
        <f>VLOOKUP(Tabela1[[#This Row],[Advogado]],Tabela2[],2,FALSE)</f>
        <v>Caio Brito</v>
      </c>
      <c r="J1861" s="17">
        <f>IF(Tabela1[[#This Row],[Data de conclusão]]="",NETWORKDAYS(Tabela1[[#This Row],[Data de entrada]],$J$2),NETWORKDAYS(Tabela1[[#This Row],[Data de entrada]],Tabela1[[#This Row],[Data de conclusão]]))</f>
        <v>45</v>
      </c>
      <c r="K1861" s="1"/>
    </row>
    <row r="1862" spans="2:11" x14ac:dyDescent="0.25">
      <c r="B1862" s="3">
        <v>1969</v>
      </c>
      <c r="C1862" s="3" t="s">
        <v>8</v>
      </c>
      <c r="D1862" s="3" t="s">
        <v>12</v>
      </c>
      <c r="E1862" s="4">
        <v>43018</v>
      </c>
      <c r="F1862" s="4"/>
      <c r="G1862" s="3" t="s">
        <v>27</v>
      </c>
      <c r="H1862" s="5">
        <v>30687</v>
      </c>
      <c r="I1862" s="3" t="str">
        <f>VLOOKUP(Tabela1[[#This Row],[Advogado]],Tabela2[],2,FALSE)</f>
        <v>Caio Brito</v>
      </c>
      <c r="J1862" s="17">
        <f>IF(Tabela1[[#This Row],[Data de conclusão]]="",NETWORKDAYS(Tabela1[[#This Row],[Data de entrada]],$J$2),NETWORKDAYS(Tabela1[[#This Row],[Data de entrada]],Tabela1[[#This Row],[Data de conclusão]]))</f>
        <v>156</v>
      </c>
      <c r="K1862" s="1"/>
    </row>
    <row r="1863" spans="2:11" x14ac:dyDescent="0.25">
      <c r="B1863" s="3">
        <v>1970</v>
      </c>
      <c r="C1863" s="3" t="s">
        <v>9</v>
      </c>
      <c r="D1863" s="3" t="s">
        <v>13</v>
      </c>
      <c r="E1863" s="4">
        <v>42590</v>
      </c>
      <c r="F1863" s="4"/>
      <c r="G1863" s="3" t="s">
        <v>29</v>
      </c>
      <c r="H1863" s="5">
        <v>2984</v>
      </c>
      <c r="I1863" s="3" t="str">
        <f>VLOOKUP(Tabela1[[#This Row],[Advogado]],Tabela2[],2,FALSE)</f>
        <v>Caio Brito</v>
      </c>
      <c r="J1863" s="17">
        <f>IF(Tabela1[[#This Row],[Data de conclusão]]="",NETWORKDAYS(Tabela1[[#This Row],[Data de entrada]],$J$2),NETWORKDAYS(Tabela1[[#This Row],[Data de entrada]],Tabela1[[#This Row],[Data de conclusão]]))</f>
        <v>462</v>
      </c>
      <c r="K1863" s="1"/>
    </row>
    <row r="1864" spans="2:11" x14ac:dyDescent="0.25">
      <c r="B1864" s="3">
        <v>1971</v>
      </c>
      <c r="C1864" s="3" t="s">
        <v>7</v>
      </c>
      <c r="D1864" s="3" t="s">
        <v>14</v>
      </c>
      <c r="E1864" s="4">
        <v>43047</v>
      </c>
      <c r="F1864" s="4"/>
      <c r="G1864" s="3" t="s">
        <v>29</v>
      </c>
      <c r="H1864" s="5">
        <v>51288</v>
      </c>
      <c r="I1864" s="3" t="str">
        <f>VLOOKUP(Tabela1[[#This Row],[Advogado]],Tabela2[],2,FALSE)</f>
        <v>Renê Amaranto</v>
      </c>
      <c r="J1864" s="17">
        <f>IF(Tabela1[[#This Row],[Data de conclusão]]="",NETWORKDAYS(Tabela1[[#This Row],[Data de entrada]],$J$2),NETWORKDAYS(Tabela1[[#This Row],[Data de entrada]],Tabela1[[#This Row],[Data de conclusão]]))</f>
        <v>135</v>
      </c>
      <c r="K1864" s="1"/>
    </row>
    <row r="1865" spans="2:11" x14ac:dyDescent="0.25">
      <c r="B1865" s="3">
        <v>1972</v>
      </c>
      <c r="C1865" s="3" t="s">
        <v>8</v>
      </c>
      <c r="D1865" s="3" t="s">
        <v>15</v>
      </c>
      <c r="E1865" s="4">
        <v>42683</v>
      </c>
      <c r="F1865" s="4"/>
      <c r="G1865" s="3" t="s">
        <v>29</v>
      </c>
      <c r="H1865" s="5">
        <v>7432</v>
      </c>
      <c r="I1865" s="3" t="str">
        <f>VLOOKUP(Tabela1[[#This Row],[Advogado]],Tabela2[],2,FALSE)</f>
        <v>Renê Amaranto</v>
      </c>
      <c r="J1865" s="17">
        <f>IF(Tabela1[[#This Row],[Data de conclusão]]="",NETWORKDAYS(Tabela1[[#This Row],[Data de entrada]],$J$2),NETWORKDAYS(Tabela1[[#This Row],[Data de entrada]],Tabela1[[#This Row],[Data de conclusão]]))</f>
        <v>395</v>
      </c>
      <c r="K1865" s="1"/>
    </row>
    <row r="1866" spans="2:11" x14ac:dyDescent="0.25">
      <c r="B1866" s="3">
        <v>1973</v>
      </c>
      <c r="C1866" s="3" t="s">
        <v>9</v>
      </c>
      <c r="D1866" s="3" t="s">
        <v>16</v>
      </c>
      <c r="E1866" s="4">
        <v>42609</v>
      </c>
      <c r="F1866" s="4"/>
      <c r="G1866" s="3" t="s">
        <v>29</v>
      </c>
      <c r="H1866" s="5">
        <v>56490</v>
      </c>
      <c r="I1866" s="3" t="str">
        <f>VLOOKUP(Tabela1[[#This Row],[Advogado]],Tabela2[],2,FALSE)</f>
        <v>Renê Amaranto</v>
      </c>
      <c r="J1866" s="17">
        <f>IF(Tabela1[[#This Row],[Data de conclusão]]="",NETWORKDAYS(Tabela1[[#This Row],[Data de entrada]],$J$2),NETWORKDAYS(Tabela1[[#This Row],[Data de entrada]],Tabela1[[#This Row],[Data de conclusão]]))</f>
        <v>447</v>
      </c>
      <c r="K1866" s="1"/>
    </row>
    <row r="1867" spans="2:11" x14ac:dyDescent="0.25">
      <c r="B1867" s="3">
        <v>1974</v>
      </c>
      <c r="C1867" s="3" t="s">
        <v>7</v>
      </c>
      <c r="D1867" s="3" t="s">
        <v>17</v>
      </c>
      <c r="E1867" s="4">
        <v>42564</v>
      </c>
      <c r="F1867" s="4"/>
      <c r="G1867" s="3" t="s">
        <v>29</v>
      </c>
      <c r="H1867" s="5">
        <v>1052</v>
      </c>
      <c r="I1867" s="3" t="str">
        <f>VLOOKUP(Tabela1[[#This Row],[Advogado]],Tabela2[],2,FALSE)</f>
        <v>Renê Amaranto</v>
      </c>
      <c r="J1867" s="17">
        <f>IF(Tabela1[[#This Row],[Data de conclusão]]="",NETWORKDAYS(Tabela1[[#This Row],[Data de entrada]],$J$2),NETWORKDAYS(Tabela1[[#This Row],[Data de entrada]],Tabela1[[#This Row],[Data de conclusão]]))</f>
        <v>480</v>
      </c>
      <c r="K1867" s="1"/>
    </row>
    <row r="1868" spans="2:11" x14ac:dyDescent="0.25">
      <c r="B1868" s="3">
        <v>1975</v>
      </c>
      <c r="C1868" s="3" t="s">
        <v>8</v>
      </c>
      <c r="D1868" s="3" t="s">
        <v>10</v>
      </c>
      <c r="E1868" s="4">
        <v>42702</v>
      </c>
      <c r="F1868" s="4"/>
      <c r="G1868" s="3" t="s">
        <v>29</v>
      </c>
      <c r="H1868" s="5">
        <v>25027</v>
      </c>
      <c r="I1868" s="3" t="str">
        <f>VLOOKUP(Tabela1[[#This Row],[Advogado]],Tabela2[],2,FALSE)</f>
        <v>Caio Brito</v>
      </c>
      <c r="J1868" s="17">
        <f>IF(Tabela1[[#This Row],[Data de conclusão]]="",NETWORKDAYS(Tabela1[[#This Row],[Data de entrada]],$J$2),NETWORKDAYS(Tabela1[[#This Row],[Data de entrada]],Tabela1[[#This Row],[Data de conclusão]]))</f>
        <v>382</v>
      </c>
      <c r="K1868" s="1"/>
    </row>
    <row r="1869" spans="2:11" x14ac:dyDescent="0.25">
      <c r="B1869" s="3">
        <v>1976</v>
      </c>
      <c r="C1869" s="3" t="s">
        <v>9</v>
      </c>
      <c r="D1869" s="3" t="s">
        <v>11</v>
      </c>
      <c r="E1869" s="4">
        <v>42840</v>
      </c>
      <c r="F1869" s="4"/>
      <c r="G1869" s="3" t="s">
        <v>29</v>
      </c>
      <c r="H1869" s="5">
        <v>20975</v>
      </c>
      <c r="I1869" s="3" t="str">
        <f>VLOOKUP(Tabela1[[#This Row],[Advogado]],Tabela2[],2,FALSE)</f>
        <v>Caio Brito</v>
      </c>
      <c r="J1869" s="17">
        <f>IF(Tabela1[[#This Row],[Data de conclusão]]="",NETWORKDAYS(Tabela1[[#This Row],[Data de entrada]],$J$2),NETWORKDAYS(Tabela1[[#This Row],[Data de entrada]],Tabela1[[#This Row],[Data de conclusão]]))</f>
        <v>282</v>
      </c>
      <c r="K1869" s="1"/>
    </row>
    <row r="1870" spans="2:11" x14ac:dyDescent="0.25">
      <c r="B1870" s="3">
        <v>1977</v>
      </c>
      <c r="C1870" s="3" t="s">
        <v>7</v>
      </c>
      <c r="D1870" s="3" t="s">
        <v>12</v>
      </c>
      <c r="E1870" s="4">
        <v>42741</v>
      </c>
      <c r="F1870" s="4"/>
      <c r="G1870" s="3" t="s">
        <v>29</v>
      </c>
      <c r="H1870" s="5">
        <v>42051</v>
      </c>
      <c r="I1870" s="3" t="str">
        <f>VLOOKUP(Tabela1[[#This Row],[Advogado]],Tabela2[],2,FALSE)</f>
        <v>Caio Brito</v>
      </c>
      <c r="J1870" s="17">
        <f>IF(Tabela1[[#This Row],[Data de conclusão]]="",NETWORKDAYS(Tabela1[[#This Row],[Data de entrada]],$J$2),NETWORKDAYS(Tabela1[[#This Row],[Data de entrada]],Tabela1[[#This Row],[Data de conclusão]]))</f>
        <v>353</v>
      </c>
      <c r="K1870" s="1"/>
    </row>
    <row r="1871" spans="2:11" x14ac:dyDescent="0.25">
      <c r="B1871" s="3">
        <v>1978</v>
      </c>
      <c r="C1871" s="3" t="s">
        <v>8</v>
      </c>
      <c r="D1871" s="3" t="s">
        <v>13</v>
      </c>
      <c r="E1871" s="4">
        <v>43037</v>
      </c>
      <c r="F1871" s="4"/>
      <c r="G1871" s="3" t="s">
        <v>29</v>
      </c>
      <c r="H1871" s="5">
        <v>26838</v>
      </c>
      <c r="I1871" s="3" t="str">
        <f>VLOOKUP(Tabela1[[#This Row],[Advogado]],Tabela2[],2,FALSE)</f>
        <v>Caio Brito</v>
      </c>
      <c r="J1871" s="17">
        <f>IF(Tabela1[[#This Row],[Data de conclusão]]="",NETWORKDAYS(Tabela1[[#This Row],[Data de entrada]],$J$2),NETWORKDAYS(Tabela1[[#This Row],[Data de entrada]],Tabela1[[#This Row],[Data de conclusão]]))</f>
        <v>142</v>
      </c>
      <c r="K1871" s="1"/>
    </row>
    <row r="1872" spans="2:11" x14ac:dyDescent="0.25">
      <c r="B1872" s="3">
        <v>1979</v>
      </c>
      <c r="C1872" s="3" t="s">
        <v>9</v>
      </c>
      <c r="D1872" s="3" t="s">
        <v>14</v>
      </c>
      <c r="E1872" s="4">
        <v>42849</v>
      </c>
      <c r="F1872" s="4"/>
      <c r="G1872" s="3" t="s">
        <v>29</v>
      </c>
      <c r="H1872" s="5">
        <v>46815</v>
      </c>
      <c r="I1872" s="3" t="str">
        <f>VLOOKUP(Tabela1[[#This Row],[Advogado]],Tabela2[],2,FALSE)</f>
        <v>Renê Amaranto</v>
      </c>
      <c r="J1872" s="17">
        <f>IF(Tabela1[[#This Row],[Data de conclusão]]="",NETWORKDAYS(Tabela1[[#This Row],[Data de entrada]],$J$2),NETWORKDAYS(Tabela1[[#This Row],[Data de entrada]],Tabela1[[#This Row],[Data de conclusão]]))</f>
        <v>277</v>
      </c>
      <c r="K1872" s="1"/>
    </row>
    <row r="1873" spans="2:11" x14ac:dyDescent="0.25">
      <c r="B1873" s="3">
        <v>1980</v>
      </c>
      <c r="C1873" s="3" t="s">
        <v>7</v>
      </c>
      <c r="D1873" s="3" t="s">
        <v>15</v>
      </c>
      <c r="E1873" s="4">
        <v>42375</v>
      </c>
      <c r="F1873" s="4"/>
      <c r="G1873" s="3" t="s">
        <v>29</v>
      </c>
      <c r="H1873" s="5">
        <v>40164</v>
      </c>
      <c r="I1873" s="3" t="str">
        <f>VLOOKUP(Tabela1[[#This Row],[Advogado]],Tabela2[],2,FALSE)</f>
        <v>Renê Amaranto</v>
      </c>
      <c r="J1873" s="17">
        <f>IF(Tabela1[[#This Row],[Data de conclusão]]="",NETWORKDAYS(Tabela1[[#This Row],[Data de entrada]],$J$2),NETWORKDAYS(Tabela1[[#This Row],[Data de entrada]],Tabela1[[#This Row],[Data de conclusão]]))</f>
        <v>615</v>
      </c>
      <c r="K1873" s="1"/>
    </row>
    <row r="1874" spans="2:11" x14ac:dyDescent="0.25">
      <c r="B1874" s="3">
        <v>1981</v>
      </c>
      <c r="C1874" s="3" t="s">
        <v>8</v>
      </c>
      <c r="D1874" s="3" t="s">
        <v>16</v>
      </c>
      <c r="E1874" s="4">
        <v>42852</v>
      </c>
      <c r="F1874" s="4">
        <v>43025</v>
      </c>
      <c r="G1874" s="3" t="s">
        <v>28</v>
      </c>
      <c r="H1874" s="5">
        <v>57769</v>
      </c>
      <c r="I1874" s="3" t="str">
        <f>VLOOKUP(Tabela1[[#This Row],[Advogado]],Tabela2[],2,FALSE)</f>
        <v>Renê Amaranto</v>
      </c>
      <c r="J1874" s="17">
        <f>IF(Tabela1[[#This Row],[Data de conclusão]]="",NETWORKDAYS(Tabela1[[#This Row],[Data de entrada]],$J$2),NETWORKDAYS(Tabela1[[#This Row],[Data de entrada]],Tabela1[[#This Row],[Data de conclusão]]))</f>
        <v>124</v>
      </c>
      <c r="K1874" s="1"/>
    </row>
    <row r="1875" spans="2:11" x14ac:dyDescent="0.25">
      <c r="B1875" s="3">
        <v>1982</v>
      </c>
      <c r="C1875" s="3" t="s">
        <v>9</v>
      </c>
      <c r="D1875" s="3" t="s">
        <v>17</v>
      </c>
      <c r="E1875" s="4">
        <v>42692</v>
      </c>
      <c r="F1875" s="4"/>
      <c r="G1875" s="3" t="s">
        <v>27</v>
      </c>
      <c r="H1875" s="5">
        <v>43929</v>
      </c>
      <c r="I1875" s="3" t="str">
        <f>VLOOKUP(Tabela1[[#This Row],[Advogado]],Tabela2[],2,FALSE)</f>
        <v>Renê Amaranto</v>
      </c>
      <c r="J1875" s="17">
        <f>IF(Tabela1[[#This Row],[Data de conclusão]]="",NETWORKDAYS(Tabela1[[#This Row],[Data de entrada]],$J$2),NETWORKDAYS(Tabela1[[#This Row],[Data de entrada]],Tabela1[[#This Row],[Data de conclusão]]))</f>
        <v>388</v>
      </c>
      <c r="K1875" s="1"/>
    </row>
    <row r="1876" spans="2:11" x14ac:dyDescent="0.25">
      <c r="B1876" s="3">
        <v>1983</v>
      </c>
      <c r="C1876" s="3" t="s">
        <v>7</v>
      </c>
      <c r="D1876" s="3" t="s">
        <v>10</v>
      </c>
      <c r="E1876" s="4">
        <v>42586</v>
      </c>
      <c r="F1876" s="4"/>
      <c r="G1876" s="3" t="s">
        <v>29</v>
      </c>
      <c r="H1876" s="5">
        <v>19137</v>
      </c>
      <c r="I1876" s="3" t="str">
        <f>VLOOKUP(Tabela1[[#This Row],[Advogado]],Tabela2[],2,FALSE)</f>
        <v>Caio Brito</v>
      </c>
      <c r="J1876" s="17">
        <f>IF(Tabela1[[#This Row],[Data de conclusão]]="",NETWORKDAYS(Tabela1[[#This Row],[Data de entrada]],$J$2),NETWORKDAYS(Tabela1[[#This Row],[Data de entrada]],Tabela1[[#This Row],[Data de conclusão]]))</f>
        <v>464</v>
      </c>
      <c r="K1876" s="1"/>
    </row>
    <row r="1877" spans="2:11" x14ac:dyDescent="0.25">
      <c r="B1877" s="3">
        <v>1984</v>
      </c>
      <c r="C1877" s="3" t="s">
        <v>8</v>
      </c>
      <c r="D1877" s="3" t="s">
        <v>11</v>
      </c>
      <c r="E1877" s="4">
        <v>42447</v>
      </c>
      <c r="F1877" s="4"/>
      <c r="G1877" s="3" t="s">
        <v>29</v>
      </c>
      <c r="H1877" s="5">
        <v>20613</v>
      </c>
      <c r="I1877" s="3" t="str">
        <f>VLOOKUP(Tabela1[[#This Row],[Advogado]],Tabela2[],2,FALSE)</f>
        <v>Caio Brito</v>
      </c>
      <c r="J1877" s="17">
        <f>IF(Tabela1[[#This Row],[Data de conclusão]]="",NETWORKDAYS(Tabela1[[#This Row],[Data de entrada]],$J$2),NETWORKDAYS(Tabela1[[#This Row],[Data de entrada]],Tabela1[[#This Row],[Data de conclusão]]))</f>
        <v>563</v>
      </c>
      <c r="K1877" s="1"/>
    </row>
    <row r="1878" spans="2:11" x14ac:dyDescent="0.25">
      <c r="B1878" s="3">
        <v>1985</v>
      </c>
      <c r="C1878" s="3" t="s">
        <v>9</v>
      </c>
      <c r="D1878" s="3" t="s">
        <v>12</v>
      </c>
      <c r="E1878" s="4">
        <v>43028</v>
      </c>
      <c r="F1878" s="4"/>
      <c r="G1878" s="3" t="s">
        <v>29</v>
      </c>
      <c r="H1878" s="5">
        <v>34971</v>
      </c>
      <c r="I1878" s="3" t="str">
        <f>VLOOKUP(Tabela1[[#This Row],[Advogado]],Tabela2[],2,FALSE)</f>
        <v>Caio Brito</v>
      </c>
      <c r="J1878" s="17">
        <f>IF(Tabela1[[#This Row],[Data de conclusão]]="",NETWORKDAYS(Tabela1[[#This Row],[Data de entrada]],$J$2),NETWORKDAYS(Tabela1[[#This Row],[Data de entrada]],Tabela1[[#This Row],[Data de conclusão]]))</f>
        <v>148</v>
      </c>
      <c r="K1878" s="1"/>
    </row>
    <row r="1879" spans="2:11" x14ac:dyDescent="0.25">
      <c r="B1879" s="3">
        <v>1986</v>
      </c>
      <c r="C1879" s="3" t="s">
        <v>7</v>
      </c>
      <c r="D1879" s="3" t="s">
        <v>13</v>
      </c>
      <c r="E1879" s="4">
        <v>43090</v>
      </c>
      <c r="F1879" s="4"/>
      <c r="G1879" s="3" t="s">
        <v>29</v>
      </c>
      <c r="H1879" s="5">
        <v>29281</v>
      </c>
      <c r="I1879" s="3" t="str">
        <f>VLOOKUP(Tabela1[[#This Row],[Advogado]],Tabela2[],2,FALSE)</f>
        <v>Caio Brito</v>
      </c>
      <c r="J1879" s="17">
        <f>IF(Tabela1[[#This Row],[Data de conclusão]]="",NETWORKDAYS(Tabela1[[#This Row],[Data de entrada]],$J$2),NETWORKDAYS(Tabela1[[#This Row],[Data de entrada]],Tabela1[[#This Row],[Data de conclusão]]))</f>
        <v>104</v>
      </c>
      <c r="K1879" s="1"/>
    </row>
    <row r="1880" spans="2:11" x14ac:dyDescent="0.25">
      <c r="B1880" s="3">
        <v>1987</v>
      </c>
      <c r="C1880" s="3" t="s">
        <v>8</v>
      </c>
      <c r="D1880" s="3" t="s">
        <v>14</v>
      </c>
      <c r="E1880" s="4">
        <v>43068</v>
      </c>
      <c r="F1880" s="4"/>
      <c r="G1880" s="3" t="s">
        <v>29</v>
      </c>
      <c r="H1880" s="5">
        <v>54262</v>
      </c>
      <c r="I1880" s="3" t="str">
        <f>VLOOKUP(Tabela1[[#This Row],[Advogado]],Tabela2[],2,FALSE)</f>
        <v>Renê Amaranto</v>
      </c>
      <c r="J1880" s="17">
        <f>IF(Tabela1[[#This Row],[Data de conclusão]]="",NETWORKDAYS(Tabela1[[#This Row],[Data de entrada]],$J$2),NETWORKDAYS(Tabela1[[#This Row],[Data de entrada]],Tabela1[[#This Row],[Data de conclusão]]))</f>
        <v>120</v>
      </c>
      <c r="K1880" s="1"/>
    </row>
    <row r="1881" spans="2:11" x14ac:dyDescent="0.25">
      <c r="B1881" s="3">
        <v>1988</v>
      </c>
      <c r="C1881" s="3" t="s">
        <v>9</v>
      </c>
      <c r="D1881" s="3" t="s">
        <v>15</v>
      </c>
      <c r="E1881" s="4">
        <v>42410</v>
      </c>
      <c r="F1881" s="4"/>
      <c r="G1881" s="3" t="s">
        <v>29</v>
      </c>
      <c r="H1881" s="5">
        <v>4885</v>
      </c>
      <c r="I1881" s="3" t="str">
        <f>VLOOKUP(Tabela1[[#This Row],[Advogado]],Tabela2[],2,FALSE)</f>
        <v>Renê Amaranto</v>
      </c>
      <c r="J1881" s="17">
        <f>IF(Tabela1[[#This Row],[Data de conclusão]]="",NETWORKDAYS(Tabela1[[#This Row],[Data de entrada]],$J$2),NETWORKDAYS(Tabela1[[#This Row],[Data de entrada]],Tabela1[[#This Row],[Data de conclusão]]))</f>
        <v>590</v>
      </c>
      <c r="K1881" s="1"/>
    </row>
    <row r="1882" spans="2:11" x14ac:dyDescent="0.25">
      <c r="B1882" s="3">
        <v>1989</v>
      </c>
      <c r="C1882" s="3" t="s">
        <v>7</v>
      </c>
      <c r="D1882" s="3" t="s">
        <v>16</v>
      </c>
      <c r="E1882" s="4">
        <v>42889</v>
      </c>
      <c r="F1882" s="4"/>
      <c r="G1882" s="3" t="s">
        <v>29</v>
      </c>
      <c r="H1882" s="5">
        <v>15310</v>
      </c>
      <c r="I1882" s="3" t="str">
        <f>VLOOKUP(Tabela1[[#This Row],[Advogado]],Tabela2[],2,FALSE)</f>
        <v>Renê Amaranto</v>
      </c>
      <c r="J1882" s="17">
        <f>IF(Tabela1[[#This Row],[Data de conclusão]]="",NETWORKDAYS(Tabela1[[#This Row],[Data de entrada]],$J$2),NETWORKDAYS(Tabela1[[#This Row],[Data de entrada]],Tabela1[[#This Row],[Data de conclusão]]))</f>
        <v>247</v>
      </c>
      <c r="K1882" s="1"/>
    </row>
    <row r="1883" spans="2:11" x14ac:dyDescent="0.25">
      <c r="B1883" s="3">
        <v>1990</v>
      </c>
      <c r="C1883" s="3" t="s">
        <v>8</v>
      </c>
      <c r="D1883" s="3" t="s">
        <v>17</v>
      </c>
      <c r="E1883" s="4">
        <v>42489</v>
      </c>
      <c r="F1883" s="4"/>
      <c r="G1883" s="3" t="s">
        <v>29</v>
      </c>
      <c r="H1883" s="5">
        <v>3889</v>
      </c>
      <c r="I1883" s="3" t="str">
        <f>VLOOKUP(Tabela1[[#This Row],[Advogado]],Tabela2[],2,FALSE)</f>
        <v>Renê Amaranto</v>
      </c>
      <c r="J1883" s="17">
        <f>IF(Tabela1[[#This Row],[Data de conclusão]]="",NETWORKDAYS(Tabela1[[#This Row],[Data de entrada]],$J$2),NETWORKDAYS(Tabela1[[#This Row],[Data de entrada]],Tabela1[[#This Row],[Data de conclusão]]))</f>
        <v>533</v>
      </c>
      <c r="K1883" s="1"/>
    </row>
    <row r="1884" spans="2:11" x14ac:dyDescent="0.25">
      <c r="B1884" s="3">
        <v>1991</v>
      </c>
      <c r="C1884" s="3" t="s">
        <v>9</v>
      </c>
      <c r="D1884" s="3" t="s">
        <v>10</v>
      </c>
      <c r="E1884" s="4">
        <v>42459</v>
      </c>
      <c r="F1884" s="4"/>
      <c r="G1884" s="3" t="s">
        <v>29</v>
      </c>
      <c r="H1884" s="5">
        <v>22586</v>
      </c>
      <c r="I1884" s="3" t="str">
        <f>VLOOKUP(Tabela1[[#This Row],[Advogado]],Tabela2[],2,FALSE)</f>
        <v>Caio Brito</v>
      </c>
      <c r="J1884" s="17">
        <f>IF(Tabela1[[#This Row],[Data de conclusão]]="",NETWORKDAYS(Tabela1[[#This Row],[Data de entrada]],$J$2),NETWORKDAYS(Tabela1[[#This Row],[Data de entrada]],Tabela1[[#This Row],[Data de conclusão]]))</f>
        <v>555</v>
      </c>
      <c r="K1884" s="1"/>
    </row>
    <row r="1885" spans="2:11" x14ac:dyDescent="0.25">
      <c r="B1885" s="3">
        <v>1992</v>
      </c>
      <c r="C1885" s="3" t="s">
        <v>7</v>
      </c>
      <c r="D1885" s="3" t="s">
        <v>11</v>
      </c>
      <c r="E1885" s="4">
        <v>42917</v>
      </c>
      <c r="F1885" s="4"/>
      <c r="G1885" s="3" t="s">
        <v>29</v>
      </c>
      <c r="H1885" s="5">
        <v>1289</v>
      </c>
      <c r="I1885" s="3" t="str">
        <f>VLOOKUP(Tabela1[[#This Row],[Advogado]],Tabela2[],2,FALSE)</f>
        <v>Caio Brito</v>
      </c>
      <c r="J1885" s="17">
        <f>IF(Tabela1[[#This Row],[Data de conclusão]]="",NETWORKDAYS(Tabela1[[#This Row],[Data de entrada]],$J$2),NETWORKDAYS(Tabela1[[#This Row],[Data de entrada]],Tabela1[[#This Row],[Data de conclusão]]))</f>
        <v>227</v>
      </c>
      <c r="K1885" s="1"/>
    </row>
    <row r="1886" spans="2:11" x14ac:dyDescent="0.25">
      <c r="B1886" s="3">
        <v>1993</v>
      </c>
      <c r="C1886" s="3" t="s">
        <v>8</v>
      </c>
      <c r="D1886" s="3" t="s">
        <v>12</v>
      </c>
      <c r="E1886" s="4">
        <v>43000</v>
      </c>
      <c r="F1886" s="4"/>
      <c r="G1886" s="3" t="s">
        <v>29</v>
      </c>
      <c r="H1886" s="5">
        <v>50434</v>
      </c>
      <c r="I1886" s="3" t="str">
        <f>VLOOKUP(Tabela1[[#This Row],[Advogado]],Tabela2[],2,FALSE)</f>
        <v>Caio Brito</v>
      </c>
      <c r="J1886" s="17">
        <f>IF(Tabela1[[#This Row],[Data de conclusão]]="",NETWORKDAYS(Tabela1[[#This Row],[Data de entrada]],$J$2),NETWORKDAYS(Tabela1[[#This Row],[Data de entrada]],Tabela1[[#This Row],[Data de conclusão]]))</f>
        <v>168</v>
      </c>
      <c r="K1886" s="1"/>
    </row>
    <row r="1887" spans="2:11" x14ac:dyDescent="0.25">
      <c r="B1887" s="3">
        <v>1994</v>
      </c>
      <c r="C1887" s="3" t="s">
        <v>9</v>
      </c>
      <c r="D1887" s="3" t="s">
        <v>13</v>
      </c>
      <c r="E1887" s="4">
        <v>43019</v>
      </c>
      <c r="F1887" s="4">
        <v>43108</v>
      </c>
      <c r="G1887" s="3" t="s">
        <v>28</v>
      </c>
      <c r="H1887" s="5">
        <v>19504</v>
      </c>
      <c r="I1887" s="3" t="str">
        <f>VLOOKUP(Tabela1[[#This Row],[Advogado]],Tabela2[],2,FALSE)</f>
        <v>Caio Brito</v>
      </c>
      <c r="J1887" s="17">
        <f>IF(Tabela1[[#This Row],[Data de conclusão]]="",NETWORKDAYS(Tabela1[[#This Row],[Data de entrada]],$J$2),NETWORKDAYS(Tabela1[[#This Row],[Data de entrada]],Tabela1[[#This Row],[Data de conclusão]]))</f>
        <v>64</v>
      </c>
      <c r="K1887" s="1"/>
    </row>
    <row r="1888" spans="2:11" x14ac:dyDescent="0.25">
      <c r="B1888" s="3">
        <v>1995</v>
      </c>
      <c r="C1888" s="3" t="s">
        <v>7</v>
      </c>
      <c r="D1888" s="3" t="s">
        <v>14</v>
      </c>
      <c r="E1888" s="4">
        <v>42702</v>
      </c>
      <c r="F1888" s="4"/>
      <c r="G1888" s="3" t="s">
        <v>27</v>
      </c>
      <c r="H1888" s="5">
        <v>33979</v>
      </c>
      <c r="I1888" s="3" t="str">
        <f>VLOOKUP(Tabela1[[#This Row],[Advogado]],Tabela2[],2,FALSE)</f>
        <v>Renê Amaranto</v>
      </c>
      <c r="J1888" s="17">
        <f>IF(Tabela1[[#This Row],[Data de conclusão]]="",NETWORKDAYS(Tabela1[[#This Row],[Data de entrada]],$J$2),NETWORKDAYS(Tabela1[[#This Row],[Data de entrada]],Tabela1[[#This Row],[Data de conclusão]]))</f>
        <v>382</v>
      </c>
      <c r="K1888" s="1"/>
    </row>
    <row r="1889" spans="2:11" x14ac:dyDescent="0.25">
      <c r="B1889" s="3">
        <v>1996</v>
      </c>
      <c r="C1889" s="3" t="s">
        <v>8</v>
      </c>
      <c r="D1889" s="3" t="s">
        <v>15</v>
      </c>
      <c r="E1889" s="4">
        <v>43023</v>
      </c>
      <c r="F1889" s="4"/>
      <c r="G1889" s="3" t="s">
        <v>29</v>
      </c>
      <c r="H1889" s="5">
        <v>830</v>
      </c>
      <c r="I1889" s="3" t="str">
        <f>VLOOKUP(Tabela1[[#This Row],[Advogado]],Tabela2[],2,FALSE)</f>
        <v>Renê Amaranto</v>
      </c>
      <c r="J1889" s="17">
        <f>IF(Tabela1[[#This Row],[Data de conclusão]]="",NETWORKDAYS(Tabela1[[#This Row],[Data de entrada]],$J$2),NETWORKDAYS(Tabela1[[#This Row],[Data de entrada]],Tabela1[[#This Row],[Data de conclusão]]))</f>
        <v>152</v>
      </c>
      <c r="K1889" s="1"/>
    </row>
    <row r="1890" spans="2:11" x14ac:dyDescent="0.25">
      <c r="B1890" s="3">
        <v>1997</v>
      </c>
      <c r="C1890" s="3" t="s">
        <v>9</v>
      </c>
      <c r="D1890" s="3" t="s">
        <v>16</v>
      </c>
      <c r="E1890" s="4">
        <v>42828</v>
      </c>
      <c r="F1890" s="4"/>
      <c r="G1890" s="3" t="s">
        <v>29</v>
      </c>
      <c r="H1890" s="5">
        <v>10992</v>
      </c>
      <c r="I1890" s="3" t="str">
        <f>VLOOKUP(Tabela1[[#This Row],[Advogado]],Tabela2[],2,FALSE)</f>
        <v>Renê Amaranto</v>
      </c>
      <c r="J1890" s="17">
        <f>IF(Tabela1[[#This Row],[Data de conclusão]]="",NETWORKDAYS(Tabela1[[#This Row],[Data de entrada]],$J$2),NETWORKDAYS(Tabela1[[#This Row],[Data de entrada]],Tabela1[[#This Row],[Data de conclusão]]))</f>
        <v>292</v>
      </c>
      <c r="K1890" s="1"/>
    </row>
    <row r="1891" spans="2:11" x14ac:dyDescent="0.25">
      <c r="B1891" s="3">
        <v>1998</v>
      </c>
      <c r="C1891" s="3" t="s">
        <v>7</v>
      </c>
      <c r="D1891" s="3" t="s">
        <v>17</v>
      </c>
      <c r="E1891" s="4">
        <v>42914</v>
      </c>
      <c r="F1891" s="4"/>
      <c r="G1891" s="3" t="s">
        <v>29</v>
      </c>
      <c r="H1891" s="5">
        <v>12089</v>
      </c>
      <c r="I1891" s="3" t="str">
        <f>VLOOKUP(Tabela1[[#This Row],[Advogado]],Tabela2[],2,FALSE)</f>
        <v>Renê Amaranto</v>
      </c>
      <c r="J1891" s="17">
        <f>IF(Tabela1[[#This Row],[Data de conclusão]]="",NETWORKDAYS(Tabela1[[#This Row],[Data de entrada]],$J$2),NETWORKDAYS(Tabela1[[#This Row],[Data de entrada]],Tabela1[[#This Row],[Data de conclusão]]))</f>
        <v>230</v>
      </c>
      <c r="K1891" s="1"/>
    </row>
    <row r="1892" spans="2:11" x14ac:dyDescent="0.25">
      <c r="B1892" s="3">
        <v>1999</v>
      </c>
      <c r="C1892" s="3" t="s">
        <v>8</v>
      </c>
      <c r="D1892" s="3" t="s">
        <v>10</v>
      </c>
      <c r="E1892" s="4">
        <v>43044</v>
      </c>
      <c r="F1892" s="4"/>
      <c r="G1892" s="3" t="s">
        <v>29</v>
      </c>
      <c r="H1892" s="5">
        <v>43607</v>
      </c>
      <c r="I1892" s="3" t="str">
        <f>VLOOKUP(Tabela1[[#This Row],[Advogado]],Tabela2[],2,FALSE)</f>
        <v>Caio Brito</v>
      </c>
      <c r="J1892" s="17">
        <f>IF(Tabela1[[#This Row],[Data de conclusão]]="",NETWORKDAYS(Tabela1[[#This Row],[Data de entrada]],$J$2),NETWORKDAYS(Tabela1[[#This Row],[Data de entrada]],Tabela1[[#This Row],[Data de conclusão]]))</f>
        <v>137</v>
      </c>
      <c r="K1892" s="1"/>
    </row>
    <row r="1893" spans="2:11" x14ac:dyDescent="0.25">
      <c r="B1893" s="3">
        <v>2000</v>
      </c>
      <c r="C1893" s="3" t="s">
        <v>9</v>
      </c>
      <c r="D1893" s="3" t="s">
        <v>11</v>
      </c>
      <c r="E1893" s="4">
        <v>42887</v>
      </c>
      <c r="F1893" s="4"/>
      <c r="G1893" s="3" t="s">
        <v>29</v>
      </c>
      <c r="H1893" s="5">
        <v>3919</v>
      </c>
      <c r="I1893" s="3" t="str">
        <f>VLOOKUP(Tabela1[[#This Row],[Advogado]],Tabela2[],2,FALSE)</f>
        <v>Caio Brito</v>
      </c>
      <c r="J1893" s="17">
        <f>IF(Tabela1[[#This Row],[Data de conclusão]]="",NETWORKDAYS(Tabela1[[#This Row],[Data de entrada]],$J$2),NETWORKDAYS(Tabela1[[#This Row],[Data de entrada]],Tabela1[[#This Row],[Data de conclusão]]))</f>
        <v>249</v>
      </c>
      <c r="K1893" s="1"/>
    </row>
    <row r="1894" spans="2:11" x14ac:dyDescent="0.25">
      <c r="B1894" s="3">
        <v>2001</v>
      </c>
      <c r="C1894" s="3" t="s">
        <v>7</v>
      </c>
      <c r="D1894" s="3" t="s">
        <v>12</v>
      </c>
      <c r="E1894" s="4">
        <v>42457</v>
      </c>
      <c r="F1894" s="4"/>
      <c r="G1894" s="3" t="s">
        <v>29</v>
      </c>
      <c r="H1894" s="5">
        <v>13586</v>
      </c>
      <c r="I1894" s="3" t="str">
        <f>VLOOKUP(Tabela1[[#This Row],[Advogado]],Tabela2[],2,FALSE)</f>
        <v>Caio Brito</v>
      </c>
      <c r="J1894" s="17">
        <f>IF(Tabela1[[#This Row],[Data de conclusão]]="",NETWORKDAYS(Tabela1[[#This Row],[Data de entrada]],$J$2),NETWORKDAYS(Tabela1[[#This Row],[Data de entrada]],Tabela1[[#This Row],[Data de conclusão]]))</f>
        <v>557</v>
      </c>
      <c r="K1894" s="1"/>
    </row>
    <row r="1895" spans="2:11" x14ac:dyDescent="0.25">
      <c r="B1895" s="3">
        <v>2002</v>
      </c>
      <c r="C1895" s="3" t="s">
        <v>8</v>
      </c>
      <c r="D1895" s="3" t="s">
        <v>13</v>
      </c>
      <c r="E1895" s="4">
        <v>42764</v>
      </c>
      <c r="F1895" s="4"/>
      <c r="G1895" s="3" t="s">
        <v>29</v>
      </c>
      <c r="H1895" s="5">
        <v>18198</v>
      </c>
      <c r="I1895" s="3" t="str">
        <f>VLOOKUP(Tabela1[[#This Row],[Advogado]],Tabela2[],2,FALSE)</f>
        <v>Caio Brito</v>
      </c>
      <c r="J1895" s="17">
        <f>IF(Tabela1[[#This Row],[Data de conclusão]]="",NETWORKDAYS(Tabela1[[#This Row],[Data de entrada]],$J$2),NETWORKDAYS(Tabela1[[#This Row],[Data de entrada]],Tabela1[[#This Row],[Data de conclusão]]))</f>
        <v>337</v>
      </c>
      <c r="K1895" s="1"/>
    </row>
    <row r="1896" spans="2:11" x14ac:dyDescent="0.25">
      <c r="B1896" s="3">
        <v>2003</v>
      </c>
      <c r="C1896" s="3" t="s">
        <v>9</v>
      </c>
      <c r="D1896" s="3" t="s">
        <v>14</v>
      </c>
      <c r="E1896" s="4">
        <v>43062</v>
      </c>
      <c r="F1896" s="4"/>
      <c r="G1896" s="3" t="s">
        <v>29</v>
      </c>
      <c r="H1896" s="5">
        <v>32508</v>
      </c>
      <c r="I1896" s="3" t="str">
        <f>VLOOKUP(Tabela1[[#This Row],[Advogado]],Tabela2[],2,FALSE)</f>
        <v>Renê Amaranto</v>
      </c>
      <c r="J1896" s="17">
        <f>IF(Tabela1[[#This Row],[Data de conclusão]]="",NETWORKDAYS(Tabela1[[#This Row],[Data de entrada]],$J$2),NETWORKDAYS(Tabela1[[#This Row],[Data de entrada]],Tabela1[[#This Row],[Data de conclusão]]))</f>
        <v>124</v>
      </c>
      <c r="K1896" s="1"/>
    </row>
    <row r="1897" spans="2:11" x14ac:dyDescent="0.25">
      <c r="B1897" s="3">
        <v>2004</v>
      </c>
      <c r="C1897" s="3" t="s">
        <v>7</v>
      </c>
      <c r="D1897" s="3" t="s">
        <v>15</v>
      </c>
      <c r="E1897" s="4">
        <v>42393</v>
      </c>
      <c r="F1897" s="4"/>
      <c r="G1897" s="3" t="s">
        <v>29</v>
      </c>
      <c r="H1897" s="5">
        <v>38895</v>
      </c>
      <c r="I1897" s="3" t="str">
        <f>VLOOKUP(Tabela1[[#This Row],[Advogado]],Tabela2[],2,FALSE)</f>
        <v>Renê Amaranto</v>
      </c>
      <c r="J1897" s="17">
        <f>IF(Tabela1[[#This Row],[Data de conclusão]]="",NETWORKDAYS(Tabela1[[#This Row],[Data de entrada]],$J$2),NETWORKDAYS(Tabela1[[#This Row],[Data de entrada]],Tabela1[[#This Row],[Data de conclusão]]))</f>
        <v>602</v>
      </c>
      <c r="K1897" s="1"/>
    </row>
    <row r="1898" spans="2:11" x14ac:dyDescent="0.25">
      <c r="B1898" s="3">
        <v>2005</v>
      </c>
      <c r="C1898" s="3" t="s">
        <v>8</v>
      </c>
      <c r="D1898" s="3" t="s">
        <v>16</v>
      </c>
      <c r="E1898" s="4">
        <v>42707</v>
      </c>
      <c r="F1898" s="4"/>
      <c r="G1898" s="3" t="s">
        <v>29</v>
      </c>
      <c r="H1898" s="5">
        <v>48867</v>
      </c>
      <c r="I1898" s="3" t="str">
        <f>VLOOKUP(Tabela1[[#This Row],[Advogado]],Tabela2[],2,FALSE)</f>
        <v>Renê Amaranto</v>
      </c>
      <c r="J1898" s="17">
        <f>IF(Tabela1[[#This Row],[Data de conclusão]]="",NETWORKDAYS(Tabela1[[#This Row],[Data de entrada]],$J$2),NETWORKDAYS(Tabela1[[#This Row],[Data de entrada]],Tabela1[[#This Row],[Data de conclusão]]))</f>
        <v>377</v>
      </c>
      <c r="K1898" s="1"/>
    </row>
    <row r="1899" spans="2:11" x14ac:dyDescent="0.25">
      <c r="B1899" s="3">
        <v>2006</v>
      </c>
      <c r="C1899" s="3" t="s">
        <v>9</v>
      </c>
      <c r="D1899" s="3" t="s">
        <v>17</v>
      </c>
      <c r="E1899" s="4">
        <v>43032</v>
      </c>
      <c r="F1899" s="4"/>
      <c r="G1899" s="3" t="s">
        <v>29</v>
      </c>
      <c r="H1899" s="5">
        <v>11097</v>
      </c>
      <c r="I1899" s="3" t="str">
        <f>VLOOKUP(Tabela1[[#This Row],[Advogado]],Tabela2[],2,FALSE)</f>
        <v>Renê Amaranto</v>
      </c>
      <c r="J1899" s="17">
        <f>IF(Tabela1[[#This Row],[Data de conclusão]]="",NETWORKDAYS(Tabela1[[#This Row],[Data de entrada]],$J$2),NETWORKDAYS(Tabela1[[#This Row],[Data de entrada]],Tabela1[[#This Row],[Data de conclusão]]))</f>
        <v>146</v>
      </c>
      <c r="K1899" s="1"/>
    </row>
    <row r="1900" spans="2:11" x14ac:dyDescent="0.25">
      <c r="B1900" s="3">
        <v>2007</v>
      </c>
      <c r="C1900" s="3" t="s">
        <v>7</v>
      </c>
      <c r="D1900" s="3" t="s">
        <v>10</v>
      </c>
      <c r="E1900" s="4">
        <v>42462</v>
      </c>
      <c r="F1900" s="4">
        <v>42573</v>
      </c>
      <c r="G1900" s="3" t="s">
        <v>28</v>
      </c>
      <c r="H1900" s="5">
        <v>57607</v>
      </c>
      <c r="I1900" s="3" t="str">
        <f>VLOOKUP(Tabela1[[#This Row],[Advogado]],Tabela2[],2,FALSE)</f>
        <v>Caio Brito</v>
      </c>
      <c r="J1900" s="17">
        <f>IF(Tabela1[[#This Row],[Data de conclusão]]="",NETWORKDAYS(Tabela1[[#This Row],[Data de entrada]],$J$2),NETWORKDAYS(Tabela1[[#This Row],[Data de entrada]],Tabela1[[#This Row],[Data de conclusão]]))</f>
        <v>80</v>
      </c>
      <c r="K1900" s="1"/>
    </row>
    <row r="1901" spans="2:11" x14ac:dyDescent="0.25">
      <c r="B1901" s="3">
        <v>2008</v>
      </c>
      <c r="C1901" s="3" t="s">
        <v>8</v>
      </c>
      <c r="D1901" s="3" t="s">
        <v>11</v>
      </c>
      <c r="E1901" s="4">
        <v>42859</v>
      </c>
      <c r="F1901" s="4"/>
      <c r="G1901" s="3" t="s">
        <v>27</v>
      </c>
      <c r="H1901" s="5">
        <v>14828</v>
      </c>
      <c r="I1901" s="3" t="str">
        <f>VLOOKUP(Tabela1[[#This Row],[Advogado]],Tabela2[],2,FALSE)</f>
        <v>Caio Brito</v>
      </c>
      <c r="J1901" s="17">
        <f>IF(Tabela1[[#This Row],[Data de conclusão]]="",NETWORKDAYS(Tabela1[[#This Row],[Data de entrada]],$J$2),NETWORKDAYS(Tabela1[[#This Row],[Data de entrada]],Tabela1[[#This Row],[Data de conclusão]]))</f>
        <v>269</v>
      </c>
      <c r="K1901" s="1"/>
    </row>
    <row r="1902" spans="2:11" x14ac:dyDescent="0.25">
      <c r="B1902" s="3">
        <v>2009</v>
      </c>
      <c r="C1902" s="3" t="s">
        <v>9</v>
      </c>
      <c r="D1902" s="3" t="s">
        <v>12</v>
      </c>
      <c r="E1902" s="4">
        <v>42869</v>
      </c>
      <c r="F1902" s="4"/>
      <c r="G1902" s="3" t="s">
        <v>29</v>
      </c>
      <c r="H1902" s="5">
        <v>17617</v>
      </c>
      <c r="I1902" s="3" t="str">
        <f>VLOOKUP(Tabela1[[#This Row],[Advogado]],Tabela2[],2,FALSE)</f>
        <v>Caio Brito</v>
      </c>
      <c r="J1902" s="17">
        <f>IF(Tabela1[[#This Row],[Data de conclusão]]="",NETWORKDAYS(Tabela1[[#This Row],[Data de entrada]],$J$2),NETWORKDAYS(Tabela1[[#This Row],[Data de entrada]],Tabela1[[#This Row],[Data de conclusão]]))</f>
        <v>262</v>
      </c>
      <c r="K1902" s="1"/>
    </row>
    <row r="1903" spans="2:11" x14ac:dyDescent="0.25">
      <c r="B1903" s="3">
        <v>2010</v>
      </c>
      <c r="C1903" s="3" t="s">
        <v>7</v>
      </c>
      <c r="D1903" s="3" t="s">
        <v>13</v>
      </c>
      <c r="E1903" s="4">
        <v>43021</v>
      </c>
      <c r="F1903" s="4"/>
      <c r="G1903" s="3" t="s">
        <v>29</v>
      </c>
      <c r="H1903" s="5">
        <v>25569</v>
      </c>
      <c r="I1903" s="3" t="str">
        <f>VLOOKUP(Tabela1[[#This Row],[Advogado]],Tabela2[],2,FALSE)</f>
        <v>Caio Brito</v>
      </c>
      <c r="J1903" s="17">
        <f>IF(Tabela1[[#This Row],[Data de conclusão]]="",NETWORKDAYS(Tabela1[[#This Row],[Data de entrada]],$J$2),NETWORKDAYS(Tabela1[[#This Row],[Data de entrada]],Tabela1[[#This Row],[Data de conclusão]]))</f>
        <v>153</v>
      </c>
      <c r="K1903" s="1"/>
    </row>
    <row r="1904" spans="2:11" x14ac:dyDescent="0.25">
      <c r="B1904" s="3">
        <v>2011</v>
      </c>
      <c r="C1904" s="3" t="s">
        <v>8</v>
      </c>
      <c r="D1904" s="3" t="s">
        <v>14</v>
      </c>
      <c r="E1904" s="4">
        <v>42608</v>
      </c>
      <c r="F1904" s="4"/>
      <c r="G1904" s="3" t="s">
        <v>29</v>
      </c>
      <c r="H1904" s="5">
        <v>16900</v>
      </c>
      <c r="I1904" s="3" t="str">
        <f>VLOOKUP(Tabela1[[#This Row],[Advogado]],Tabela2[],2,FALSE)</f>
        <v>Renê Amaranto</v>
      </c>
      <c r="J1904" s="17">
        <f>IF(Tabela1[[#This Row],[Data de conclusão]]="",NETWORKDAYS(Tabela1[[#This Row],[Data de entrada]],$J$2),NETWORKDAYS(Tabela1[[#This Row],[Data de entrada]],Tabela1[[#This Row],[Data de conclusão]]))</f>
        <v>448</v>
      </c>
      <c r="K1904" s="1"/>
    </row>
    <row r="1905" spans="2:11" x14ac:dyDescent="0.25">
      <c r="B1905" s="3">
        <v>2012</v>
      </c>
      <c r="C1905" s="3" t="s">
        <v>9</v>
      </c>
      <c r="D1905" s="3" t="s">
        <v>15</v>
      </c>
      <c r="E1905" s="4">
        <v>42762</v>
      </c>
      <c r="F1905" s="4"/>
      <c r="G1905" s="3" t="s">
        <v>29</v>
      </c>
      <c r="H1905" s="5">
        <v>21995</v>
      </c>
      <c r="I1905" s="3" t="str">
        <f>VLOOKUP(Tabela1[[#This Row],[Advogado]],Tabela2[],2,FALSE)</f>
        <v>Renê Amaranto</v>
      </c>
      <c r="J1905" s="17">
        <f>IF(Tabela1[[#This Row],[Data de conclusão]]="",NETWORKDAYS(Tabela1[[#This Row],[Data de entrada]],$J$2),NETWORKDAYS(Tabela1[[#This Row],[Data de entrada]],Tabela1[[#This Row],[Data de conclusão]]))</f>
        <v>338</v>
      </c>
      <c r="K1905" s="1"/>
    </row>
    <row r="1906" spans="2:11" x14ac:dyDescent="0.25">
      <c r="B1906" s="3">
        <v>2013</v>
      </c>
      <c r="C1906" s="3" t="s">
        <v>7</v>
      </c>
      <c r="D1906" s="3" t="s">
        <v>16</v>
      </c>
      <c r="E1906" s="4">
        <v>42848</v>
      </c>
      <c r="F1906" s="4"/>
      <c r="G1906" s="3" t="s">
        <v>29</v>
      </c>
      <c r="H1906" s="5">
        <v>10225</v>
      </c>
      <c r="I1906" s="3" t="str">
        <f>VLOOKUP(Tabela1[[#This Row],[Advogado]],Tabela2[],2,FALSE)</f>
        <v>Renê Amaranto</v>
      </c>
      <c r="J1906" s="17">
        <f>IF(Tabela1[[#This Row],[Data de conclusão]]="",NETWORKDAYS(Tabela1[[#This Row],[Data de entrada]],$J$2),NETWORKDAYS(Tabela1[[#This Row],[Data de entrada]],Tabela1[[#This Row],[Data de conclusão]]))</f>
        <v>277</v>
      </c>
      <c r="K1906" s="1"/>
    </row>
    <row r="1907" spans="2:11" x14ac:dyDescent="0.25">
      <c r="B1907" s="3">
        <v>2014</v>
      </c>
      <c r="C1907" s="3" t="s">
        <v>8</v>
      </c>
      <c r="D1907" s="3" t="s">
        <v>17</v>
      </c>
      <c r="E1907" s="4">
        <v>42701</v>
      </c>
      <c r="F1907" s="4"/>
      <c r="G1907" s="3" t="s">
        <v>29</v>
      </c>
      <c r="H1907" s="5">
        <v>13208</v>
      </c>
      <c r="I1907" s="3" t="str">
        <f>VLOOKUP(Tabela1[[#This Row],[Advogado]],Tabela2[],2,FALSE)</f>
        <v>Renê Amaranto</v>
      </c>
      <c r="J1907" s="17">
        <f>IF(Tabela1[[#This Row],[Data de conclusão]]="",NETWORKDAYS(Tabela1[[#This Row],[Data de entrada]],$J$2),NETWORKDAYS(Tabela1[[#This Row],[Data de entrada]],Tabela1[[#This Row],[Data de conclusão]]))</f>
        <v>382</v>
      </c>
      <c r="K1907" s="1"/>
    </row>
    <row r="1908" spans="2:11" x14ac:dyDescent="0.25">
      <c r="B1908" s="3">
        <v>2015</v>
      </c>
      <c r="C1908" s="3" t="s">
        <v>9</v>
      </c>
      <c r="D1908" s="3" t="s">
        <v>10</v>
      </c>
      <c r="E1908" s="4">
        <v>42839</v>
      </c>
      <c r="F1908" s="4"/>
      <c r="G1908" s="3" t="s">
        <v>29</v>
      </c>
      <c r="H1908" s="5">
        <v>25009</v>
      </c>
      <c r="I1908" s="3" t="str">
        <f>VLOOKUP(Tabela1[[#This Row],[Advogado]],Tabela2[],2,FALSE)</f>
        <v>Caio Brito</v>
      </c>
      <c r="J1908" s="17">
        <f>IF(Tabela1[[#This Row],[Data de conclusão]]="",NETWORKDAYS(Tabela1[[#This Row],[Data de entrada]],$J$2),NETWORKDAYS(Tabela1[[#This Row],[Data de entrada]],Tabela1[[#This Row],[Data de conclusão]]))</f>
        <v>283</v>
      </c>
      <c r="K1908" s="1"/>
    </row>
    <row r="1909" spans="2:11" x14ac:dyDescent="0.25">
      <c r="B1909" s="3">
        <v>2016</v>
      </c>
      <c r="C1909" s="3" t="s">
        <v>7</v>
      </c>
      <c r="D1909" s="3" t="s">
        <v>11</v>
      </c>
      <c r="E1909" s="4">
        <v>43098</v>
      </c>
      <c r="F1909" s="4"/>
      <c r="G1909" s="3" t="s">
        <v>29</v>
      </c>
      <c r="H1909" s="5">
        <v>22681</v>
      </c>
      <c r="I1909" s="3" t="str">
        <f>VLOOKUP(Tabela1[[#This Row],[Advogado]],Tabela2[],2,FALSE)</f>
        <v>Caio Brito</v>
      </c>
      <c r="J1909" s="17">
        <f>IF(Tabela1[[#This Row],[Data de conclusão]]="",NETWORKDAYS(Tabela1[[#This Row],[Data de entrada]],$J$2),NETWORKDAYS(Tabela1[[#This Row],[Data de entrada]],Tabela1[[#This Row],[Data de conclusão]]))</f>
        <v>98</v>
      </c>
      <c r="K1909" s="1"/>
    </row>
    <row r="1910" spans="2:11" x14ac:dyDescent="0.25">
      <c r="B1910" s="3">
        <v>2017</v>
      </c>
      <c r="C1910" s="3" t="s">
        <v>8</v>
      </c>
      <c r="D1910" s="3" t="s">
        <v>12</v>
      </c>
      <c r="E1910" s="4">
        <v>42776</v>
      </c>
      <c r="F1910" s="4"/>
      <c r="G1910" s="3" t="s">
        <v>29</v>
      </c>
      <c r="H1910" s="5">
        <v>40851</v>
      </c>
      <c r="I1910" s="3" t="str">
        <f>VLOOKUP(Tabela1[[#This Row],[Advogado]],Tabela2[],2,FALSE)</f>
        <v>Caio Brito</v>
      </c>
      <c r="J1910" s="17">
        <f>IF(Tabela1[[#This Row],[Data de conclusão]]="",NETWORKDAYS(Tabela1[[#This Row],[Data de entrada]],$J$2),NETWORKDAYS(Tabela1[[#This Row],[Data de entrada]],Tabela1[[#This Row],[Data de conclusão]]))</f>
        <v>328</v>
      </c>
      <c r="K1910" s="1"/>
    </row>
    <row r="1911" spans="2:11" x14ac:dyDescent="0.25">
      <c r="B1911" s="3">
        <v>2018</v>
      </c>
      <c r="C1911" s="3" t="s">
        <v>9</v>
      </c>
      <c r="D1911" s="3" t="s">
        <v>13</v>
      </c>
      <c r="E1911" s="4">
        <v>42440</v>
      </c>
      <c r="F1911" s="4"/>
      <c r="G1911" s="3" t="s">
        <v>29</v>
      </c>
      <c r="H1911" s="5">
        <v>13309</v>
      </c>
      <c r="I1911" s="3" t="str">
        <f>VLOOKUP(Tabela1[[#This Row],[Advogado]],Tabela2[],2,FALSE)</f>
        <v>Caio Brito</v>
      </c>
      <c r="J1911" s="17">
        <f>IF(Tabela1[[#This Row],[Data de conclusão]]="",NETWORKDAYS(Tabela1[[#This Row],[Data de entrada]],$J$2),NETWORKDAYS(Tabela1[[#This Row],[Data de entrada]],Tabela1[[#This Row],[Data de conclusão]]))</f>
        <v>568</v>
      </c>
      <c r="K1911" s="1"/>
    </row>
    <row r="1912" spans="2:11" x14ac:dyDescent="0.25">
      <c r="B1912" s="3">
        <v>2019</v>
      </c>
      <c r="C1912" s="3" t="s">
        <v>7</v>
      </c>
      <c r="D1912" s="3" t="s">
        <v>14</v>
      </c>
      <c r="E1912" s="4">
        <v>42803</v>
      </c>
      <c r="F1912" s="4"/>
      <c r="G1912" s="3" t="s">
        <v>29</v>
      </c>
      <c r="H1912" s="5">
        <v>7962</v>
      </c>
      <c r="I1912" s="3" t="str">
        <f>VLOOKUP(Tabela1[[#This Row],[Advogado]],Tabela2[],2,FALSE)</f>
        <v>Renê Amaranto</v>
      </c>
      <c r="J1912" s="17">
        <f>IF(Tabela1[[#This Row],[Data de conclusão]]="",NETWORKDAYS(Tabela1[[#This Row],[Data de entrada]],$J$2),NETWORKDAYS(Tabela1[[#This Row],[Data de entrada]],Tabela1[[#This Row],[Data de conclusão]]))</f>
        <v>309</v>
      </c>
      <c r="K1912" s="1"/>
    </row>
    <row r="1913" spans="2:11" x14ac:dyDescent="0.25">
      <c r="B1913" s="3">
        <v>2020</v>
      </c>
      <c r="C1913" s="3" t="s">
        <v>8</v>
      </c>
      <c r="D1913" s="3" t="s">
        <v>15</v>
      </c>
      <c r="E1913" s="4">
        <v>43068</v>
      </c>
      <c r="F1913" s="4">
        <v>43142</v>
      </c>
      <c r="G1913" s="3" t="s">
        <v>28</v>
      </c>
      <c r="H1913" s="5">
        <v>52881</v>
      </c>
      <c r="I1913" s="3" t="str">
        <f>VLOOKUP(Tabela1[[#This Row],[Advogado]],Tabela2[],2,FALSE)</f>
        <v>Renê Amaranto</v>
      </c>
      <c r="J1913" s="17">
        <f>IF(Tabela1[[#This Row],[Data de conclusão]]="",NETWORKDAYS(Tabela1[[#This Row],[Data de entrada]],$J$2),NETWORKDAYS(Tabela1[[#This Row],[Data de entrada]],Tabela1[[#This Row],[Data de conclusão]]))</f>
        <v>53</v>
      </c>
      <c r="K1913" s="1"/>
    </row>
    <row r="1914" spans="2:11" x14ac:dyDescent="0.25">
      <c r="B1914" s="3">
        <v>2021</v>
      </c>
      <c r="C1914" s="3" t="s">
        <v>9</v>
      </c>
      <c r="D1914" s="3" t="s">
        <v>16</v>
      </c>
      <c r="E1914" s="4">
        <v>42747</v>
      </c>
      <c r="F1914" s="4"/>
      <c r="G1914" s="3" t="s">
        <v>27</v>
      </c>
      <c r="H1914" s="5">
        <v>37238</v>
      </c>
      <c r="I1914" s="3" t="str">
        <f>VLOOKUP(Tabela1[[#This Row],[Advogado]],Tabela2[],2,FALSE)</f>
        <v>Renê Amaranto</v>
      </c>
      <c r="J1914" s="17">
        <f>IF(Tabela1[[#This Row],[Data de conclusão]]="",NETWORKDAYS(Tabela1[[#This Row],[Data de entrada]],$J$2),NETWORKDAYS(Tabela1[[#This Row],[Data de entrada]],Tabela1[[#This Row],[Data de conclusão]]))</f>
        <v>349</v>
      </c>
      <c r="K1914" s="1"/>
    </row>
    <row r="1915" spans="2:11" x14ac:dyDescent="0.25">
      <c r="B1915" s="3">
        <v>2022</v>
      </c>
      <c r="C1915" s="3" t="s">
        <v>7</v>
      </c>
      <c r="D1915" s="3" t="s">
        <v>17</v>
      </c>
      <c r="E1915" s="4">
        <v>42398</v>
      </c>
      <c r="F1915" s="4"/>
      <c r="G1915" s="3" t="s">
        <v>29</v>
      </c>
      <c r="H1915" s="5">
        <v>33637</v>
      </c>
      <c r="I1915" s="3" t="str">
        <f>VLOOKUP(Tabela1[[#This Row],[Advogado]],Tabela2[],2,FALSE)</f>
        <v>Renê Amaranto</v>
      </c>
      <c r="J1915" s="17">
        <f>IF(Tabela1[[#This Row],[Data de conclusão]]="",NETWORKDAYS(Tabela1[[#This Row],[Data de entrada]],$J$2),NETWORKDAYS(Tabela1[[#This Row],[Data de entrada]],Tabela1[[#This Row],[Data de conclusão]]))</f>
        <v>598</v>
      </c>
      <c r="K1915" s="1"/>
    </row>
    <row r="1916" spans="2:11" x14ac:dyDescent="0.25">
      <c r="B1916" s="3">
        <v>2023</v>
      </c>
      <c r="C1916" s="3" t="s">
        <v>8</v>
      </c>
      <c r="D1916" s="3" t="s">
        <v>10</v>
      </c>
      <c r="E1916" s="4">
        <v>42553</v>
      </c>
      <c r="F1916" s="4"/>
      <c r="G1916" s="3" t="s">
        <v>29</v>
      </c>
      <c r="H1916" s="5">
        <v>28506</v>
      </c>
      <c r="I1916" s="3" t="str">
        <f>VLOOKUP(Tabela1[[#This Row],[Advogado]],Tabela2[],2,FALSE)</f>
        <v>Caio Brito</v>
      </c>
      <c r="J1916" s="17">
        <f>IF(Tabela1[[#This Row],[Data de conclusão]]="",NETWORKDAYS(Tabela1[[#This Row],[Data de entrada]],$J$2),NETWORKDAYS(Tabela1[[#This Row],[Data de entrada]],Tabela1[[#This Row],[Data de conclusão]]))</f>
        <v>487</v>
      </c>
      <c r="K1916" s="1"/>
    </row>
    <row r="1917" spans="2:11" x14ac:dyDescent="0.25">
      <c r="B1917" s="3">
        <v>2024</v>
      </c>
      <c r="C1917" s="3" t="s">
        <v>9</v>
      </c>
      <c r="D1917" s="3" t="s">
        <v>11</v>
      </c>
      <c r="E1917" s="4">
        <v>42614</v>
      </c>
      <c r="F1917" s="4"/>
      <c r="G1917" s="3" t="s">
        <v>29</v>
      </c>
      <c r="H1917" s="5">
        <v>48934</v>
      </c>
      <c r="I1917" s="3" t="str">
        <f>VLOOKUP(Tabela1[[#This Row],[Advogado]],Tabela2[],2,FALSE)</f>
        <v>Caio Brito</v>
      </c>
      <c r="J1917" s="17">
        <f>IF(Tabela1[[#This Row],[Data de conclusão]]="",NETWORKDAYS(Tabela1[[#This Row],[Data de entrada]],$J$2),NETWORKDAYS(Tabela1[[#This Row],[Data de entrada]],Tabela1[[#This Row],[Data de conclusão]]))</f>
        <v>444</v>
      </c>
      <c r="K1917" s="1"/>
    </row>
    <row r="1918" spans="2:11" x14ac:dyDescent="0.25">
      <c r="B1918" s="3">
        <v>2025</v>
      </c>
      <c r="C1918" s="3" t="s">
        <v>7</v>
      </c>
      <c r="D1918" s="3" t="s">
        <v>12</v>
      </c>
      <c r="E1918" s="4">
        <v>42556</v>
      </c>
      <c r="F1918" s="4"/>
      <c r="G1918" s="3" t="s">
        <v>29</v>
      </c>
      <c r="H1918" s="5">
        <v>43669</v>
      </c>
      <c r="I1918" s="3" t="str">
        <f>VLOOKUP(Tabela1[[#This Row],[Advogado]],Tabela2[],2,FALSE)</f>
        <v>Caio Brito</v>
      </c>
      <c r="J1918" s="17">
        <f>IF(Tabela1[[#This Row],[Data de conclusão]]="",NETWORKDAYS(Tabela1[[#This Row],[Data de entrada]],$J$2),NETWORKDAYS(Tabela1[[#This Row],[Data de entrada]],Tabela1[[#This Row],[Data de conclusão]]))</f>
        <v>486</v>
      </c>
      <c r="K1918" s="1"/>
    </row>
    <row r="1919" spans="2:11" x14ac:dyDescent="0.25">
      <c r="B1919" s="3">
        <v>2026</v>
      </c>
      <c r="C1919" s="3" t="s">
        <v>8</v>
      </c>
      <c r="D1919" s="3" t="s">
        <v>13</v>
      </c>
      <c r="E1919" s="4">
        <v>42604</v>
      </c>
      <c r="F1919" s="4"/>
      <c r="G1919" s="3" t="s">
        <v>29</v>
      </c>
      <c r="H1919" s="5">
        <v>57420</v>
      </c>
      <c r="I1919" s="3" t="str">
        <f>VLOOKUP(Tabela1[[#This Row],[Advogado]],Tabela2[],2,FALSE)</f>
        <v>Caio Brito</v>
      </c>
      <c r="J1919" s="17">
        <f>IF(Tabela1[[#This Row],[Data de conclusão]]="",NETWORKDAYS(Tabela1[[#This Row],[Data de entrada]],$J$2),NETWORKDAYS(Tabela1[[#This Row],[Data de entrada]],Tabela1[[#This Row],[Data de conclusão]]))</f>
        <v>452</v>
      </c>
      <c r="K1919" s="1"/>
    </row>
    <row r="1920" spans="2:11" x14ac:dyDescent="0.25">
      <c r="B1920" s="3">
        <v>2027</v>
      </c>
      <c r="C1920" s="3" t="s">
        <v>9</v>
      </c>
      <c r="D1920" s="3" t="s">
        <v>14</v>
      </c>
      <c r="E1920" s="4">
        <v>43053</v>
      </c>
      <c r="F1920" s="4"/>
      <c r="G1920" s="3" t="s">
        <v>29</v>
      </c>
      <c r="H1920" s="5">
        <v>27761</v>
      </c>
      <c r="I1920" s="3" t="str">
        <f>VLOOKUP(Tabela1[[#This Row],[Advogado]],Tabela2[],2,FALSE)</f>
        <v>Renê Amaranto</v>
      </c>
      <c r="J1920" s="17">
        <f>IF(Tabela1[[#This Row],[Data de conclusão]]="",NETWORKDAYS(Tabela1[[#This Row],[Data de entrada]],$J$2),NETWORKDAYS(Tabela1[[#This Row],[Data de entrada]],Tabela1[[#This Row],[Data de conclusão]]))</f>
        <v>131</v>
      </c>
      <c r="K1920" s="1"/>
    </row>
    <row r="1921" spans="2:11" x14ac:dyDescent="0.25">
      <c r="B1921" s="3">
        <v>2028</v>
      </c>
      <c r="C1921" s="3" t="s">
        <v>7</v>
      </c>
      <c r="D1921" s="3" t="s">
        <v>15</v>
      </c>
      <c r="E1921" s="4">
        <v>43050</v>
      </c>
      <c r="F1921" s="4"/>
      <c r="G1921" s="3" t="s">
        <v>29</v>
      </c>
      <c r="H1921" s="5">
        <v>36051</v>
      </c>
      <c r="I1921" s="3" t="str">
        <f>VLOOKUP(Tabela1[[#This Row],[Advogado]],Tabela2[],2,FALSE)</f>
        <v>Renê Amaranto</v>
      </c>
      <c r="J1921" s="17">
        <f>IF(Tabela1[[#This Row],[Data de conclusão]]="",NETWORKDAYS(Tabela1[[#This Row],[Data de entrada]],$J$2),NETWORKDAYS(Tabela1[[#This Row],[Data de entrada]],Tabela1[[#This Row],[Data de conclusão]]))</f>
        <v>132</v>
      </c>
      <c r="K1921" s="1"/>
    </row>
    <row r="1922" spans="2:11" x14ac:dyDescent="0.25">
      <c r="B1922" s="3">
        <v>2029</v>
      </c>
      <c r="C1922" s="3" t="s">
        <v>8</v>
      </c>
      <c r="D1922" s="3" t="s">
        <v>16</v>
      </c>
      <c r="E1922" s="4">
        <v>42848</v>
      </c>
      <c r="F1922" s="4"/>
      <c r="G1922" s="3" t="s">
        <v>29</v>
      </c>
      <c r="H1922" s="5">
        <v>25109</v>
      </c>
      <c r="I1922" s="3" t="str">
        <f>VLOOKUP(Tabela1[[#This Row],[Advogado]],Tabela2[],2,FALSE)</f>
        <v>Renê Amaranto</v>
      </c>
      <c r="J1922" s="17">
        <f>IF(Tabela1[[#This Row],[Data de conclusão]]="",NETWORKDAYS(Tabela1[[#This Row],[Data de entrada]],$J$2),NETWORKDAYS(Tabela1[[#This Row],[Data de entrada]],Tabela1[[#This Row],[Data de conclusão]]))</f>
        <v>277</v>
      </c>
      <c r="K1922" s="1"/>
    </row>
    <row r="1923" spans="2:11" x14ac:dyDescent="0.25">
      <c r="B1923" s="3">
        <v>2030</v>
      </c>
      <c r="C1923" s="3" t="s">
        <v>9</v>
      </c>
      <c r="D1923" s="3" t="s">
        <v>17</v>
      </c>
      <c r="E1923" s="4">
        <v>42376</v>
      </c>
      <c r="F1923" s="4"/>
      <c r="G1923" s="3" t="s">
        <v>29</v>
      </c>
      <c r="H1923" s="5">
        <v>27378</v>
      </c>
      <c r="I1923" s="3" t="str">
        <f>VLOOKUP(Tabela1[[#This Row],[Advogado]],Tabela2[],2,FALSE)</f>
        <v>Renê Amaranto</v>
      </c>
      <c r="J1923" s="17">
        <f>IF(Tabela1[[#This Row],[Data de conclusão]]="",NETWORKDAYS(Tabela1[[#This Row],[Data de entrada]],$J$2),NETWORKDAYS(Tabela1[[#This Row],[Data de entrada]],Tabela1[[#This Row],[Data de conclusão]]))</f>
        <v>614</v>
      </c>
      <c r="K1923" s="1"/>
    </row>
    <row r="1924" spans="2:11" x14ac:dyDescent="0.25">
      <c r="B1924" s="3">
        <v>2031</v>
      </c>
      <c r="C1924" s="3" t="s">
        <v>7</v>
      </c>
      <c r="D1924" s="3" t="s">
        <v>10</v>
      </c>
      <c r="E1924" s="4">
        <v>42869</v>
      </c>
      <c r="F1924" s="4"/>
      <c r="G1924" s="3" t="s">
        <v>29</v>
      </c>
      <c r="H1924" s="5">
        <v>47192</v>
      </c>
      <c r="I1924" s="3" t="str">
        <f>VLOOKUP(Tabela1[[#This Row],[Advogado]],Tabela2[],2,FALSE)</f>
        <v>Caio Brito</v>
      </c>
      <c r="J1924" s="17">
        <f>IF(Tabela1[[#This Row],[Data de conclusão]]="",NETWORKDAYS(Tabela1[[#This Row],[Data de entrada]],$J$2),NETWORKDAYS(Tabela1[[#This Row],[Data de entrada]],Tabela1[[#This Row],[Data de conclusão]]))</f>
        <v>262</v>
      </c>
      <c r="K1924" s="1"/>
    </row>
    <row r="1925" spans="2:11" x14ac:dyDescent="0.25">
      <c r="B1925" s="3">
        <v>2032</v>
      </c>
      <c r="C1925" s="3" t="s">
        <v>8</v>
      </c>
      <c r="D1925" s="3" t="s">
        <v>11</v>
      </c>
      <c r="E1925" s="4">
        <v>42782</v>
      </c>
      <c r="F1925" s="4"/>
      <c r="G1925" s="3" t="s">
        <v>29</v>
      </c>
      <c r="H1925" s="5">
        <v>21679</v>
      </c>
      <c r="I1925" s="3" t="str">
        <f>VLOOKUP(Tabela1[[#This Row],[Advogado]],Tabela2[],2,FALSE)</f>
        <v>Caio Brito</v>
      </c>
      <c r="J1925" s="17">
        <f>IF(Tabela1[[#This Row],[Data de conclusão]]="",NETWORKDAYS(Tabela1[[#This Row],[Data de entrada]],$J$2),NETWORKDAYS(Tabela1[[#This Row],[Data de entrada]],Tabela1[[#This Row],[Data de conclusão]]))</f>
        <v>324</v>
      </c>
      <c r="K1925" s="1"/>
    </row>
    <row r="1926" spans="2:11" x14ac:dyDescent="0.25">
      <c r="B1926" s="3">
        <v>2033</v>
      </c>
      <c r="C1926" s="3" t="s">
        <v>9</v>
      </c>
      <c r="D1926" s="3" t="s">
        <v>12</v>
      </c>
      <c r="E1926" s="4">
        <v>42459</v>
      </c>
      <c r="F1926" s="4">
        <v>42525</v>
      </c>
      <c r="G1926" s="3" t="s">
        <v>28</v>
      </c>
      <c r="H1926" s="5">
        <v>18136</v>
      </c>
      <c r="I1926" s="3" t="str">
        <f>VLOOKUP(Tabela1[[#This Row],[Advogado]],Tabela2[],2,FALSE)</f>
        <v>Caio Brito</v>
      </c>
      <c r="J1926" s="17">
        <f>IF(Tabela1[[#This Row],[Data de conclusão]]="",NETWORKDAYS(Tabela1[[#This Row],[Data de entrada]],$J$2),NETWORKDAYS(Tabela1[[#This Row],[Data de entrada]],Tabela1[[#This Row],[Data de conclusão]]))</f>
        <v>48</v>
      </c>
      <c r="K1926" s="1"/>
    </row>
    <row r="1927" spans="2:11" x14ac:dyDescent="0.25">
      <c r="B1927" s="3">
        <v>2034</v>
      </c>
      <c r="C1927" s="3" t="s">
        <v>7</v>
      </c>
      <c r="D1927" s="3" t="s">
        <v>13</v>
      </c>
      <c r="E1927" s="4">
        <v>42925</v>
      </c>
      <c r="F1927" s="4"/>
      <c r="G1927" s="3" t="s">
        <v>27</v>
      </c>
      <c r="H1927" s="5">
        <v>36318</v>
      </c>
      <c r="I1927" s="3" t="str">
        <f>VLOOKUP(Tabela1[[#This Row],[Advogado]],Tabela2[],2,FALSE)</f>
        <v>Caio Brito</v>
      </c>
      <c r="J1927" s="17">
        <f>IF(Tabela1[[#This Row],[Data de conclusão]]="",NETWORKDAYS(Tabela1[[#This Row],[Data de entrada]],$J$2),NETWORKDAYS(Tabela1[[#This Row],[Data de entrada]],Tabela1[[#This Row],[Data de conclusão]]))</f>
        <v>222</v>
      </c>
      <c r="K1927" s="1"/>
    </row>
    <row r="1928" spans="2:11" x14ac:dyDescent="0.25">
      <c r="B1928" s="3">
        <v>2035</v>
      </c>
      <c r="C1928" s="3" t="s">
        <v>8</v>
      </c>
      <c r="D1928" s="3" t="s">
        <v>14</v>
      </c>
      <c r="E1928" s="4">
        <v>42930</v>
      </c>
      <c r="F1928" s="4"/>
      <c r="G1928" s="3" t="s">
        <v>29</v>
      </c>
      <c r="H1928" s="5">
        <v>21309</v>
      </c>
      <c r="I1928" s="3" t="str">
        <f>VLOOKUP(Tabela1[[#This Row],[Advogado]],Tabela2[],2,FALSE)</f>
        <v>Renê Amaranto</v>
      </c>
      <c r="J1928" s="17">
        <f>IF(Tabela1[[#This Row],[Data de conclusão]]="",NETWORKDAYS(Tabela1[[#This Row],[Data de entrada]],$J$2),NETWORKDAYS(Tabela1[[#This Row],[Data de entrada]],Tabela1[[#This Row],[Data de conclusão]]))</f>
        <v>218</v>
      </c>
      <c r="K1928" s="1"/>
    </row>
    <row r="1929" spans="2:11" x14ac:dyDescent="0.25">
      <c r="B1929" s="3">
        <v>2036</v>
      </c>
      <c r="C1929" s="3" t="s">
        <v>9</v>
      </c>
      <c r="D1929" s="3" t="s">
        <v>15</v>
      </c>
      <c r="E1929" s="4">
        <v>43014</v>
      </c>
      <c r="F1929" s="4"/>
      <c r="G1929" s="3" t="s">
        <v>29</v>
      </c>
      <c r="H1929" s="5">
        <v>29620</v>
      </c>
      <c r="I1929" s="3" t="str">
        <f>VLOOKUP(Tabela1[[#This Row],[Advogado]],Tabela2[],2,FALSE)</f>
        <v>Renê Amaranto</v>
      </c>
      <c r="J1929" s="17">
        <f>IF(Tabela1[[#This Row],[Data de conclusão]]="",NETWORKDAYS(Tabela1[[#This Row],[Data de entrada]],$J$2),NETWORKDAYS(Tabela1[[#This Row],[Data de entrada]],Tabela1[[#This Row],[Data de conclusão]]))</f>
        <v>158</v>
      </c>
      <c r="K1929" s="1"/>
    </row>
    <row r="1930" spans="2:11" x14ac:dyDescent="0.25">
      <c r="B1930" s="3">
        <v>2037</v>
      </c>
      <c r="C1930" s="3" t="s">
        <v>7</v>
      </c>
      <c r="D1930" s="3" t="s">
        <v>16</v>
      </c>
      <c r="E1930" s="4">
        <v>42707</v>
      </c>
      <c r="F1930" s="4"/>
      <c r="G1930" s="3" t="s">
        <v>29</v>
      </c>
      <c r="H1930" s="5">
        <v>47299</v>
      </c>
      <c r="I1930" s="3" t="str">
        <f>VLOOKUP(Tabela1[[#This Row],[Advogado]],Tabela2[],2,FALSE)</f>
        <v>Renê Amaranto</v>
      </c>
      <c r="J1930" s="17">
        <f>IF(Tabela1[[#This Row],[Data de conclusão]]="",NETWORKDAYS(Tabela1[[#This Row],[Data de entrada]],$J$2),NETWORKDAYS(Tabela1[[#This Row],[Data de entrada]],Tabela1[[#This Row],[Data de conclusão]]))</f>
        <v>377</v>
      </c>
      <c r="K1930" s="1"/>
    </row>
    <row r="1931" spans="2:11" x14ac:dyDescent="0.25">
      <c r="B1931" s="3">
        <v>2038</v>
      </c>
      <c r="C1931" s="3" t="s">
        <v>8</v>
      </c>
      <c r="D1931" s="3" t="s">
        <v>17</v>
      </c>
      <c r="E1931" s="4">
        <v>42686</v>
      </c>
      <c r="F1931" s="4"/>
      <c r="G1931" s="3" t="s">
        <v>29</v>
      </c>
      <c r="H1931" s="5">
        <v>46395</v>
      </c>
      <c r="I1931" s="3" t="str">
        <f>VLOOKUP(Tabela1[[#This Row],[Advogado]],Tabela2[],2,FALSE)</f>
        <v>Renê Amaranto</v>
      </c>
      <c r="J1931" s="17">
        <f>IF(Tabela1[[#This Row],[Data de conclusão]]="",NETWORKDAYS(Tabela1[[#This Row],[Data de entrada]],$J$2),NETWORKDAYS(Tabela1[[#This Row],[Data de entrada]],Tabela1[[#This Row],[Data de conclusão]]))</f>
        <v>392</v>
      </c>
      <c r="K1931" s="1"/>
    </row>
    <row r="1932" spans="2:11" x14ac:dyDescent="0.25">
      <c r="B1932" s="3">
        <v>2039</v>
      </c>
      <c r="C1932" s="3" t="s">
        <v>9</v>
      </c>
      <c r="D1932" s="3" t="s">
        <v>10</v>
      </c>
      <c r="E1932" s="4">
        <v>42976</v>
      </c>
      <c r="F1932" s="4"/>
      <c r="G1932" s="3" t="s">
        <v>29</v>
      </c>
      <c r="H1932" s="5">
        <v>59609</v>
      </c>
      <c r="I1932" s="3" t="str">
        <f>VLOOKUP(Tabela1[[#This Row],[Advogado]],Tabela2[],2,FALSE)</f>
        <v>Caio Brito</v>
      </c>
      <c r="J1932" s="17">
        <f>IF(Tabela1[[#This Row],[Data de conclusão]]="",NETWORKDAYS(Tabela1[[#This Row],[Data de entrada]],$J$2),NETWORKDAYS(Tabela1[[#This Row],[Data de entrada]],Tabela1[[#This Row],[Data de conclusão]]))</f>
        <v>186</v>
      </c>
      <c r="K1932" s="1"/>
    </row>
    <row r="1933" spans="2:11" x14ac:dyDescent="0.25">
      <c r="B1933" s="3">
        <v>2040</v>
      </c>
      <c r="C1933" s="3" t="s">
        <v>7</v>
      </c>
      <c r="D1933" s="3" t="s">
        <v>11</v>
      </c>
      <c r="E1933" s="4">
        <v>42836</v>
      </c>
      <c r="F1933" s="4"/>
      <c r="G1933" s="3" t="s">
        <v>29</v>
      </c>
      <c r="H1933" s="5">
        <v>43551</v>
      </c>
      <c r="I1933" s="3" t="str">
        <f>VLOOKUP(Tabela1[[#This Row],[Advogado]],Tabela2[],2,FALSE)</f>
        <v>Caio Brito</v>
      </c>
      <c r="J1933" s="17">
        <f>IF(Tabela1[[#This Row],[Data de conclusão]]="",NETWORKDAYS(Tabela1[[#This Row],[Data de entrada]],$J$2),NETWORKDAYS(Tabela1[[#This Row],[Data de entrada]],Tabela1[[#This Row],[Data de conclusão]]))</f>
        <v>286</v>
      </c>
      <c r="K1933" s="1"/>
    </row>
    <row r="1934" spans="2:11" x14ac:dyDescent="0.25">
      <c r="B1934" s="3">
        <v>2041</v>
      </c>
      <c r="C1934" s="3" t="s">
        <v>8</v>
      </c>
      <c r="D1934" s="3" t="s">
        <v>12</v>
      </c>
      <c r="E1934" s="4">
        <v>42610</v>
      </c>
      <c r="F1934" s="4"/>
      <c r="G1934" s="3" t="s">
        <v>29</v>
      </c>
      <c r="H1934" s="5">
        <v>28623</v>
      </c>
      <c r="I1934" s="3" t="str">
        <f>VLOOKUP(Tabela1[[#This Row],[Advogado]],Tabela2[],2,FALSE)</f>
        <v>Caio Brito</v>
      </c>
      <c r="J1934" s="17">
        <f>IF(Tabela1[[#This Row],[Data de conclusão]]="",NETWORKDAYS(Tabela1[[#This Row],[Data de entrada]],$J$2),NETWORKDAYS(Tabela1[[#This Row],[Data de entrada]],Tabela1[[#This Row],[Data de conclusão]]))</f>
        <v>447</v>
      </c>
      <c r="K1934" s="1"/>
    </row>
    <row r="1935" spans="2:11" x14ac:dyDescent="0.25">
      <c r="B1935" s="3">
        <v>2042</v>
      </c>
      <c r="C1935" s="3" t="s">
        <v>9</v>
      </c>
      <c r="D1935" s="3" t="s">
        <v>13</v>
      </c>
      <c r="E1935" s="4">
        <v>42380</v>
      </c>
      <c r="F1935" s="4"/>
      <c r="G1935" s="3" t="s">
        <v>29</v>
      </c>
      <c r="H1935" s="5">
        <v>35974</v>
      </c>
      <c r="I1935" s="3" t="str">
        <f>VLOOKUP(Tabela1[[#This Row],[Advogado]],Tabela2[],2,FALSE)</f>
        <v>Caio Brito</v>
      </c>
      <c r="J1935" s="17">
        <f>IF(Tabela1[[#This Row],[Data de conclusão]]="",NETWORKDAYS(Tabela1[[#This Row],[Data de entrada]],$J$2),NETWORKDAYS(Tabela1[[#This Row],[Data de entrada]],Tabela1[[#This Row],[Data de conclusão]]))</f>
        <v>612</v>
      </c>
      <c r="K1935" s="1"/>
    </row>
    <row r="1936" spans="2:11" x14ac:dyDescent="0.25">
      <c r="B1936" s="3">
        <v>2043</v>
      </c>
      <c r="C1936" s="3" t="s">
        <v>7</v>
      </c>
      <c r="D1936" s="3" t="s">
        <v>14</v>
      </c>
      <c r="E1936" s="4">
        <v>42783</v>
      </c>
      <c r="F1936" s="4"/>
      <c r="G1936" s="3" t="s">
        <v>29</v>
      </c>
      <c r="H1936" s="5">
        <v>27237</v>
      </c>
      <c r="I1936" s="3" t="str">
        <f>VLOOKUP(Tabela1[[#This Row],[Advogado]],Tabela2[],2,FALSE)</f>
        <v>Renê Amaranto</v>
      </c>
      <c r="J1936" s="17">
        <f>IF(Tabela1[[#This Row],[Data de conclusão]]="",NETWORKDAYS(Tabela1[[#This Row],[Data de entrada]],$J$2),NETWORKDAYS(Tabela1[[#This Row],[Data de entrada]],Tabela1[[#This Row],[Data de conclusão]]))</f>
        <v>323</v>
      </c>
      <c r="K1936" s="1"/>
    </row>
    <row r="1937" spans="2:11" x14ac:dyDescent="0.25">
      <c r="B1937" s="3">
        <v>2044</v>
      </c>
      <c r="C1937" s="3" t="s">
        <v>8</v>
      </c>
      <c r="D1937" s="3" t="s">
        <v>15</v>
      </c>
      <c r="E1937" s="4">
        <v>43079</v>
      </c>
      <c r="F1937" s="4"/>
      <c r="G1937" s="3" t="s">
        <v>29</v>
      </c>
      <c r="H1937" s="5">
        <v>32923</v>
      </c>
      <c r="I1937" s="3" t="str">
        <f>VLOOKUP(Tabela1[[#This Row],[Advogado]],Tabela2[],2,FALSE)</f>
        <v>Renê Amaranto</v>
      </c>
      <c r="J1937" s="17">
        <f>IF(Tabela1[[#This Row],[Data de conclusão]]="",NETWORKDAYS(Tabela1[[#This Row],[Data de entrada]],$J$2),NETWORKDAYS(Tabela1[[#This Row],[Data de entrada]],Tabela1[[#This Row],[Data de conclusão]]))</f>
        <v>112</v>
      </c>
      <c r="K1937" s="1"/>
    </row>
    <row r="1938" spans="2:11" x14ac:dyDescent="0.25">
      <c r="B1938" s="3">
        <v>2045</v>
      </c>
      <c r="C1938" s="3" t="s">
        <v>9</v>
      </c>
      <c r="D1938" s="3" t="s">
        <v>16</v>
      </c>
      <c r="E1938" s="4">
        <v>42963</v>
      </c>
      <c r="F1938" s="4"/>
      <c r="G1938" s="3" t="s">
        <v>29</v>
      </c>
      <c r="H1938" s="5">
        <v>55667</v>
      </c>
      <c r="I1938" s="3" t="str">
        <f>VLOOKUP(Tabela1[[#This Row],[Advogado]],Tabela2[],2,FALSE)</f>
        <v>Renê Amaranto</v>
      </c>
      <c r="J1938" s="17">
        <f>IF(Tabela1[[#This Row],[Data de conclusão]]="",NETWORKDAYS(Tabela1[[#This Row],[Data de entrada]],$J$2),NETWORKDAYS(Tabela1[[#This Row],[Data de entrada]],Tabela1[[#This Row],[Data de conclusão]]))</f>
        <v>195</v>
      </c>
      <c r="K1938" s="1"/>
    </row>
    <row r="1939" spans="2:11" x14ac:dyDescent="0.25">
      <c r="B1939" s="3">
        <v>2046</v>
      </c>
      <c r="C1939" s="3" t="s">
        <v>7</v>
      </c>
      <c r="D1939" s="3" t="s">
        <v>17</v>
      </c>
      <c r="E1939" s="4">
        <v>42928</v>
      </c>
      <c r="F1939" s="4">
        <v>42983</v>
      </c>
      <c r="G1939" s="3" t="s">
        <v>28</v>
      </c>
      <c r="H1939" s="5">
        <v>14602</v>
      </c>
      <c r="I1939" s="3" t="str">
        <f>VLOOKUP(Tabela1[[#This Row],[Advogado]],Tabela2[],2,FALSE)</f>
        <v>Renê Amaranto</v>
      </c>
      <c r="J1939" s="17">
        <f>IF(Tabela1[[#This Row],[Data de conclusão]]="",NETWORKDAYS(Tabela1[[#This Row],[Data de entrada]],$J$2),NETWORKDAYS(Tabela1[[#This Row],[Data de entrada]],Tabela1[[#This Row],[Data de conclusão]]))</f>
        <v>40</v>
      </c>
      <c r="K1939" s="1"/>
    </row>
    <row r="1940" spans="2:11" x14ac:dyDescent="0.25">
      <c r="B1940" s="3">
        <v>2047</v>
      </c>
      <c r="C1940" s="3" t="s">
        <v>8</v>
      </c>
      <c r="D1940" s="3" t="s">
        <v>10</v>
      </c>
      <c r="E1940" s="4">
        <v>43006</v>
      </c>
      <c r="F1940" s="4"/>
      <c r="G1940" s="3" t="s">
        <v>27</v>
      </c>
      <c r="H1940" s="5">
        <v>26894</v>
      </c>
      <c r="I1940" s="3" t="str">
        <f>VLOOKUP(Tabela1[[#This Row],[Advogado]],Tabela2[],2,FALSE)</f>
        <v>Caio Brito</v>
      </c>
      <c r="J1940" s="17">
        <f>IF(Tabela1[[#This Row],[Data de conclusão]]="",NETWORKDAYS(Tabela1[[#This Row],[Data de entrada]],$J$2),NETWORKDAYS(Tabela1[[#This Row],[Data de entrada]],Tabela1[[#This Row],[Data de conclusão]]))</f>
        <v>164</v>
      </c>
      <c r="K1940" s="1"/>
    </row>
    <row r="1941" spans="2:11" x14ac:dyDescent="0.25">
      <c r="B1941" s="3">
        <v>2048</v>
      </c>
      <c r="C1941" s="3" t="s">
        <v>9</v>
      </c>
      <c r="D1941" s="3" t="s">
        <v>11</v>
      </c>
      <c r="E1941" s="4">
        <v>42921</v>
      </c>
      <c r="F1941" s="4"/>
      <c r="G1941" s="3" t="s">
        <v>29</v>
      </c>
      <c r="H1941" s="5">
        <v>12518</v>
      </c>
      <c r="I1941" s="3" t="str">
        <f>VLOOKUP(Tabela1[[#This Row],[Advogado]],Tabela2[],2,FALSE)</f>
        <v>Caio Brito</v>
      </c>
      <c r="J1941" s="17">
        <f>IF(Tabela1[[#This Row],[Data de conclusão]]="",NETWORKDAYS(Tabela1[[#This Row],[Data de entrada]],$J$2),NETWORKDAYS(Tabela1[[#This Row],[Data de entrada]],Tabela1[[#This Row],[Data de conclusão]]))</f>
        <v>225</v>
      </c>
      <c r="K1941" s="1"/>
    </row>
    <row r="1942" spans="2:11" x14ac:dyDescent="0.25">
      <c r="B1942" s="3">
        <v>2049</v>
      </c>
      <c r="C1942" s="3" t="s">
        <v>7</v>
      </c>
      <c r="D1942" s="3" t="s">
        <v>12</v>
      </c>
      <c r="E1942" s="4">
        <v>43004</v>
      </c>
      <c r="F1942" s="4"/>
      <c r="G1942" s="3" t="s">
        <v>29</v>
      </c>
      <c r="H1942" s="5">
        <v>4662</v>
      </c>
      <c r="I1942" s="3" t="str">
        <f>VLOOKUP(Tabela1[[#This Row],[Advogado]],Tabela2[],2,FALSE)</f>
        <v>Caio Brito</v>
      </c>
      <c r="J1942" s="17">
        <f>IF(Tabela1[[#This Row],[Data de conclusão]]="",NETWORKDAYS(Tabela1[[#This Row],[Data de entrada]],$J$2),NETWORKDAYS(Tabela1[[#This Row],[Data de entrada]],Tabela1[[#This Row],[Data de conclusão]]))</f>
        <v>166</v>
      </c>
      <c r="K1942" s="1"/>
    </row>
    <row r="1943" spans="2:11" x14ac:dyDescent="0.25">
      <c r="B1943" s="3">
        <v>2050</v>
      </c>
      <c r="C1943" s="3" t="s">
        <v>8</v>
      </c>
      <c r="D1943" s="3" t="s">
        <v>13</v>
      </c>
      <c r="E1943" s="4">
        <v>42640</v>
      </c>
      <c r="F1943" s="4"/>
      <c r="G1943" s="3" t="s">
        <v>29</v>
      </c>
      <c r="H1943" s="5">
        <v>46936</v>
      </c>
      <c r="I1943" s="3" t="str">
        <f>VLOOKUP(Tabela1[[#This Row],[Advogado]],Tabela2[],2,FALSE)</f>
        <v>Caio Brito</v>
      </c>
      <c r="J1943" s="17">
        <f>IF(Tabela1[[#This Row],[Data de conclusão]]="",NETWORKDAYS(Tabela1[[#This Row],[Data de entrada]],$J$2),NETWORKDAYS(Tabela1[[#This Row],[Data de entrada]],Tabela1[[#This Row],[Data de conclusão]]))</f>
        <v>426</v>
      </c>
      <c r="K1943" s="1"/>
    </row>
    <row r="1944" spans="2:11" x14ac:dyDescent="0.25">
      <c r="B1944" s="3">
        <v>2051</v>
      </c>
      <c r="C1944" s="3" t="s">
        <v>9</v>
      </c>
      <c r="D1944" s="3" t="s">
        <v>14</v>
      </c>
      <c r="E1944" s="4">
        <v>43049</v>
      </c>
      <c r="F1944" s="4"/>
      <c r="G1944" s="3" t="s">
        <v>29</v>
      </c>
      <c r="H1944" s="5">
        <v>16398</v>
      </c>
      <c r="I1944" s="3" t="str">
        <f>VLOOKUP(Tabela1[[#This Row],[Advogado]],Tabela2[],2,FALSE)</f>
        <v>Renê Amaranto</v>
      </c>
      <c r="J1944" s="17">
        <f>IF(Tabela1[[#This Row],[Data de conclusão]]="",NETWORKDAYS(Tabela1[[#This Row],[Data de entrada]],$J$2),NETWORKDAYS(Tabela1[[#This Row],[Data de entrada]],Tabela1[[#This Row],[Data de conclusão]]))</f>
        <v>133</v>
      </c>
      <c r="K1944" s="1"/>
    </row>
    <row r="1945" spans="2:11" x14ac:dyDescent="0.25">
      <c r="B1945" s="3">
        <v>2052</v>
      </c>
      <c r="C1945" s="3" t="s">
        <v>7</v>
      </c>
      <c r="D1945" s="3" t="s">
        <v>15</v>
      </c>
      <c r="E1945" s="4">
        <v>42997</v>
      </c>
      <c r="F1945" s="4"/>
      <c r="G1945" s="3" t="s">
        <v>29</v>
      </c>
      <c r="H1945" s="5">
        <v>23256</v>
      </c>
      <c r="I1945" s="3" t="str">
        <f>VLOOKUP(Tabela1[[#This Row],[Advogado]],Tabela2[],2,FALSE)</f>
        <v>Renê Amaranto</v>
      </c>
      <c r="J1945" s="17">
        <f>IF(Tabela1[[#This Row],[Data de conclusão]]="",NETWORKDAYS(Tabela1[[#This Row],[Data de entrada]],$J$2),NETWORKDAYS(Tabela1[[#This Row],[Data de entrada]],Tabela1[[#This Row],[Data de conclusão]]))</f>
        <v>171</v>
      </c>
      <c r="K1945" s="1"/>
    </row>
    <row r="1946" spans="2:11" x14ac:dyDescent="0.25">
      <c r="B1946" s="3">
        <v>2053</v>
      </c>
      <c r="C1946" s="3" t="s">
        <v>8</v>
      </c>
      <c r="D1946" s="3" t="s">
        <v>16</v>
      </c>
      <c r="E1946" s="4">
        <v>42507</v>
      </c>
      <c r="F1946" s="4"/>
      <c r="G1946" s="3" t="s">
        <v>29</v>
      </c>
      <c r="H1946" s="5">
        <v>59034</v>
      </c>
      <c r="I1946" s="3" t="str">
        <f>VLOOKUP(Tabela1[[#This Row],[Advogado]],Tabela2[],2,FALSE)</f>
        <v>Renê Amaranto</v>
      </c>
      <c r="J1946" s="17">
        <f>IF(Tabela1[[#This Row],[Data de conclusão]]="",NETWORKDAYS(Tabela1[[#This Row],[Data de entrada]],$J$2),NETWORKDAYS(Tabela1[[#This Row],[Data de entrada]],Tabela1[[#This Row],[Data de conclusão]]))</f>
        <v>521</v>
      </c>
      <c r="K1946" s="1"/>
    </row>
    <row r="1947" spans="2:11" x14ac:dyDescent="0.25">
      <c r="B1947" s="3">
        <v>2054</v>
      </c>
      <c r="C1947" s="3" t="s">
        <v>9</v>
      </c>
      <c r="D1947" s="3" t="s">
        <v>17</v>
      </c>
      <c r="E1947" s="4">
        <v>43054</v>
      </c>
      <c r="F1947" s="4"/>
      <c r="G1947" s="3" t="s">
        <v>29</v>
      </c>
      <c r="H1947" s="5">
        <v>25225</v>
      </c>
      <c r="I1947" s="3" t="str">
        <f>VLOOKUP(Tabela1[[#This Row],[Advogado]],Tabela2[],2,FALSE)</f>
        <v>Renê Amaranto</v>
      </c>
      <c r="J1947" s="17">
        <f>IF(Tabela1[[#This Row],[Data de conclusão]]="",NETWORKDAYS(Tabela1[[#This Row],[Data de entrada]],$J$2),NETWORKDAYS(Tabela1[[#This Row],[Data de entrada]],Tabela1[[#This Row],[Data de conclusão]]))</f>
        <v>130</v>
      </c>
      <c r="K1947" s="1"/>
    </row>
    <row r="1948" spans="2:11" x14ac:dyDescent="0.25">
      <c r="B1948" s="3">
        <v>2055</v>
      </c>
      <c r="C1948" s="3" t="s">
        <v>7</v>
      </c>
      <c r="D1948" s="3" t="s">
        <v>10</v>
      </c>
      <c r="E1948" s="4">
        <v>43068</v>
      </c>
      <c r="F1948" s="4"/>
      <c r="G1948" s="3" t="s">
        <v>29</v>
      </c>
      <c r="H1948" s="5">
        <v>46452</v>
      </c>
      <c r="I1948" s="3" t="str">
        <f>VLOOKUP(Tabela1[[#This Row],[Advogado]],Tabela2[],2,FALSE)</f>
        <v>Caio Brito</v>
      </c>
      <c r="J1948" s="17">
        <f>IF(Tabela1[[#This Row],[Data de conclusão]]="",NETWORKDAYS(Tabela1[[#This Row],[Data de entrada]],$J$2),NETWORKDAYS(Tabela1[[#This Row],[Data de entrada]],Tabela1[[#This Row],[Data de conclusão]]))</f>
        <v>120</v>
      </c>
      <c r="K1948" s="1"/>
    </row>
    <row r="1949" spans="2:11" x14ac:dyDescent="0.25">
      <c r="B1949" s="3">
        <v>2056</v>
      </c>
      <c r="C1949" s="3" t="s">
        <v>8</v>
      </c>
      <c r="D1949" s="3" t="s">
        <v>11</v>
      </c>
      <c r="E1949" s="4">
        <v>42718</v>
      </c>
      <c r="F1949" s="4"/>
      <c r="G1949" s="3" t="s">
        <v>29</v>
      </c>
      <c r="H1949" s="5">
        <v>33680</v>
      </c>
      <c r="I1949" s="3" t="str">
        <f>VLOOKUP(Tabela1[[#This Row],[Advogado]],Tabela2[],2,FALSE)</f>
        <v>Caio Brito</v>
      </c>
      <c r="J1949" s="17">
        <f>IF(Tabela1[[#This Row],[Data de conclusão]]="",NETWORKDAYS(Tabela1[[#This Row],[Data de entrada]],$J$2),NETWORKDAYS(Tabela1[[#This Row],[Data de entrada]],Tabela1[[#This Row],[Data de conclusão]]))</f>
        <v>370</v>
      </c>
      <c r="K1949" s="1"/>
    </row>
    <row r="1950" spans="2:11" x14ac:dyDescent="0.25">
      <c r="B1950" s="3">
        <v>2057</v>
      </c>
      <c r="C1950" s="3" t="s">
        <v>9</v>
      </c>
      <c r="D1950" s="3" t="s">
        <v>12</v>
      </c>
      <c r="E1950" s="4">
        <v>42677</v>
      </c>
      <c r="F1950" s="4"/>
      <c r="G1950" s="3" t="s">
        <v>29</v>
      </c>
      <c r="H1950" s="5">
        <v>37369</v>
      </c>
      <c r="I1950" s="3" t="str">
        <f>VLOOKUP(Tabela1[[#This Row],[Advogado]],Tabela2[],2,FALSE)</f>
        <v>Caio Brito</v>
      </c>
      <c r="J1950" s="17">
        <f>IF(Tabela1[[#This Row],[Data de conclusão]]="",NETWORKDAYS(Tabela1[[#This Row],[Data de entrada]],$J$2),NETWORKDAYS(Tabela1[[#This Row],[Data de entrada]],Tabela1[[#This Row],[Data de conclusão]]))</f>
        <v>399</v>
      </c>
      <c r="K1950" s="1"/>
    </row>
    <row r="1951" spans="2:11" x14ac:dyDescent="0.25">
      <c r="B1951" s="3">
        <v>2058</v>
      </c>
      <c r="C1951" s="3" t="s">
        <v>7</v>
      </c>
      <c r="D1951" s="3" t="s">
        <v>13</v>
      </c>
      <c r="E1951" s="4">
        <v>42752</v>
      </c>
      <c r="F1951" s="4"/>
      <c r="G1951" s="3" t="s">
        <v>29</v>
      </c>
      <c r="H1951" s="5">
        <v>50743</v>
      </c>
      <c r="I1951" s="3" t="str">
        <f>VLOOKUP(Tabela1[[#This Row],[Advogado]],Tabela2[],2,FALSE)</f>
        <v>Caio Brito</v>
      </c>
      <c r="J1951" s="17">
        <f>IF(Tabela1[[#This Row],[Data de conclusão]]="",NETWORKDAYS(Tabela1[[#This Row],[Data de entrada]],$J$2),NETWORKDAYS(Tabela1[[#This Row],[Data de entrada]],Tabela1[[#This Row],[Data de conclusão]]))</f>
        <v>346</v>
      </c>
      <c r="K1951" s="1"/>
    </row>
    <row r="1952" spans="2:11" x14ac:dyDescent="0.25">
      <c r="B1952" s="3">
        <v>2059</v>
      </c>
      <c r="C1952" s="3" t="s">
        <v>8</v>
      </c>
      <c r="D1952" s="3" t="s">
        <v>14</v>
      </c>
      <c r="E1952" s="4">
        <v>42981</v>
      </c>
      <c r="F1952" s="4">
        <v>43053</v>
      </c>
      <c r="G1952" s="3" t="s">
        <v>28</v>
      </c>
      <c r="H1952" s="5">
        <v>36663</v>
      </c>
      <c r="I1952" s="3" t="str">
        <f>VLOOKUP(Tabela1[[#This Row],[Advogado]],Tabela2[],2,FALSE)</f>
        <v>Renê Amaranto</v>
      </c>
      <c r="J1952" s="17">
        <f>IF(Tabela1[[#This Row],[Data de conclusão]]="",NETWORKDAYS(Tabela1[[#This Row],[Data de entrada]],$J$2),NETWORKDAYS(Tabela1[[#This Row],[Data de entrada]],Tabela1[[#This Row],[Data de conclusão]]))</f>
        <v>52</v>
      </c>
      <c r="K1952" s="1"/>
    </row>
    <row r="1953" spans="2:11" x14ac:dyDescent="0.25">
      <c r="B1953" s="3">
        <v>2060</v>
      </c>
      <c r="C1953" s="3" t="s">
        <v>9</v>
      </c>
      <c r="D1953" s="3" t="s">
        <v>15</v>
      </c>
      <c r="E1953" s="4">
        <v>42998</v>
      </c>
      <c r="F1953" s="4"/>
      <c r="G1953" s="3" t="s">
        <v>27</v>
      </c>
      <c r="H1953" s="5">
        <v>54733</v>
      </c>
      <c r="I1953" s="3" t="str">
        <f>VLOOKUP(Tabela1[[#This Row],[Advogado]],Tabela2[],2,FALSE)</f>
        <v>Renê Amaranto</v>
      </c>
      <c r="J1953" s="17">
        <f>IF(Tabela1[[#This Row],[Data de conclusão]]="",NETWORKDAYS(Tabela1[[#This Row],[Data de entrada]],$J$2),NETWORKDAYS(Tabela1[[#This Row],[Data de entrada]],Tabela1[[#This Row],[Data de conclusão]]))</f>
        <v>170</v>
      </c>
      <c r="K1953" s="1"/>
    </row>
    <row r="1954" spans="2:11" x14ac:dyDescent="0.25">
      <c r="B1954" s="3">
        <v>2061</v>
      </c>
      <c r="C1954" s="3" t="s">
        <v>7</v>
      </c>
      <c r="D1954" s="3" t="s">
        <v>16</v>
      </c>
      <c r="E1954" s="4">
        <v>43093</v>
      </c>
      <c r="F1954" s="4"/>
      <c r="G1954" s="3" t="s">
        <v>29</v>
      </c>
      <c r="H1954" s="5">
        <v>56646</v>
      </c>
      <c r="I1954" s="3" t="str">
        <f>VLOOKUP(Tabela1[[#This Row],[Advogado]],Tabela2[],2,FALSE)</f>
        <v>Renê Amaranto</v>
      </c>
      <c r="J1954" s="17">
        <f>IF(Tabela1[[#This Row],[Data de conclusão]]="",NETWORKDAYS(Tabela1[[#This Row],[Data de entrada]],$J$2),NETWORKDAYS(Tabela1[[#This Row],[Data de entrada]],Tabela1[[#This Row],[Data de conclusão]]))</f>
        <v>102</v>
      </c>
      <c r="K1954" s="1"/>
    </row>
    <row r="1955" spans="2:11" x14ac:dyDescent="0.25">
      <c r="B1955" s="3">
        <v>2062</v>
      </c>
      <c r="C1955" s="3" t="s">
        <v>8</v>
      </c>
      <c r="D1955" s="3" t="s">
        <v>17</v>
      </c>
      <c r="E1955" s="4">
        <v>42622</v>
      </c>
      <c r="F1955" s="4"/>
      <c r="G1955" s="3" t="s">
        <v>29</v>
      </c>
      <c r="H1955" s="5">
        <v>18817</v>
      </c>
      <c r="I1955" s="3" t="str">
        <f>VLOOKUP(Tabela1[[#This Row],[Advogado]],Tabela2[],2,FALSE)</f>
        <v>Renê Amaranto</v>
      </c>
      <c r="J1955" s="17">
        <f>IF(Tabela1[[#This Row],[Data de conclusão]]="",NETWORKDAYS(Tabela1[[#This Row],[Data de entrada]],$J$2),NETWORKDAYS(Tabela1[[#This Row],[Data de entrada]],Tabela1[[#This Row],[Data de conclusão]]))</f>
        <v>438</v>
      </c>
      <c r="K1955" s="1"/>
    </row>
    <row r="1956" spans="2:11" x14ac:dyDescent="0.25">
      <c r="B1956" s="3">
        <v>2063</v>
      </c>
      <c r="C1956" s="3" t="s">
        <v>9</v>
      </c>
      <c r="D1956" s="3" t="s">
        <v>10</v>
      </c>
      <c r="E1956" s="4">
        <v>42377</v>
      </c>
      <c r="F1956" s="4"/>
      <c r="G1956" s="3" t="s">
        <v>29</v>
      </c>
      <c r="H1956" s="5">
        <v>28998</v>
      </c>
      <c r="I1956" s="3" t="str">
        <f>VLOOKUP(Tabela1[[#This Row],[Advogado]],Tabela2[],2,FALSE)</f>
        <v>Caio Brito</v>
      </c>
      <c r="J1956" s="17">
        <f>IF(Tabela1[[#This Row],[Data de conclusão]]="",NETWORKDAYS(Tabela1[[#This Row],[Data de entrada]],$J$2),NETWORKDAYS(Tabela1[[#This Row],[Data de entrada]],Tabela1[[#This Row],[Data de conclusão]]))</f>
        <v>613</v>
      </c>
      <c r="K1956" s="1"/>
    </row>
    <row r="1957" spans="2:11" x14ac:dyDescent="0.25">
      <c r="B1957" s="3">
        <v>2064</v>
      </c>
      <c r="C1957" s="3" t="s">
        <v>7</v>
      </c>
      <c r="D1957" s="3" t="s">
        <v>11</v>
      </c>
      <c r="E1957" s="4">
        <v>42816</v>
      </c>
      <c r="F1957" s="4"/>
      <c r="G1957" s="3" t="s">
        <v>29</v>
      </c>
      <c r="H1957" s="5">
        <v>12702</v>
      </c>
      <c r="I1957" s="3" t="str">
        <f>VLOOKUP(Tabela1[[#This Row],[Advogado]],Tabela2[],2,FALSE)</f>
        <v>Caio Brito</v>
      </c>
      <c r="J1957" s="17">
        <f>IF(Tabela1[[#This Row],[Data de conclusão]]="",NETWORKDAYS(Tabela1[[#This Row],[Data de entrada]],$J$2),NETWORKDAYS(Tabela1[[#This Row],[Data de entrada]],Tabela1[[#This Row],[Data de conclusão]]))</f>
        <v>300</v>
      </c>
      <c r="K1957" s="1"/>
    </row>
    <row r="1958" spans="2:11" x14ac:dyDescent="0.25">
      <c r="B1958" s="3">
        <v>2065</v>
      </c>
      <c r="C1958" s="3" t="s">
        <v>8</v>
      </c>
      <c r="D1958" s="3" t="s">
        <v>12</v>
      </c>
      <c r="E1958" s="4">
        <v>42370</v>
      </c>
      <c r="F1958" s="4"/>
      <c r="G1958" s="3" t="s">
        <v>29</v>
      </c>
      <c r="H1958" s="5">
        <v>28674</v>
      </c>
      <c r="I1958" s="3" t="str">
        <f>VLOOKUP(Tabela1[[#This Row],[Advogado]],Tabela2[],2,FALSE)</f>
        <v>Caio Brito</v>
      </c>
      <c r="J1958" s="17">
        <f>IF(Tabela1[[#This Row],[Data de conclusão]]="",NETWORKDAYS(Tabela1[[#This Row],[Data de entrada]],$J$2),NETWORKDAYS(Tabela1[[#This Row],[Data de entrada]],Tabela1[[#This Row],[Data de conclusão]]))</f>
        <v>618</v>
      </c>
      <c r="K1958" s="1"/>
    </row>
    <row r="1959" spans="2:11" x14ac:dyDescent="0.25">
      <c r="B1959" s="3">
        <v>2066</v>
      </c>
      <c r="C1959" s="3" t="s">
        <v>9</v>
      </c>
      <c r="D1959" s="3" t="s">
        <v>13</v>
      </c>
      <c r="E1959" s="4">
        <v>42860</v>
      </c>
      <c r="F1959" s="4"/>
      <c r="G1959" s="3" t="s">
        <v>29</v>
      </c>
      <c r="H1959" s="5">
        <v>45509</v>
      </c>
      <c r="I1959" s="3" t="str">
        <f>VLOOKUP(Tabela1[[#This Row],[Advogado]],Tabela2[],2,FALSE)</f>
        <v>Caio Brito</v>
      </c>
      <c r="J1959" s="17">
        <f>IF(Tabela1[[#This Row],[Data de conclusão]]="",NETWORKDAYS(Tabela1[[#This Row],[Data de entrada]],$J$2),NETWORKDAYS(Tabela1[[#This Row],[Data de entrada]],Tabela1[[#This Row],[Data de conclusão]]))</f>
        <v>268</v>
      </c>
      <c r="K1959" s="1"/>
    </row>
    <row r="1960" spans="2:11" x14ac:dyDescent="0.25">
      <c r="B1960" s="3">
        <v>2067</v>
      </c>
      <c r="C1960" s="3" t="s">
        <v>7</v>
      </c>
      <c r="D1960" s="3" t="s">
        <v>14</v>
      </c>
      <c r="E1960" s="4">
        <v>42381</v>
      </c>
      <c r="F1960" s="4"/>
      <c r="G1960" s="3" t="s">
        <v>29</v>
      </c>
      <c r="H1960" s="5">
        <v>30031</v>
      </c>
      <c r="I1960" s="3" t="str">
        <f>VLOOKUP(Tabela1[[#This Row],[Advogado]],Tabela2[],2,FALSE)</f>
        <v>Renê Amaranto</v>
      </c>
      <c r="J1960" s="17">
        <f>IF(Tabela1[[#This Row],[Data de conclusão]]="",NETWORKDAYS(Tabela1[[#This Row],[Data de entrada]],$J$2),NETWORKDAYS(Tabela1[[#This Row],[Data de entrada]],Tabela1[[#This Row],[Data de conclusão]]))</f>
        <v>611</v>
      </c>
      <c r="K1960" s="1"/>
    </row>
    <row r="1961" spans="2:11" x14ac:dyDescent="0.25">
      <c r="B1961" s="3">
        <v>2068</v>
      </c>
      <c r="C1961" s="3" t="s">
        <v>8</v>
      </c>
      <c r="D1961" s="3" t="s">
        <v>15</v>
      </c>
      <c r="E1961" s="4">
        <v>42764</v>
      </c>
      <c r="F1961" s="4"/>
      <c r="G1961" s="3" t="s">
        <v>29</v>
      </c>
      <c r="H1961" s="5">
        <v>1154</v>
      </c>
      <c r="I1961" s="3" t="str">
        <f>VLOOKUP(Tabela1[[#This Row],[Advogado]],Tabela2[],2,FALSE)</f>
        <v>Renê Amaranto</v>
      </c>
      <c r="J1961" s="17">
        <f>IF(Tabela1[[#This Row],[Data de conclusão]]="",NETWORKDAYS(Tabela1[[#This Row],[Data de entrada]],$J$2),NETWORKDAYS(Tabela1[[#This Row],[Data de entrada]],Tabela1[[#This Row],[Data de conclusão]]))</f>
        <v>337</v>
      </c>
      <c r="K1961" s="1"/>
    </row>
    <row r="1962" spans="2:11" x14ac:dyDescent="0.25">
      <c r="B1962" s="3">
        <v>2069</v>
      </c>
      <c r="C1962" s="3" t="s">
        <v>9</v>
      </c>
      <c r="D1962" s="3" t="s">
        <v>16</v>
      </c>
      <c r="E1962" s="4">
        <v>43065</v>
      </c>
      <c r="F1962" s="4"/>
      <c r="G1962" s="3" t="s">
        <v>29</v>
      </c>
      <c r="H1962" s="5">
        <v>4592</v>
      </c>
      <c r="I1962" s="3" t="str">
        <f>VLOOKUP(Tabela1[[#This Row],[Advogado]],Tabela2[],2,FALSE)</f>
        <v>Renê Amaranto</v>
      </c>
      <c r="J1962" s="17">
        <f>IF(Tabela1[[#This Row],[Data de conclusão]]="",NETWORKDAYS(Tabela1[[#This Row],[Data de entrada]],$J$2),NETWORKDAYS(Tabela1[[#This Row],[Data de entrada]],Tabela1[[#This Row],[Data de conclusão]]))</f>
        <v>122</v>
      </c>
      <c r="K1962" s="1"/>
    </row>
    <row r="1963" spans="2:11" x14ac:dyDescent="0.25">
      <c r="B1963" s="3">
        <v>2070</v>
      </c>
      <c r="C1963" s="3" t="s">
        <v>7</v>
      </c>
      <c r="D1963" s="3" t="s">
        <v>17</v>
      </c>
      <c r="E1963" s="4">
        <v>42789</v>
      </c>
      <c r="F1963" s="4"/>
      <c r="G1963" s="3" t="s">
        <v>29</v>
      </c>
      <c r="H1963" s="5">
        <v>48404</v>
      </c>
      <c r="I1963" s="3" t="str">
        <f>VLOOKUP(Tabela1[[#This Row],[Advogado]],Tabela2[],2,FALSE)</f>
        <v>Renê Amaranto</v>
      </c>
      <c r="J1963" s="17">
        <f>IF(Tabela1[[#This Row],[Data de conclusão]]="",NETWORKDAYS(Tabela1[[#This Row],[Data de entrada]],$J$2),NETWORKDAYS(Tabela1[[#This Row],[Data de entrada]],Tabela1[[#This Row],[Data de conclusão]]))</f>
        <v>319</v>
      </c>
      <c r="K1963" s="1"/>
    </row>
    <row r="1964" spans="2:11" x14ac:dyDescent="0.25">
      <c r="B1964" s="3">
        <v>2071</v>
      </c>
      <c r="C1964" s="3" t="s">
        <v>8</v>
      </c>
      <c r="D1964" s="3" t="s">
        <v>10</v>
      </c>
      <c r="E1964" s="4">
        <v>42989</v>
      </c>
      <c r="F1964" s="4"/>
      <c r="G1964" s="3" t="s">
        <v>29</v>
      </c>
      <c r="H1964" s="5">
        <v>14868</v>
      </c>
      <c r="I1964" s="3" t="str">
        <f>VLOOKUP(Tabela1[[#This Row],[Advogado]],Tabela2[],2,FALSE)</f>
        <v>Caio Brito</v>
      </c>
      <c r="J1964" s="17">
        <f>IF(Tabela1[[#This Row],[Data de conclusão]]="",NETWORKDAYS(Tabela1[[#This Row],[Data de entrada]],$J$2),NETWORKDAYS(Tabela1[[#This Row],[Data de entrada]],Tabela1[[#This Row],[Data de conclusão]]))</f>
        <v>177</v>
      </c>
      <c r="K1964" s="1"/>
    </row>
    <row r="1965" spans="2:11" x14ac:dyDescent="0.25">
      <c r="B1965" s="3">
        <v>2072</v>
      </c>
      <c r="C1965" s="3" t="s">
        <v>9</v>
      </c>
      <c r="D1965" s="3" t="s">
        <v>11</v>
      </c>
      <c r="E1965" s="4">
        <v>42735</v>
      </c>
      <c r="F1965" s="4">
        <v>42800</v>
      </c>
      <c r="G1965" s="3" t="s">
        <v>28</v>
      </c>
      <c r="H1965" s="5">
        <v>29292</v>
      </c>
      <c r="I1965" s="3" t="str">
        <f>VLOOKUP(Tabela1[[#This Row],[Advogado]],Tabela2[],2,FALSE)</f>
        <v>Caio Brito</v>
      </c>
      <c r="J1965" s="17">
        <f>IF(Tabela1[[#This Row],[Data de conclusão]]="",NETWORKDAYS(Tabela1[[#This Row],[Data de entrada]],$J$2),NETWORKDAYS(Tabela1[[#This Row],[Data de entrada]],Tabela1[[#This Row],[Data de conclusão]]))</f>
        <v>46</v>
      </c>
      <c r="K1965" s="1"/>
    </row>
    <row r="1966" spans="2:11" x14ac:dyDescent="0.25">
      <c r="B1966" s="3">
        <v>2073</v>
      </c>
      <c r="C1966" s="3" t="s">
        <v>7</v>
      </c>
      <c r="D1966" s="3" t="s">
        <v>12</v>
      </c>
      <c r="E1966" s="4">
        <v>42622</v>
      </c>
      <c r="F1966" s="4"/>
      <c r="G1966" s="3" t="s">
        <v>27</v>
      </c>
      <c r="H1966" s="5">
        <v>23857</v>
      </c>
      <c r="I1966" s="3" t="str">
        <f>VLOOKUP(Tabela1[[#This Row],[Advogado]],Tabela2[],2,FALSE)</f>
        <v>Caio Brito</v>
      </c>
      <c r="J1966" s="17">
        <f>IF(Tabela1[[#This Row],[Data de conclusão]]="",NETWORKDAYS(Tabela1[[#This Row],[Data de entrada]],$J$2),NETWORKDAYS(Tabela1[[#This Row],[Data de entrada]],Tabela1[[#This Row],[Data de conclusão]]))</f>
        <v>438</v>
      </c>
      <c r="K1966" s="1"/>
    </row>
    <row r="1967" spans="2:11" x14ac:dyDescent="0.25">
      <c r="B1967" s="3">
        <v>2074</v>
      </c>
      <c r="C1967" s="3" t="s">
        <v>8</v>
      </c>
      <c r="D1967" s="3" t="s">
        <v>13</v>
      </c>
      <c r="E1967" s="4">
        <v>43031</v>
      </c>
      <c r="F1967" s="4"/>
      <c r="G1967" s="3" t="s">
        <v>29</v>
      </c>
      <c r="H1967" s="5">
        <v>40385</v>
      </c>
      <c r="I1967" s="3" t="str">
        <f>VLOOKUP(Tabela1[[#This Row],[Advogado]],Tabela2[],2,FALSE)</f>
        <v>Caio Brito</v>
      </c>
      <c r="J1967" s="17">
        <f>IF(Tabela1[[#This Row],[Data de conclusão]]="",NETWORKDAYS(Tabela1[[#This Row],[Data de entrada]],$J$2),NETWORKDAYS(Tabela1[[#This Row],[Data de entrada]],Tabela1[[#This Row],[Data de conclusão]]))</f>
        <v>147</v>
      </c>
      <c r="K1967" s="1"/>
    </row>
    <row r="1968" spans="2:11" x14ac:dyDescent="0.25">
      <c r="B1968" s="3">
        <v>2075</v>
      </c>
      <c r="C1968" s="3" t="s">
        <v>9</v>
      </c>
      <c r="D1968" s="3" t="s">
        <v>14</v>
      </c>
      <c r="E1968" s="4">
        <v>42794</v>
      </c>
      <c r="F1968" s="4"/>
      <c r="G1968" s="3" t="s">
        <v>29</v>
      </c>
      <c r="H1968" s="5">
        <v>40236</v>
      </c>
      <c r="I1968" s="3" t="str">
        <f>VLOOKUP(Tabela1[[#This Row],[Advogado]],Tabela2[],2,FALSE)</f>
        <v>Renê Amaranto</v>
      </c>
      <c r="J1968" s="17">
        <f>IF(Tabela1[[#This Row],[Data de conclusão]]="",NETWORKDAYS(Tabela1[[#This Row],[Data de entrada]],$J$2),NETWORKDAYS(Tabela1[[#This Row],[Data de entrada]],Tabela1[[#This Row],[Data de conclusão]]))</f>
        <v>316</v>
      </c>
      <c r="K1968" s="1"/>
    </row>
    <row r="1969" spans="2:11" x14ac:dyDescent="0.25">
      <c r="B1969" s="3">
        <v>2076</v>
      </c>
      <c r="C1969" s="3" t="s">
        <v>7</v>
      </c>
      <c r="D1969" s="3" t="s">
        <v>15</v>
      </c>
      <c r="E1969" s="4">
        <v>42614</v>
      </c>
      <c r="F1969" s="4"/>
      <c r="G1969" s="3" t="s">
        <v>29</v>
      </c>
      <c r="H1969" s="5">
        <v>14157</v>
      </c>
      <c r="I1969" s="3" t="str">
        <f>VLOOKUP(Tabela1[[#This Row],[Advogado]],Tabela2[],2,FALSE)</f>
        <v>Renê Amaranto</v>
      </c>
      <c r="J1969" s="17">
        <f>IF(Tabela1[[#This Row],[Data de conclusão]]="",NETWORKDAYS(Tabela1[[#This Row],[Data de entrada]],$J$2),NETWORKDAYS(Tabela1[[#This Row],[Data de entrada]],Tabela1[[#This Row],[Data de conclusão]]))</f>
        <v>444</v>
      </c>
      <c r="K1969" s="1"/>
    </row>
    <row r="1970" spans="2:11" x14ac:dyDescent="0.25">
      <c r="B1970" s="3">
        <v>2077</v>
      </c>
      <c r="C1970" s="3" t="s">
        <v>8</v>
      </c>
      <c r="D1970" s="3" t="s">
        <v>16</v>
      </c>
      <c r="E1970" s="4">
        <v>42918</v>
      </c>
      <c r="F1970" s="4"/>
      <c r="G1970" s="3" t="s">
        <v>29</v>
      </c>
      <c r="H1970" s="5">
        <v>47149</v>
      </c>
      <c r="I1970" s="3" t="str">
        <f>VLOOKUP(Tabela1[[#This Row],[Advogado]],Tabela2[],2,FALSE)</f>
        <v>Renê Amaranto</v>
      </c>
      <c r="J1970" s="17">
        <f>IF(Tabela1[[#This Row],[Data de conclusão]]="",NETWORKDAYS(Tabela1[[#This Row],[Data de entrada]],$J$2),NETWORKDAYS(Tabela1[[#This Row],[Data de entrada]],Tabela1[[#This Row],[Data de conclusão]]))</f>
        <v>227</v>
      </c>
      <c r="K1970" s="1"/>
    </row>
    <row r="1971" spans="2:11" x14ac:dyDescent="0.25">
      <c r="B1971" s="3">
        <v>2078</v>
      </c>
      <c r="C1971" s="3" t="s">
        <v>9</v>
      </c>
      <c r="D1971" s="3" t="s">
        <v>17</v>
      </c>
      <c r="E1971" s="4">
        <v>42897</v>
      </c>
      <c r="F1971" s="4"/>
      <c r="G1971" s="3" t="s">
        <v>29</v>
      </c>
      <c r="H1971" s="5">
        <v>59831</v>
      </c>
      <c r="I1971" s="3" t="str">
        <f>VLOOKUP(Tabela1[[#This Row],[Advogado]],Tabela2[],2,FALSE)</f>
        <v>Renê Amaranto</v>
      </c>
      <c r="J1971" s="17">
        <f>IF(Tabela1[[#This Row],[Data de conclusão]]="",NETWORKDAYS(Tabela1[[#This Row],[Data de entrada]],$J$2),NETWORKDAYS(Tabela1[[#This Row],[Data de entrada]],Tabela1[[#This Row],[Data de conclusão]]))</f>
        <v>242</v>
      </c>
      <c r="K1971" s="1"/>
    </row>
    <row r="1972" spans="2:11" x14ac:dyDescent="0.25">
      <c r="B1972" s="3">
        <v>2079</v>
      </c>
      <c r="C1972" s="3" t="s">
        <v>7</v>
      </c>
      <c r="D1972" s="3" t="s">
        <v>10</v>
      </c>
      <c r="E1972" s="4">
        <v>43016</v>
      </c>
      <c r="F1972" s="4"/>
      <c r="G1972" s="3" t="s">
        <v>29</v>
      </c>
      <c r="H1972" s="5">
        <v>38337</v>
      </c>
      <c r="I1972" s="3" t="str">
        <f>VLOOKUP(Tabela1[[#This Row],[Advogado]],Tabela2[],2,FALSE)</f>
        <v>Caio Brito</v>
      </c>
      <c r="J1972" s="17">
        <f>IF(Tabela1[[#This Row],[Data de conclusão]]="",NETWORKDAYS(Tabela1[[#This Row],[Data de entrada]],$J$2),NETWORKDAYS(Tabela1[[#This Row],[Data de entrada]],Tabela1[[#This Row],[Data de conclusão]]))</f>
        <v>157</v>
      </c>
      <c r="K1972" s="1"/>
    </row>
    <row r="1973" spans="2:11" x14ac:dyDescent="0.25">
      <c r="B1973" s="3">
        <v>2080</v>
      </c>
      <c r="C1973" s="3" t="s">
        <v>8</v>
      </c>
      <c r="D1973" s="3" t="s">
        <v>11</v>
      </c>
      <c r="E1973" s="4">
        <v>42808</v>
      </c>
      <c r="F1973" s="4"/>
      <c r="G1973" s="3" t="s">
        <v>29</v>
      </c>
      <c r="H1973" s="5">
        <v>18867</v>
      </c>
      <c r="I1973" s="3" t="str">
        <f>VLOOKUP(Tabela1[[#This Row],[Advogado]],Tabela2[],2,FALSE)</f>
        <v>Caio Brito</v>
      </c>
      <c r="J1973" s="17">
        <f>IF(Tabela1[[#This Row],[Data de conclusão]]="",NETWORKDAYS(Tabela1[[#This Row],[Data de entrada]],$J$2),NETWORKDAYS(Tabela1[[#This Row],[Data de entrada]],Tabela1[[#This Row],[Data de conclusão]]))</f>
        <v>306</v>
      </c>
      <c r="K1973" s="1"/>
    </row>
    <row r="1974" spans="2:11" x14ac:dyDescent="0.25">
      <c r="B1974" s="3">
        <v>2081</v>
      </c>
      <c r="C1974" s="3" t="s">
        <v>9</v>
      </c>
      <c r="D1974" s="3" t="s">
        <v>12</v>
      </c>
      <c r="E1974" s="4">
        <v>42877</v>
      </c>
      <c r="F1974" s="4"/>
      <c r="G1974" s="3" t="s">
        <v>29</v>
      </c>
      <c r="H1974" s="5">
        <v>28490</v>
      </c>
      <c r="I1974" s="3" t="str">
        <f>VLOOKUP(Tabela1[[#This Row],[Advogado]],Tabela2[],2,FALSE)</f>
        <v>Caio Brito</v>
      </c>
      <c r="J1974" s="17">
        <f>IF(Tabela1[[#This Row],[Data de conclusão]]="",NETWORKDAYS(Tabela1[[#This Row],[Data de entrada]],$J$2),NETWORKDAYS(Tabela1[[#This Row],[Data de entrada]],Tabela1[[#This Row],[Data de conclusão]]))</f>
        <v>257</v>
      </c>
      <c r="K1974" s="1"/>
    </row>
    <row r="1975" spans="2:11" x14ac:dyDescent="0.25">
      <c r="B1975" s="3">
        <v>2082</v>
      </c>
      <c r="C1975" s="3" t="s">
        <v>7</v>
      </c>
      <c r="D1975" s="3" t="s">
        <v>13</v>
      </c>
      <c r="E1975" s="4">
        <v>42658</v>
      </c>
      <c r="F1975" s="4"/>
      <c r="G1975" s="3" t="s">
        <v>29</v>
      </c>
      <c r="H1975" s="5">
        <v>50709</v>
      </c>
      <c r="I1975" s="3" t="str">
        <f>VLOOKUP(Tabela1[[#This Row],[Advogado]],Tabela2[],2,FALSE)</f>
        <v>Caio Brito</v>
      </c>
      <c r="J1975" s="17">
        <f>IF(Tabela1[[#This Row],[Data de conclusão]]="",NETWORKDAYS(Tabela1[[#This Row],[Data de entrada]],$J$2),NETWORKDAYS(Tabela1[[#This Row],[Data de entrada]],Tabela1[[#This Row],[Data de conclusão]]))</f>
        <v>412</v>
      </c>
      <c r="K1975" s="1"/>
    </row>
    <row r="1976" spans="2:11" x14ac:dyDescent="0.25">
      <c r="B1976" s="3">
        <v>2083</v>
      </c>
      <c r="C1976" s="3" t="s">
        <v>8</v>
      </c>
      <c r="D1976" s="3" t="s">
        <v>14</v>
      </c>
      <c r="E1976" s="4">
        <v>42778</v>
      </c>
      <c r="F1976" s="4"/>
      <c r="G1976" s="3" t="s">
        <v>29</v>
      </c>
      <c r="H1976" s="5">
        <v>55101</v>
      </c>
      <c r="I1976" s="3" t="str">
        <f>VLOOKUP(Tabela1[[#This Row],[Advogado]],Tabela2[],2,FALSE)</f>
        <v>Renê Amaranto</v>
      </c>
      <c r="J1976" s="17">
        <f>IF(Tabela1[[#This Row],[Data de conclusão]]="",NETWORKDAYS(Tabela1[[#This Row],[Data de entrada]],$J$2),NETWORKDAYS(Tabela1[[#This Row],[Data de entrada]],Tabela1[[#This Row],[Data de conclusão]]))</f>
        <v>327</v>
      </c>
      <c r="K1976" s="1"/>
    </row>
    <row r="1977" spans="2:11" x14ac:dyDescent="0.25">
      <c r="B1977" s="3">
        <v>2084</v>
      </c>
      <c r="C1977" s="3" t="s">
        <v>9</v>
      </c>
      <c r="D1977" s="3" t="s">
        <v>15</v>
      </c>
      <c r="E1977" s="4">
        <v>43078</v>
      </c>
      <c r="F1977" s="4"/>
      <c r="G1977" s="3" t="s">
        <v>29</v>
      </c>
      <c r="H1977" s="5">
        <v>4274</v>
      </c>
      <c r="I1977" s="3" t="str">
        <f>VLOOKUP(Tabela1[[#This Row],[Advogado]],Tabela2[],2,FALSE)</f>
        <v>Renê Amaranto</v>
      </c>
      <c r="J1977" s="17">
        <f>IF(Tabela1[[#This Row],[Data de conclusão]]="",NETWORKDAYS(Tabela1[[#This Row],[Data de entrada]],$J$2),NETWORKDAYS(Tabela1[[#This Row],[Data de entrada]],Tabela1[[#This Row],[Data de conclusão]]))</f>
        <v>112</v>
      </c>
      <c r="K1977" s="1"/>
    </row>
    <row r="1978" spans="2:11" x14ac:dyDescent="0.25">
      <c r="B1978" s="3">
        <v>2085</v>
      </c>
      <c r="C1978" s="3" t="s">
        <v>7</v>
      </c>
      <c r="D1978" s="3" t="s">
        <v>16</v>
      </c>
      <c r="E1978" s="4">
        <v>42541</v>
      </c>
      <c r="F1978" s="4">
        <v>42615</v>
      </c>
      <c r="G1978" s="3" t="s">
        <v>28</v>
      </c>
      <c r="H1978" s="5">
        <v>27547</v>
      </c>
      <c r="I1978" s="3" t="str">
        <f>VLOOKUP(Tabela1[[#This Row],[Advogado]],Tabela2[],2,FALSE)</f>
        <v>Renê Amaranto</v>
      </c>
      <c r="J1978" s="17">
        <f>IF(Tabela1[[#This Row],[Data de conclusão]]="",NETWORKDAYS(Tabela1[[#This Row],[Data de entrada]],$J$2),NETWORKDAYS(Tabela1[[#This Row],[Data de entrada]],Tabela1[[#This Row],[Data de conclusão]]))</f>
        <v>55</v>
      </c>
      <c r="K1978" s="1"/>
    </row>
    <row r="1979" spans="2:11" x14ac:dyDescent="0.25">
      <c r="B1979" s="3">
        <v>2086</v>
      </c>
      <c r="C1979" s="3" t="s">
        <v>8</v>
      </c>
      <c r="D1979" s="3" t="s">
        <v>17</v>
      </c>
      <c r="E1979" s="4">
        <v>42458</v>
      </c>
      <c r="F1979" s="4"/>
      <c r="G1979" s="3" t="s">
        <v>27</v>
      </c>
      <c r="H1979" s="5">
        <v>52529</v>
      </c>
      <c r="I1979" s="3" t="str">
        <f>VLOOKUP(Tabela1[[#This Row],[Advogado]],Tabela2[],2,FALSE)</f>
        <v>Renê Amaranto</v>
      </c>
      <c r="J1979" s="17">
        <f>IF(Tabela1[[#This Row],[Data de conclusão]]="",NETWORKDAYS(Tabela1[[#This Row],[Data de entrada]],$J$2),NETWORKDAYS(Tabela1[[#This Row],[Data de entrada]],Tabela1[[#This Row],[Data de conclusão]]))</f>
        <v>556</v>
      </c>
      <c r="K1979" s="1"/>
    </row>
    <row r="1980" spans="2:11" x14ac:dyDescent="0.25">
      <c r="B1980" s="3">
        <v>2087</v>
      </c>
      <c r="C1980" s="3" t="s">
        <v>9</v>
      </c>
      <c r="D1980" s="3" t="s">
        <v>10</v>
      </c>
      <c r="E1980" s="4">
        <v>42438</v>
      </c>
      <c r="F1980" s="4"/>
      <c r="G1980" s="3" t="s">
        <v>29</v>
      </c>
      <c r="H1980" s="5">
        <v>29141</v>
      </c>
      <c r="I1980" s="3" t="str">
        <f>VLOOKUP(Tabela1[[#This Row],[Advogado]],Tabela2[],2,FALSE)</f>
        <v>Caio Brito</v>
      </c>
      <c r="J1980" s="17">
        <f>IF(Tabela1[[#This Row],[Data de conclusão]]="",NETWORKDAYS(Tabela1[[#This Row],[Data de entrada]],$J$2),NETWORKDAYS(Tabela1[[#This Row],[Data de entrada]],Tabela1[[#This Row],[Data de conclusão]]))</f>
        <v>570</v>
      </c>
      <c r="K1980" s="1"/>
    </row>
    <row r="1981" spans="2:11" x14ac:dyDescent="0.25">
      <c r="B1981" s="3">
        <v>2088</v>
      </c>
      <c r="C1981" s="3" t="s">
        <v>7</v>
      </c>
      <c r="D1981" s="3" t="s">
        <v>11</v>
      </c>
      <c r="E1981" s="4">
        <v>42928</v>
      </c>
      <c r="F1981" s="4"/>
      <c r="G1981" s="3" t="s">
        <v>29</v>
      </c>
      <c r="H1981" s="5">
        <v>3841</v>
      </c>
      <c r="I1981" s="3" t="str">
        <f>VLOOKUP(Tabela1[[#This Row],[Advogado]],Tabela2[],2,FALSE)</f>
        <v>Caio Brito</v>
      </c>
      <c r="J1981" s="17">
        <f>IF(Tabela1[[#This Row],[Data de conclusão]]="",NETWORKDAYS(Tabela1[[#This Row],[Data de entrada]],$J$2),NETWORKDAYS(Tabela1[[#This Row],[Data de entrada]],Tabela1[[#This Row],[Data de conclusão]]))</f>
        <v>220</v>
      </c>
      <c r="K1981" s="1"/>
    </row>
    <row r="1982" spans="2:11" x14ac:dyDescent="0.25">
      <c r="B1982" s="3">
        <v>2089</v>
      </c>
      <c r="C1982" s="3" t="s">
        <v>8</v>
      </c>
      <c r="D1982" s="3" t="s">
        <v>12</v>
      </c>
      <c r="E1982" s="4">
        <v>42830</v>
      </c>
      <c r="F1982" s="4"/>
      <c r="G1982" s="3" t="s">
        <v>29</v>
      </c>
      <c r="H1982" s="5">
        <v>9691</v>
      </c>
      <c r="I1982" s="3" t="str">
        <f>VLOOKUP(Tabela1[[#This Row],[Advogado]],Tabela2[],2,FALSE)</f>
        <v>Caio Brito</v>
      </c>
      <c r="J1982" s="17">
        <f>IF(Tabela1[[#This Row],[Data de conclusão]]="",NETWORKDAYS(Tabela1[[#This Row],[Data de entrada]],$J$2),NETWORKDAYS(Tabela1[[#This Row],[Data de entrada]],Tabela1[[#This Row],[Data de conclusão]]))</f>
        <v>290</v>
      </c>
      <c r="K1982" s="1"/>
    </row>
    <row r="1983" spans="2:11" x14ac:dyDescent="0.25">
      <c r="B1983" s="3">
        <v>2090</v>
      </c>
      <c r="C1983" s="3" t="s">
        <v>9</v>
      </c>
      <c r="D1983" s="3" t="s">
        <v>13</v>
      </c>
      <c r="E1983" s="4">
        <v>42966</v>
      </c>
      <c r="F1983" s="4"/>
      <c r="G1983" s="3" t="s">
        <v>29</v>
      </c>
      <c r="H1983" s="5">
        <v>1163</v>
      </c>
      <c r="I1983" s="3" t="str">
        <f>VLOOKUP(Tabela1[[#This Row],[Advogado]],Tabela2[],2,FALSE)</f>
        <v>Caio Brito</v>
      </c>
      <c r="J1983" s="17">
        <f>IF(Tabela1[[#This Row],[Data de conclusão]]="",NETWORKDAYS(Tabela1[[#This Row],[Data de entrada]],$J$2),NETWORKDAYS(Tabela1[[#This Row],[Data de entrada]],Tabela1[[#This Row],[Data de conclusão]]))</f>
        <v>192</v>
      </c>
      <c r="K1983" s="1"/>
    </row>
    <row r="1984" spans="2:11" x14ac:dyDescent="0.25">
      <c r="B1984" s="3">
        <v>2091</v>
      </c>
      <c r="C1984" s="3" t="s">
        <v>7</v>
      </c>
      <c r="D1984" s="3" t="s">
        <v>14</v>
      </c>
      <c r="E1984" s="4">
        <v>42566</v>
      </c>
      <c r="F1984" s="4"/>
      <c r="G1984" s="3" t="s">
        <v>29</v>
      </c>
      <c r="H1984" s="5">
        <v>35235</v>
      </c>
      <c r="I1984" s="3" t="str">
        <f>VLOOKUP(Tabela1[[#This Row],[Advogado]],Tabela2[],2,FALSE)</f>
        <v>Renê Amaranto</v>
      </c>
      <c r="J1984" s="17">
        <f>IF(Tabela1[[#This Row],[Data de conclusão]]="",NETWORKDAYS(Tabela1[[#This Row],[Data de entrada]],$J$2),NETWORKDAYS(Tabela1[[#This Row],[Data de entrada]],Tabela1[[#This Row],[Data de conclusão]]))</f>
        <v>478</v>
      </c>
      <c r="K1984" s="1"/>
    </row>
    <row r="1985" spans="2:11" x14ac:dyDescent="0.25">
      <c r="B1985" s="3">
        <v>2092</v>
      </c>
      <c r="C1985" s="3" t="s">
        <v>8</v>
      </c>
      <c r="D1985" s="3" t="s">
        <v>15</v>
      </c>
      <c r="E1985" s="4">
        <v>43075</v>
      </c>
      <c r="F1985" s="4"/>
      <c r="G1985" s="3" t="s">
        <v>29</v>
      </c>
      <c r="H1985" s="5">
        <v>50981</v>
      </c>
      <c r="I1985" s="3" t="str">
        <f>VLOOKUP(Tabela1[[#This Row],[Advogado]],Tabela2[],2,FALSE)</f>
        <v>Renê Amaranto</v>
      </c>
      <c r="J1985" s="17">
        <f>IF(Tabela1[[#This Row],[Data de conclusão]]="",NETWORKDAYS(Tabela1[[#This Row],[Data de entrada]],$J$2),NETWORKDAYS(Tabela1[[#This Row],[Data de entrada]],Tabela1[[#This Row],[Data de conclusão]]))</f>
        <v>115</v>
      </c>
      <c r="K1985" s="1"/>
    </row>
    <row r="1986" spans="2:11" x14ac:dyDescent="0.25">
      <c r="B1986" s="3">
        <v>2093</v>
      </c>
      <c r="C1986" s="3" t="s">
        <v>9</v>
      </c>
      <c r="D1986" s="3" t="s">
        <v>16</v>
      </c>
      <c r="E1986" s="4">
        <v>42711</v>
      </c>
      <c r="F1986" s="4"/>
      <c r="G1986" s="3" t="s">
        <v>29</v>
      </c>
      <c r="H1986" s="5">
        <v>42906</v>
      </c>
      <c r="I1986" s="3" t="str">
        <f>VLOOKUP(Tabela1[[#This Row],[Advogado]],Tabela2[],2,FALSE)</f>
        <v>Renê Amaranto</v>
      </c>
      <c r="J1986" s="17">
        <f>IF(Tabela1[[#This Row],[Data de conclusão]]="",NETWORKDAYS(Tabela1[[#This Row],[Data de entrada]],$J$2),NETWORKDAYS(Tabela1[[#This Row],[Data de entrada]],Tabela1[[#This Row],[Data de conclusão]]))</f>
        <v>375</v>
      </c>
      <c r="K1986" s="1"/>
    </row>
    <row r="1987" spans="2:11" x14ac:dyDescent="0.25">
      <c r="B1987" s="3">
        <v>2094</v>
      </c>
      <c r="C1987" s="3" t="s">
        <v>7</v>
      </c>
      <c r="D1987" s="3" t="s">
        <v>17</v>
      </c>
      <c r="E1987" s="4">
        <v>43015</v>
      </c>
      <c r="F1987" s="4"/>
      <c r="G1987" s="3" t="s">
        <v>29</v>
      </c>
      <c r="H1987" s="5">
        <v>32216</v>
      </c>
      <c r="I1987" s="3" t="str">
        <f>VLOOKUP(Tabela1[[#This Row],[Advogado]],Tabela2[],2,FALSE)</f>
        <v>Renê Amaranto</v>
      </c>
      <c r="J1987" s="17">
        <f>IF(Tabela1[[#This Row],[Data de conclusão]]="",NETWORKDAYS(Tabela1[[#This Row],[Data de entrada]],$J$2),NETWORKDAYS(Tabela1[[#This Row],[Data de entrada]],Tabela1[[#This Row],[Data de conclusão]]))</f>
        <v>157</v>
      </c>
      <c r="K1987" s="1"/>
    </row>
    <row r="1988" spans="2:11" x14ac:dyDescent="0.25">
      <c r="B1988" s="3">
        <v>2095</v>
      </c>
      <c r="C1988" s="3" t="s">
        <v>8</v>
      </c>
      <c r="D1988" s="3" t="s">
        <v>10</v>
      </c>
      <c r="E1988" s="4">
        <v>42923</v>
      </c>
      <c r="F1988" s="4"/>
      <c r="G1988" s="3" t="s">
        <v>29</v>
      </c>
      <c r="H1988" s="5">
        <v>10082</v>
      </c>
      <c r="I1988" s="3" t="str">
        <f>VLOOKUP(Tabela1[[#This Row],[Advogado]],Tabela2[],2,FALSE)</f>
        <v>Caio Brito</v>
      </c>
      <c r="J1988" s="17">
        <f>IF(Tabela1[[#This Row],[Data de conclusão]]="",NETWORKDAYS(Tabela1[[#This Row],[Data de entrada]],$J$2),NETWORKDAYS(Tabela1[[#This Row],[Data de entrada]],Tabela1[[#This Row],[Data de conclusão]]))</f>
        <v>223</v>
      </c>
      <c r="K1988" s="1"/>
    </row>
    <row r="1989" spans="2:11" x14ac:dyDescent="0.25">
      <c r="B1989" s="3">
        <v>2096</v>
      </c>
      <c r="C1989" s="3" t="s">
        <v>9</v>
      </c>
      <c r="D1989" s="3" t="s">
        <v>11</v>
      </c>
      <c r="E1989" s="4">
        <v>42713</v>
      </c>
      <c r="F1989" s="4"/>
      <c r="G1989" s="3" t="s">
        <v>29</v>
      </c>
      <c r="H1989" s="5">
        <v>53485</v>
      </c>
      <c r="I1989" s="3" t="str">
        <f>VLOOKUP(Tabela1[[#This Row],[Advogado]],Tabela2[],2,FALSE)</f>
        <v>Caio Brito</v>
      </c>
      <c r="J1989" s="17">
        <f>IF(Tabela1[[#This Row],[Data de conclusão]]="",NETWORKDAYS(Tabela1[[#This Row],[Data de entrada]],$J$2),NETWORKDAYS(Tabela1[[#This Row],[Data de entrada]],Tabela1[[#This Row],[Data de conclusão]]))</f>
        <v>373</v>
      </c>
      <c r="K1989" s="1"/>
    </row>
    <row r="1990" spans="2:11" x14ac:dyDescent="0.25">
      <c r="B1990" s="3">
        <v>2097</v>
      </c>
      <c r="C1990" s="3" t="s">
        <v>7</v>
      </c>
      <c r="D1990" s="3" t="s">
        <v>12</v>
      </c>
      <c r="E1990" s="4">
        <v>42803</v>
      </c>
      <c r="F1990" s="4"/>
      <c r="G1990" s="3" t="s">
        <v>29</v>
      </c>
      <c r="H1990" s="5">
        <v>14093</v>
      </c>
      <c r="I1990" s="3" t="str">
        <f>VLOOKUP(Tabela1[[#This Row],[Advogado]],Tabela2[],2,FALSE)</f>
        <v>Caio Brito</v>
      </c>
      <c r="J1990" s="17">
        <f>IF(Tabela1[[#This Row],[Data de conclusão]]="",NETWORKDAYS(Tabela1[[#This Row],[Data de entrada]],$J$2),NETWORKDAYS(Tabela1[[#This Row],[Data de entrada]],Tabela1[[#This Row],[Data de conclusão]]))</f>
        <v>309</v>
      </c>
      <c r="K1990" s="1"/>
    </row>
    <row r="1991" spans="2:11" x14ac:dyDescent="0.25">
      <c r="B1991" s="3">
        <v>2098</v>
      </c>
      <c r="C1991" s="3" t="s">
        <v>8</v>
      </c>
      <c r="D1991" s="3" t="s">
        <v>13</v>
      </c>
      <c r="E1991" s="4">
        <v>42870</v>
      </c>
      <c r="F1991" s="4">
        <v>42914</v>
      </c>
      <c r="G1991" s="3" t="s">
        <v>28</v>
      </c>
      <c r="H1991" s="5">
        <v>31631</v>
      </c>
      <c r="I1991" s="3" t="str">
        <f>VLOOKUP(Tabela1[[#This Row],[Advogado]],Tabela2[],2,FALSE)</f>
        <v>Caio Brito</v>
      </c>
      <c r="J1991" s="17">
        <f>IF(Tabela1[[#This Row],[Data de conclusão]]="",NETWORKDAYS(Tabela1[[#This Row],[Data de entrada]],$J$2),NETWORKDAYS(Tabela1[[#This Row],[Data de entrada]],Tabela1[[#This Row],[Data de conclusão]]))</f>
        <v>33</v>
      </c>
      <c r="K1991" s="1"/>
    </row>
    <row r="1992" spans="2:11" x14ac:dyDescent="0.25">
      <c r="B1992" s="3">
        <v>2099</v>
      </c>
      <c r="C1992" s="3" t="s">
        <v>9</v>
      </c>
      <c r="D1992" s="3" t="s">
        <v>14</v>
      </c>
      <c r="E1992" s="4">
        <v>42518</v>
      </c>
      <c r="F1992" s="4"/>
      <c r="G1992" s="3" t="s">
        <v>27</v>
      </c>
      <c r="H1992" s="5">
        <v>33016</v>
      </c>
      <c r="I1992" s="3" t="str">
        <f>VLOOKUP(Tabela1[[#This Row],[Advogado]],Tabela2[],2,FALSE)</f>
        <v>Renê Amaranto</v>
      </c>
      <c r="J1992" s="17">
        <f>IF(Tabela1[[#This Row],[Data de conclusão]]="",NETWORKDAYS(Tabela1[[#This Row],[Data de entrada]],$J$2),NETWORKDAYS(Tabela1[[#This Row],[Data de entrada]],Tabela1[[#This Row],[Data de conclusão]]))</f>
        <v>512</v>
      </c>
      <c r="K1992" s="1"/>
    </row>
    <row r="1993" spans="2:11" x14ac:dyDescent="0.25">
      <c r="B1993" s="3">
        <v>2100</v>
      </c>
      <c r="C1993" s="3" t="s">
        <v>7</v>
      </c>
      <c r="D1993" s="3" t="s">
        <v>15</v>
      </c>
      <c r="E1993" s="4">
        <v>42527</v>
      </c>
      <c r="F1993" s="4"/>
      <c r="G1993" s="3" t="s">
        <v>29</v>
      </c>
      <c r="H1993" s="5">
        <v>18843</v>
      </c>
      <c r="I1993" s="3" t="str">
        <f>VLOOKUP(Tabela1[[#This Row],[Advogado]],Tabela2[],2,FALSE)</f>
        <v>Renê Amaranto</v>
      </c>
      <c r="J1993" s="17">
        <f>IF(Tabela1[[#This Row],[Data de conclusão]]="",NETWORKDAYS(Tabela1[[#This Row],[Data de entrada]],$J$2),NETWORKDAYS(Tabela1[[#This Row],[Data de entrada]],Tabela1[[#This Row],[Data de conclusão]]))</f>
        <v>507</v>
      </c>
      <c r="K1993" s="1"/>
    </row>
    <row r="1994" spans="2:11" x14ac:dyDescent="0.25">
      <c r="B1994" s="3">
        <v>2101</v>
      </c>
      <c r="C1994" s="3" t="s">
        <v>8</v>
      </c>
      <c r="D1994" s="3" t="s">
        <v>16</v>
      </c>
      <c r="E1994" s="4">
        <v>43024</v>
      </c>
      <c r="F1994" s="4"/>
      <c r="G1994" s="3" t="s">
        <v>29</v>
      </c>
      <c r="H1994" s="5">
        <v>20070</v>
      </c>
      <c r="I1994" s="3" t="str">
        <f>VLOOKUP(Tabela1[[#This Row],[Advogado]],Tabela2[],2,FALSE)</f>
        <v>Renê Amaranto</v>
      </c>
      <c r="J1994" s="17">
        <f>IF(Tabela1[[#This Row],[Data de conclusão]]="",NETWORKDAYS(Tabela1[[#This Row],[Data de entrada]],$J$2),NETWORKDAYS(Tabela1[[#This Row],[Data de entrada]],Tabela1[[#This Row],[Data de conclusão]]))</f>
        <v>152</v>
      </c>
      <c r="K1994" s="1"/>
    </row>
    <row r="1995" spans="2:11" x14ac:dyDescent="0.25">
      <c r="B1995" s="3">
        <v>2102</v>
      </c>
      <c r="C1995" s="3" t="s">
        <v>9</v>
      </c>
      <c r="D1995" s="3" t="s">
        <v>17</v>
      </c>
      <c r="E1995" s="4">
        <v>42893</v>
      </c>
      <c r="F1995" s="4"/>
      <c r="G1995" s="3" t="s">
        <v>29</v>
      </c>
      <c r="H1995" s="5">
        <v>642</v>
      </c>
      <c r="I1995" s="3" t="str">
        <f>VLOOKUP(Tabela1[[#This Row],[Advogado]],Tabela2[],2,FALSE)</f>
        <v>Renê Amaranto</v>
      </c>
      <c r="J1995" s="17">
        <f>IF(Tabela1[[#This Row],[Data de conclusão]]="",NETWORKDAYS(Tabela1[[#This Row],[Data de entrada]],$J$2),NETWORKDAYS(Tabela1[[#This Row],[Data de entrada]],Tabela1[[#This Row],[Data de conclusão]]))</f>
        <v>245</v>
      </c>
      <c r="K1995" s="1"/>
    </row>
    <row r="1996" spans="2:11" x14ac:dyDescent="0.25">
      <c r="B1996" s="3">
        <v>2103</v>
      </c>
      <c r="C1996" s="3" t="s">
        <v>7</v>
      </c>
      <c r="D1996" s="3" t="s">
        <v>10</v>
      </c>
      <c r="E1996" s="4">
        <v>42734</v>
      </c>
      <c r="F1996" s="4"/>
      <c r="G1996" s="3" t="s">
        <v>29</v>
      </c>
      <c r="H1996" s="5">
        <v>39403</v>
      </c>
      <c r="I1996" s="3" t="str">
        <f>VLOOKUP(Tabela1[[#This Row],[Advogado]],Tabela2[],2,FALSE)</f>
        <v>Caio Brito</v>
      </c>
      <c r="J1996" s="17">
        <f>IF(Tabela1[[#This Row],[Data de conclusão]]="",NETWORKDAYS(Tabela1[[#This Row],[Data de entrada]],$J$2),NETWORKDAYS(Tabela1[[#This Row],[Data de entrada]],Tabela1[[#This Row],[Data de conclusão]]))</f>
        <v>358</v>
      </c>
      <c r="K1996" s="1"/>
    </row>
    <row r="1997" spans="2:11" x14ac:dyDescent="0.25">
      <c r="B1997" s="3">
        <v>2104</v>
      </c>
      <c r="C1997" s="3" t="s">
        <v>8</v>
      </c>
      <c r="D1997" s="3" t="s">
        <v>11</v>
      </c>
      <c r="E1997" s="4">
        <v>42920</v>
      </c>
      <c r="F1997" s="4"/>
      <c r="G1997" s="3" t="s">
        <v>29</v>
      </c>
      <c r="H1997" s="5">
        <v>55962</v>
      </c>
      <c r="I1997" s="3" t="str">
        <f>VLOOKUP(Tabela1[[#This Row],[Advogado]],Tabela2[],2,FALSE)</f>
        <v>Caio Brito</v>
      </c>
      <c r="J1997" s="17">
        <f>IF(Tabela1[[#This Row],[Data de conclusão]]="",NETWORKDAYS(Tabela1[[#This Row],[Data de entrada]],$J$2),NETWORKDAYS(Tabela1[[#This Row],[Data de entrada]],Tabela1[[#This Row],[Data de conclusão]]))</f>
        <v>226</v>
      </c>
      <c r="K1997" s="1"/>
    </row>
    <row r="1998" spans="2:11" x14ac:dyDescent="0.25">
      <c r="B1998" s="3">
        <v>2105</v>
      </c>
      <c r="C1998" s="3" t="s">
        <v>9</v>
      </c>
      <c r="D1998" s="3" t="s">
        <v>12</v>
      </c>
      <c r="E1998" s="4">
        <v>42400</v>
      </c>
      <c r="F1998" s="4"/>
      <c r="G1998" s="3" t="s">
        <v>29</v>
      </c>
      <c r="H1998" s="5">
        <v>31370</v>
      </c>
      <c r="I1998" s="3" t="str">
        <f>VLOOKUP(Tabela1[[#This Row],[Advogado]],Tabela2[],2,FALSE)</f>
        <v>Caio Brito</v>
      </c>
      <c r="J1998" s="17">
        <f>IF(Tabela1[[#This Row],[Data de conclusão]]="",NETWORKDAYS(Tabela1[[#This Row],[Data de entrada]],$J$2),NETWORKDAYS(Tabela1[[#This Row],[Data de entrada]],Tabela1[[#This Row],[Data de conclusão]]))</f>
        <v>597</v>
      </c>
      <c r="K1998" s="1"/>
    </row>
    <row r="1999" spans="2:11" x14ac:dyDescent="0.25">
      <c r="B1999" s="3">
        <v>2106</v>
      </c>
      <c r="C1999" s="3" t="s">
        <v>7</v>
      </c>
      <c r="D1999" s="3" t="s">
        <v>13</v>
      </c>
      <c r="E1999" s="4">
        <v>43097</v>
      </c>
      <c r="F1999" s="4"/>
      <c r="G1999" s="3" t="s">
        <v>29</v>
      </c>
      <c r="H1999" s="5">
        <v>47792</v>
      </c>
      <c r="I1999" s="3" t="str">
        <f>VLOOKUP(Tabela1[[#This Row],[Advogado]],Tabela2[],2,FALSE)</f>
        <v>Caio Brito</v>
      </c>
      <c r="J1999" s="17">
        <f>IF(Tabela1[[#This Row],[Data de conclusão]]="",NETWORKDAYS(Tabela1[[#This Row],[Data de entrada]],$J$2),NETWORKDAYS(Tabela1[[#This Row],[Data de entrada]],Tabela1[[#This Row],[Data de conclusão]]))</f>
        <v>99</v>
      </c>
      <c r="K1999" s="1"/>
    </row>
    <row r="2000" spans="2:11" x14ac:dyDescent="0.25">
      <c r="B2000" s="3">
        <v>2107</v>
      </c>
      <c r="C2000" s="3" t="s">
        <v>8</v>
      </c>
      <c r="D2000" s="3" t="s">
        <v>14</v>
      </c>
      <c r="E2000" s="4">
        <v>42765</v>
      </c>
      <c r="F2000" s="4"/>
      <c r="G2000" s="3" t="s">
        <v>29</v>
      </c>
      <c r="H2000" s="5">
        <v>20164</v>
      </c>
      <c r="I2000" s="3" t="str">
        <f>VLOOKUP(Tabela1[[#This Row],[Advogado]],Tabela2[],2,FALSE)</f>
        <v>Renê Amaranto</v>
      </c>
      <c r="J2000" s="17">
        <f>IF(Tabela1[[#This Row],[Data de conclusão]]="",NETWORKDAYS(Tabela1[[#This Row],[Data de entrada]],$J$2),NETWORKDAYS(Tabela1[[#This Row],[Data de entrada]],Tabela1[[#This Row],[Data de conclusão]]))</f>
        <v>337</v>
      </c>
      <c r="K2000" s="1"/>
    </row>
    <row r="2001" spans="2:11" x14ac:dyDescent="0.25">
      <c r="B2001" s="3">
        <v>2108</v>
      </c>
      <c r="C2001" s="3" t="s">
        <v>9</v>
      </c>
      <c r="D2001" s="3" t="s">
        <v>15</v>
      </c>
      <c r="E2001" s="4">
        <v>42433</v>
      </c>
      <c r="F2001" s="4"/>
      <c r="G2001" s="3" t="s">
        <v>29</v>
      </c>
      <c r="H2001" s="5">
        <v>37497</v>
      </c>
      <c r="I2001" s="3" t="str">
        <f>VLOOKUP(Tabela1[[#This Row],[Advogado]],Tabela2[],2,FALSE)</f>
        <v>Renê Amaranto</v>
      </c>
      <c r="J2001" s="17">
        <f>IF(Tabela1[[#This Row],[Data de conclusão]]="",NETWORKDAYS(Tabela1[[#This Row],[Data de entrada]],$J$2),NETWORKDAYS(Tabela1[[#This Row],[Data de entrada]],Tabela1[[#This Row],[Data de conclusão]]))</f>
        <v>573</v>
      </c>
      <c r="K2001" s="1"/>
    </row>
    <row r="2002" spans="2:11" x14ac:dyDescent="0.25">
      <c r="B2002" s="3">
        <v>2109</v>
      </c>
      <c r="C2002" s="3" t="s">
        <v>7</v>
      </c>
      <c r="D2002" s="3" t="s">
        <v>16</v>
      </c>
      <c r="E2002" s="4">
        <v>42468</v>
      </c>
      <c r="F2002" s="4"/>
      <c r="G2002" s="3" t="s">
        <v>29</v>
      </c>
      <c r="H2002" s="5">
        <v>34391</v>
      </c>
      <c r="I2002" s="3" t="str">
        <f>VLOOKUP(Tabela1[[#This Row],[Advogado]],Tabela2[],2,FALSE)</f>
        <v>Renê Amaranto</v>
      </c>
      <c r="J2002" s="17">
        <f>IF(Tabela1[[#This Row],[Data de conclusão]]="",NETWORKDAYS(Tabela1[[#This Row],[Data de entrada]],$J$2),NETWORKDAYS(Tabela1[[#This Row],[Data de entrada]],Tabela1[[#This Row],[Data de conclusão]]))</f>
        <v>548</v>
      </c>
      <c r="K2002" s="1"/>
    </row>
    <row r="2003" spans="2:11" x14ac:dyDescent="0.25">
      <c r="B2003" s="3">
        <v>2110</v>
      </c>
      <c r="C2003" s="3" t="s">
        <v>8</v>
      </c>
      <c r="D2003" s="3" t="s">
        <v>17</v>
      </c>
      <c r="E2003" s="4">
        <v>42916</v>
      </c>
      <c r="F2003" s="4"/>
      <c r="G2003" s="3" t="s">
        <v>29</v>
      </c>
      <c r="H2003" s="5">
        <v>24645</v>
      </c>
      <c r="I2003" s="3" t="str">
        <f>VLOOKUP(Tabela1[[#This Row],[Advogado]],Tabela2[],2,FALSE)</f>
        <v>Renê Amaranto</v>
      </c>
      <c r="J2003" s="17">
        <f>IF(Tabela1[[#This Row],[Data de conclusão]]="",NETWORKDAYS(Tabela1[[#This Row],[Data de entrada]],$J$2),NETWORKDAYS(Tabela1[[#This Row],[Data de entrada]],Tabela1[[#This Row],[Data de conclusão]]))</f>
        <v>228</v>
      </c>
      <c r="K2003" s="1"/>
    </row>
    <row r="2004" spans="2:11" x14ac:dyDescent="0.25">
      <c r="B2004" s="3">
        <v>2111</v>
      </c>
      <c r="C2004" s="3" t="s">
        <v>9</v>
      </c>
      <c r="D2004" s="3" t="s">
        <v>10</v>
      </c>
      <c r="E2004" s="4">
        <v>42484</v>
      </c>
      <c r="F2004" s="4">
        <v>42534</v>
      </c>
      <c r="G2004" s="3" t="s">
        <v>28</v>
      </c>
      <c r="H2004" s="5">
        <v>46776</v>
      </c>
      <c r="I2004" s="3" t="str">
        <f>VLOOKUP(Tabela1[[#This Row],[Advogado]],Tabela2[],2,FALSE)</f>
        <v>Caio Brito</v>
      </c>
      <c r="J2004" s="17">
        <f>IF(Tabela1[[#This Row],[Data de conclusão]]="",NETWORKDAYS(Tabela1[[#This Row],[Data de entrada]],$J$2),NETWORKDAYS(Tabela1[[#This Row],[Data de entrada]],Tabela1[[#This Row],[Data de conclusão]]))</f>
        <v>36</v>
      </c>
      <c r="K2004" s="1"/>
    </row>
    <row r="2005" spans="2:11" x14ac:dyDescent="0.25">
      <c r="B2005" s="3">
        <v>2112</v>
      </c>
      <c r="C2005" s="3" t="s">
        <v>7</v>
      </c>
      <c r="D2005" s="3" t="s">
        <v>11</v>
      </c>
      <c r="E2005" s="4">
        <v>42417</v>
      </c>
      <c r="F2005" s="4"/>
      <c r="G2005" s="3" t="s">
        <v>27</v>
      </c>
      <c r="H2005" s="5">
        <v>30246</v>
      </c>
      <c r="I2005" s="3" t="str">
        <f>VLOOKUP(Tabela1[[#This Row],[Advogado]],Tabela2[],2,FALSE)</f>
        <v>Caio Brito</v>
      </c>
      <c r="J2005" s="17">
        <f>IF(Tabela1[[#This Row],[Data de conclusão]]="",NETWORKDAYS(Tabela1[[#This Row],[Data de entrada]],$J$2),NETWORKDAYS(Tabela1[[#This Row],[Data de entrada]],Tabela1[[#This Row],[Data de conclusão]]))</f>
        <v>585</v>
      </c>
      <c r="K2005" s="1"/>
    </row>
    <row r="2006" spans="2:11" x14ac:dyDescent="0.25">
      <c r="B2006" s="3">
        <v>2113</v>
      </c>
      <c r="C2006" s="3" t="s">
        <v>8</v>
      </c>
      <c r="D2006" s="3" t="s">
        <v>12</v>
      </c>
      <c r="E2006" s="4">
        <v>43018</v>
      </c>
      <c r="F2006" s="4"/>
      <c r="G2006" s="3" t="s">
        <v>29</v>
      </c>
      <c r="H2006" s="5">
        <v>47641</v>
      </c>
      <c r="I2006" s="3" t="str">
        <f>VLOOKUP(Tabela1[[#This Row],[Advogado]],Tabela2[],2,FALSE)</f>
        <v>Caio Brito</v>
      </c>
      <c r="J2006" s="17">
        <f>IF(Tabela1[[#This Row],[Data de conclusão]]="",NETWORKDAYS(Tabela1[[#This Row],[Data de entrada]],$J$2),NETWORKDAYS(Tabela1[[#This Row],[Data de entrada]],Tabela1[[#This Row],[Data de conclusão]]))</f>
        <v>156</v>
      </c>
      <c r="K2006" s="1"/>
    </row>
    <row r="2007" spans="2:11" x14ac:dyDescent="0.25">
      <c r="B2007" s="3">
        <v>2114</v>
      </c>
      <c r="C2007" s="3" t="s">
        <v>9</v>
      </c>
      <c r="D2007" s="3" t="s">
        <v>13</v>
      </c>
      <c r="E2007" s="4">
        <v>42536</v>
      </c>
      <c r="F2007" s="4"/>
      <c r="G2007" s="3" t="s">
        <v>29</v>
      </c>
      <c r="H2007" s="5">
        <v>38339</v>
      </c>
      <c r="I2007" s="3" t="str">
        <f>VLOOKUP(Tabela1[[#This Row],[Advogado]],Tabela2[],2,FALSE)</f>
        <v>Caio Brito</v>
      </c>
      <c r="J2007" s="17">
        <f>IF(Tabela1[[#This Row],[Data de conclusão]]="",NETWORKDAYS(Tabela1[[#This Row],[Data de entrada]],$J$2),NETWORKDAYS(Tabela1[[#This Row],[Data de entrada]],Tabela1[[#This Row],[Data de conclusão]]))</f>
        <v>500</v>
      </c>
      <c r="K2007" s="1"/>
    </row>
    <row r="2008" spans="2:11" x14ac:dyDescent="0.25">
      <c r="B2008" s="3">
        <v>2115</v>
      </c>
      <c r="C2008" s="3" t="s">
        <v>7</v>
      </c>
      <c r="D2008" s="3" t="s">
        <v>14</v>
      </c>
      <c r="E2008" s="4">
        <v>42986</v>
      </c>
      <c r="F2008" s="4"/>
      <c r="G2008" s="3" t="s">
        <v>29</v>
      </c>
      <c r="H2008" s="5">
        <v>13573</v>
      </c>
      <c r="I2008" s="3" t="str">
        <f>VLOOKUP(Tabela1[[#This Row],[Advogado]],Tabela2[],2,FALSE)</f>
        <v>Renê Amaranto</v>
      </c>
      <c r="J2008" s="17">
        <f>IF(Tabela1[[#This Row],[Data de conclusão]]="",NETWORKDAYS(Tabela1[[#This Row],[Data de entrada]],$J$2),NETWORKDAYS(Tabela1[[#This Row],[Data de entrada]],Tabela1[[#This Row],[Data de conclusão]]))</f>
        <v>178</v>
      </c>
      <c r="K2008" s="1"/>
    </row>
    <row r="2009" spans="2:11" x14ac:dyDescent="0.25">
      <c r="B2009" s="3">
        <v>2116</v>
      </c>
      <c r="C2009" s="3" t="s">
        <v>8</v>
      </c>
      <c r="D2009" s="3" t="s">
        <v>15</v>
      </c>
      <c r="E2009" s="4">
        <v>43085</v>
      </c>
      <c r="F2009" s="4"/>
      <c r="G2009" s="3" t="s">
        <v>29</v>
      </c>
      <c r="H2009" s="5">
        <v>5110</v>
      </c>
      <c r="I2009" s="3" t="str">
        <f>VLOOKUP(Tabela1[[#This Row],[Advogado]],Tabela2[],2,FALSE)</f>
        <v>Renê Amaranto</v>
      </c>
      <c r="J2009" s="17">
        <f>IF(Tabela1[[#This Row],[Data de conclusão]]="",NETWORKDAYS(Tabela1[[#This Row],[Data de entrada]],$J$2),NETWORKDAYS(Tabela1[[#This Row],[Data de entrada]],Tabela1[[#This Row],[Data de conclusão]]))</f>
        <v>107</v>
      </c>
      <c r="K2009" s="1"/>
    </row>
    <row r="2010" spans="2:11" x14ac:dyDescent="0.25">
      <c r="B2010" s="3">
        <v>2117</v>
      </c>
      <c r="C2010" s="3" t="s">
        <v>9</v>
      </c>
      <c r="D2010" s="3" t="s">
        <v>16</v>
      </c>
      <c r="E2010" s="4">
        <v>42477</v>
      </c>
      <c r="F2010" s="4"/>
      <c r="G2010" s="3" t="s">
        <v>29</v>
      </c>
      <c r="H2010" s="5">
        <v>14873</v>
      </c>
      <c r="I2010" s="3" t="str">
        <f>VLOOKUP(Tabela1[[#This Row],[Advogado]],Tabela2[],2,FALSE)</f>
        <v>Renê Amaranto</v>
      </c>
      <c r="J2010" s="17">
        <f>IF(Tabela1[[#This Row],[Data de conclusão]]="",NETWORKDAYS(Tabela1[[#This Row],[Data de entrada]],$J$2),NETWORKDAYS(Tabela1[[#This Row],[Data de entrada]],Tabela1[[#This Row],[Data de conclusão]]))</f>
        <v>542</v>
      </c>
      <c r="K2010" s="1"/>
    </row>
    <row r="2011" spans="2:11" x14ac:dyDescent="0.25">
      <c r="B2011" s="3">
        <v>2118</v>
      </c>
      <c r="C2011" s="3" t="s">
        <v>7</v>
      </c>
      <c r="D2011" s="3" t="s">
        <v>17</v>
      </c>
      <c r="E2011" s="4">
        <v>42453</v>
      </c>
      <c r="F2011" s="4"/>
      <c r="G2011" s="3" t="s">
        <v>29</v>
      </c>
      <c r="H2011" s="5">
        <v>49750</v>
      </c>
      <c r="I2011" s="3" t="str">
        <f>VLOOKUP(Tabela1[[#This Row],[Advogado]],Tabela2[],2,FALSE)</f>
        <v>Renê Amaranto</v>
      </c>
      <c r="J2011" s="17">
        <f>IF(Tabela1[[#This Row],[Data de conclusão]]="",NETWORKDAYS(Tabela1[[#This Row],[Data de entrada]],$J$2),NETWORKDAYS(Tabela1[[#This Row],[Data de entrada]],Tabela1[[#This Row],[Data de conclusão]]))</f>
        <v>559</v>
      </c>
      <c r="K2011" s="1"/>
    </row>
    <row r="2012" spans="2:11" x14ac:dyDescent="0.25">
      <c r="B2012" s="3">
        <v>2119</v>
      </c>
      <c r="C2012" s="3" t="s">
        <v>8</v>
      </c>
      <c r="D2012" s="3" t="s">
        <v>10</v>
      </c>
      <c r="E2012" s="4">
        <v>42705</v>
      </c>
      <c r="F2012" s="4"/>
      <c r="G2012" s="3" t="s">
        <v>29</v>
      </c>
      <c r="H2012" s="5">
        <v>2539</v>
      </c>
      <c r="I2012" s="3" t="str">
        <f>VLOOKUP(Tabela1[[#This Row],[Advogado]],Tabela2[],2,FALSE)</f>
        <v>Caio Brito</v>
      </c>
      <c r="J2012" s="17">
        <f>IF(Tabela1[[#This Row],[Data de conclusão]]="",NETWORKDAYS(Tabela1[[#This Row],[Data de entrada]],$J$2),NETWORKDAYS(Tabela1[[#This Row],[Data de entrada]],Tabela1[[#This Row],[Data de conclusão]]))</f>
        <v>379</v>
      </c>
      <c r="K2012" s="1"/>
    </row>
    <row r="2013" spans="2:11" x14ac:dyDescent="0.25">
      <c r="B2013" s="3">
        <v>2120</v>
      </c>
      <c r="C2013" s="3" t="s">
        <v>9</v>
      </c>
      <c r="D2013" s="3" t="s">
        <v>11</v>
      </c>
      <c r="E2013" s="4">
        <v>42816</v>
      </c>
      <c r="F2013" s="4"/>
      <c r="G2013" s="3" t="s">
        <v>29</v>
      </c>
      <c r="H2013" s="5">
        <v>8304</v>
      </c>
      <c r="I2013" s="3" t="str">
        <f>VLOOKUP(Tabela1[[#This Row],[Advogado]],Tabela2[],2,FALSE)</f>
        <v>Caio Brito</v>
      </c>
      <c r="J2013" s="17">
        <f>IF(Tabela1[[#This Row],[Data de conclusão]]="",NETWORKDAYS(Tabela1[[#This Row],[Data de entrada]],$J$2),NETWORKDAYS(Tabela1[[#This Row],[Data de entrada]],Tabela1[[#This Row],[Data de conclusão]]))</f>
        <v>300</v>
      </c>
      <c r="K2013" s="1"/>
    </row>
    <row r="2014" spans="2:11" x14ac:dyDescent="0.25">
      <c r="B2014" s="3">
        <v>2121</v>
      </c>
      <c r="C2014" s="3" t="s">
        <v>7</v>
      </c>
      <c r="D2014" s="3" t="s">
        <v>12</v>
      </c>
      <c r="E2014" s="4">
        <v>42904</v>
      </c>
      <c r="F2014" s="4"/>
      <c r="G2014" s="3" t="s">
        <v>29</v>
      </c>
      <c r="H2014" s="5">
        <v>39952</v>
      </c>
      <c r="I2014" s="3" t="str">
        <f>VLOOKUP(Tabela1[[#This Row],[Advogado]],Tabela2[],2,FALSE)</f>
        <v>Caio Brito</v>
      </c>
      <c r="J2014" s="17">
        <f>IF(Tabela1[[#This Row],[Data de conclusão]]="",NETWORKDAYS(Tabela1[[#This Row],[Data de entrada]],$J$2),NETWORKDAYS(Tabela1[[#This Row],[Data de entrada]],Tabela1[[#This Row],[Data de conclusão]]))</f>
        <v>237</v>
      </c>
      <c r="K2014" s="1"/>
    </row>
    <row r="2015" spans="2:11" x14ac:dyDescent="0.25">
      <c r="B2015" s="3">
        <v>2122</v>
      </c>
      <c r="C2015" s="3" t="s">
        <v>8</v>
      </c>
      <c r="D2015" s="3" t="s">
        <v>13</v>
      </c>
      <c r="E2015" s="4">
        <v>42786</v>
      </c>
      <c r="F2015" s="4"/>
      <c r="G2015" s="3" t="s">
        <v>29</v>
      </c>
      <c r="H2015" s="5">
        <v>10313</v>
      </c>
      <c r="I2015" s="3" t="str">
        <f>VLOOKUP(Tabela1[[#This Row],[Advogado]],Tabela2[],2,FALSE)</f>
        <v>Caio Brito</v>
      </c>
      <c r="J2015" s="17">
        <f>IF(Tabela1[[#This Row],[Data de conclusão]]="",NETWORKDAYS(Tabela1[[#This Row],[Data de entrada]],$J$2),NETWORKDAYS(Tabela1[[#This Row],[Data de entrada]],Tabela1[[#This Row],[Data de conclusão]]))</f>
        <v>322</v>
      </c>
      <c r="K2015" s="1"/>
    </row>
    <row r="2016" spans="2:11" x14ac:dyDescent="0.25">
      <c r="B2016" s="3">
        <v>2123</v>
      </c>
      <c r="C2016" s="3" t="s">
        <v>9</v>
      </c>
      <c r="D2016" s="3" t="s">
        <v>14</v>
      </c>
      <c r="E2016" s="4">
        <v>42784</v>
      </c>
      <c r="F2016" s="4"/>
      <c r="G2016" s="3" t="s">
        <v>29</v>
      </c>
      <c r="H2016" s="5">
        <v>37458</v>
      </c>
      <c r="I2016" s="3" t="str">
        <f>VLOOKUP(Tabela1[[#This Row],[Advogado]],Tabela2[],2,FALSE)</f>
        <v>Renê Amaranto</v>
      </c>
      <c r="J2016" s="17">
        <f>IF(Tabela1[[#This Row],[Data de conclusão]]="",NETWORKDAYS(Tabela1[[#This Row],[Data de entrada]],$J$2),NETWORKDAYS(Tabela1[[#This Row],[Data de entrada]],Tabela1[[#This Row],[Data de conclusão]]))</f>
        <v>322</v>
      </c>
      <c r="K2016" s="1"/>
    </row>
    <row r="2017" spans="2:11" x14ac:dyDescent="0.25">
      <c r="B2017" s="3">
        <v>2124</v>
      </c>
      <c r="C2017" s="3" t="s">
        <v>7</v>
      </c>
      <c r="D2017" s="3" t="s">
        <v>15</v>
      </c>
      <c r="E2017" s="4">
        <v>42534</v>
      </c>
      <c r="F2017" s="4">
        <v>42597</v>
      </c>
      <c r="G2017" s="3" t="s">
        <v>28</v>
      </c>
      <c r="H2017" s="5">
        <v>52469</v>
      </c>
      <c r="I2017" s="3" t="str">
        <f>VLOOKUP(Tabela1[[#This Row],[Advogado]],Tabela2[],2,FALSE)</f>
        <v>Renê Amaranto</v>
      </c>
      <c r="J2017" s="17">
        <f>IF(Tabela1[[#This Row],[Data de conclusão]]="",NETWORKDAYS(Tabela1[[#This Row],[Data de entrada]],$J$2),NETWORKDAYS(Tabela1[[#This Row],[Data de entrada]],Tabela1[[#This Row],[Data de conclusão]]))</f>
        <v>46</v>
      </c>
      <c r="K2017" s="1"/>
    </row>
    <row r="2018" spans="2:11" x14ac:dyDescent="0.25">
      <c r="B2018" s="3">
        <v>2125</v>
      </c>
      <c r="C2018" s="3" t="s">
        <v>8</v>
      </c>
      <c r="D2018" s="3" t="s">
        <v>16</v>
      </c>
      <c r="E2018" s="4">
        <v>42674</v>
      </c>
      <c r="F2018" s="4"/>
      <c r="G2018" s="3" t="s">
        <v>27</v>
      </c>
      <c r="H2018" s="5">
        <v>58911</v>
      </c>
      <c r="I2018" s="3" t="str">
        <f>VLOOKUP(Tabela1[[#This Row],[Advogado]],Tabela2[],2,FALSE)</f>
        <v>Renê Amaranto</v>
      </c>
      <c r="J2018" s="17">
        <f>IF(Tabela1[[#This Row],[Data de conclusão]]="",NETWORKDAYS(Tabela1[[#This Row],[Data de entrada]],$J$2),NETWORKDAYS(Tabela1[[#This Row],[Data de entrada]],Tabela1[[#This Row],[Data de conclusão]]))</f>
        <v>402</v>
      </c>
      <c r="K2018" s="1"/>
    </row>
    <row r="2019" spans="2:11" x14ac:dyDescent="0.25">
      <c r="B2019" s="3">
        <v>2126</v>
      </c>
      <c r="C2019" s="3" t="s">
        <v>9</v>
      </c>
      <c r="D2019" s="3" t="s">
        <v>17</v>
      </c>
      <c r="E2019" s="4">
        <v>42576</v>
      </c>
      <c r="F2019" s="4"/>
      <c r="G2019" s="3" t="s">
        <v>29</v>
      </c>
      <c r="H2019" s="5">
        <v>48761</v>
      </c>
      <c r="I2019" s="3" t="str">
        <f>VLOOKUP(Tabela1[[#This Row],[Advogado]],Tabela2[],2,FALSE)</f>
        <v>Renê Amaranto</v>
      </c>
      <c r="J2019" s="17">
        <f>IF(Tabela1[[#This Row],[Data de conclusão]]="",NETWORKDAYS(Tabela1[[#This Row],[Data de entrada]],$J$2),NETWORKDAYS(Tabela1[[#This Row],[Data de entrada]],Tabela1[[#This Row],[Data de conclusão]]))</f>
        <v>472</v>
      </c>
      <c r="K2019" s="1"/>
    </row>
    <row r="2020" spans="2:11" x14ac:dyDescent="0.25">
      <c r="B2020" s="3">
        <v>2127</v>
      </c>
      <c r="C2020" s="3" t="s">
        <v>7</v>
      </c>
      <c r="D2020" s="3" t="s">
        <v>10</v>
      </c>
      <c r="E2020" s="4">
        <v>42979</v>
      </c>
      <c r="F2020" s="4"/>
      <c r="G2020" s="3" t="s">
        <v>29</v>
      </c>
      <c r="H2020" s="5">
        <v>44393</v>
      </c>
      <c r="I2020" s="3" t="str">
        <f>VLOOKUP(Tabela1[[#This Row],[Advogado]],Tabela2[],2,FALSE)</f>
        <v>Caio Brito</v>
      </c>
      <c r="J2020" s="17">
        <f>IF(Tabela1[[#This Row],[Data de conclusão]]="",NETWORKDAYS(Tabela1[[#This Row],[Data de entrada]],$J$2),NETWORKDAYS(Tabela1[[#This Row],[Data de entrada]],Tabela1[[#This Row],[Data de conclusão]]))</f>
        <v>183</v>
      </c>
      <c r="K2020" s="1"/>
    </row>
    <row r="2021" spans="2:11" x14ac:dyDescent="0.25">
      <c r="B2021" s="3">
        <v>2128</v>
      </c>
      <c r="C2021" s="3" t="s">
        <v>8</v>
      </c>
      <c r="D2021" s="3" t="s">
        <v>11</v>
      </c>
      <c r="E2021" s="4">
        <v>42503</v>
      </c>
      <c r="F2021" s="4"/>
      <c r="G2021" s="3" t="s">
        <v>29</v>
      </c>
      <c r="H2021" s="5">
        <v>13372</v>
      </c>
      <c r="I2021" s="3" t="str">
        <f>VLOOKUP(Tabela1[[#This Row],[Advogado]],Tabela2[],2,FALSE)</f>
        <v>Caio Brito</v>
      </c>
      <c r="J2021" s="17">
        <f>IF(Tabela1[[#This Row],[Data de conclusão]]="",NETWORKDAYS(Tabela1[[#This Row],[Data de entrada]],$J$2),NETWORKDAYS(Tabela1[[#This Row],[Data de entrada]],Tabela1[[#This Row],[Data de conclusão]]))</f>
        <v>523</v>
      </c>
      <c r="K2021" s="1"/>
    </row>
    <row r="2022" spans="2:11" x14ac:dyDescent="0.25">
      <c r="B2022" s="3">
        <v>2129</v>
      </c>
      <c r="C2022" s="3" t="s">
        <v>9</v>
      </c>
      <c r="D2022" s="3" t="s">
        <v>12</v>
      </c>
      <c r="E2022" s="4">
        <v>42708</v>
      </c>
      <c r="F2022" s="4"/>
      <c r="G2022" s="3" t="s">
        <v>29</v>
      </c>
      <c r="H2022" s="5">
        <v>34660</v>
      </c>
      <c r="I2022" s="3" t="str">
        <f>VLOOKUP(Tabela1[[#This Row],[Advogado]],Tabela2[],2,FALSE)</f>
        <v>Caio Brito</v>
      </c>
      <c r="J2022" s="17">
        <f>IF(Tabela1[[#This Row],[Data de conclusão]]="",NETWORKDAYS(Tabela1[[#This Row],[Data de entrada]],$J$2),NETWORKDAYS(Tabela1[[#This Row],[Data de entrada]],Tabela1[[#This Row],[Data de conclusão]]))</f>
        <v>377</v>
      </c>
      <c r="K2022" s="1"/>
    </row>
    <row r="2023" spans="2:11" x14ac:dyDescent="0.25">
      <c r="B2023" s="3">
        <v>2130</v>
      </c>
      <c r="C2023" s="3" t="s">
        <v>7</v>
      </c>
      <c r="D2023" s="3" t="s">
        <v>13</v>
      </c>
      <c r="E2023" s="4">
        <v>42571</v>
      </c>
      <c r="F2023" s="4"/>
      <c r="G2023" s="3" t="s">
        <v>29</v>
      </c>
      <c r="H2023" s="5">
        <v>56645</v>
      </c>
      <c r="I2023" s="3" t="str">
        <f>VLOOKUP(Tabela1[[#This Row],[Advogado]],Tabela2[],2,FALSE)</f>
        <v>Caio Brito</v>
      </c>
      <c r="J2023" s="17">
        <f>IF(Tabela1[[#This Row],[Data de conclusão]]="",NETWORKDAYS(Tabela1[[#This Row],[Data de entrada]],$J$2),NETWORKDAYS(Tabela1[[#This Row],[Data de entrada]],Tabela1[[#This Row],[Data de conclusão]]))</f>
        <v>475</v>
      </c>
      <c r="K2023" s="1"/>
    </row>
    <row r="2024" spans="2:11" x14ac:dyDescent="0.25">
      <c r="B2024" s="3">
        <v>2131</v>
      </c>
      <c r="C2024" s="3" t="s">
        <v>8</v>
      </c>
      <c r="D2024" s="3" t="s">
        <v>14</v>
      </c>
      <c r="E2024" s="4">
        <v>42492</v>
      </c>
      <c r="F2024" s="4"/>
      <c r="G2024" s="3" t="s">
        <v>29</v>
      </c>
      <c r="H2024" s="5">
        <v>43705</v>
      </c>
      <c r="I2024" s="3" t="str">
        <f>VLOOKUP(Tabela1[[#This Row],[Advogado]],Tabela2[],2,FALSE)</f>
        <v>Renê Amaranto</v>
      </c>
      <c r="J2024" s="17">
        <f>IF(Tabela1[[#This Row],[Data de conclusão]]="",NETWORKDAYS(Tabela1[[#This Row],[Data de entrada]],$J$2),NETWORKDAYS(Tabela1[[#This Row],[Data de entrada]],Tabela1[[#This Row],[Data de conclusão]]))</f>
        <v>532</v>
      </c>
      <c r="K2024" s="1"/>
    </row>
    <row r="2025" spans="2:11" x14ac:dyDescent="0.25">
      <c r="B2025" s="3">
        <v>2132</v>
      </c>
      <c r="C2025" s="3" t="s">
        <v>9</v>
      </c>
      <c r="D2025" s="3" t="s">
        <v>15</v>
      </c>
      <c r="E2025" s="4">
        <v>42412</v>
      </c>
      <c r="F2025" s="4"/>
      <c r="G2025" s="3" t="s">
        <v>29</v>
      </c>
      <c r="H2025" s="5">
        <v>42151</v>
      </c>
      <c r="I2025" s="3" t="str">
        <f>VLOOKUP(Tabela1[[#This Row],[Advogado]],Tabela2[],2,FALSE)</f>
        <v>Renê Amaranto</v>
      </c>
      <c r="J2025" s="17">
        <f>IF(Tabela1[[#This Row],[Data de conclusão]]="",NETWORKDAYS(Tabela1[[#This Row],[Data de entrada]],$J$2),NETWORKDAYS(Tabela1[[#This Row],[Data de entrada]],Tabela1[[#This Row],[Data de conclusão]]))</f>
        <v>588</v>
      </c>
      <c r="K2025" s="1"/>
    </row>
    <row r="2026" spans="2:11" x14ac:dyDescent="0.25">
      <c r="B2026" s="3">
        <v>2133</v>
      </c>
      <c r="C2026" s="3" t="s">
        <v>7</v>
      </c>
      <c r="D2026" s="3" t="s">
        <v>16</v>
      </c>
      <c r="E2026" s="4">
        <v>42958</v>
      </c>
      <c r="F2026" s="4"/>
      <c r="G2026" s="3" t="s">
        <v>29</v>
      </c>
      <c r="H2026" s="5">
        <v>28095</v>
      </c>
      <c r="I2026" s="3" t="str">
        <f>VLOOKUP(Tabela1[[#This Row],[Advogado]],Tabela2[],2,FALSE)</f>
        <v>Renê Amaranto</v>
      </c>
      <c r="J2026" s="17">
        <f>IF(Tabela1[[#This Row],[Data de conclusão]]="",NETWORKDAYS(Tabela1[[#This Row],[Data de entrada]],$J$2),NETWORKDAYS(Tabela1[[#This Row],[Data de entrada]],Tabela1[[#This Row],[Data de conclusão]]))</f>
        <v>198</v>
      </c>
      <c r="K2026" s="1"/>
    </row>
    <row r="2027" spans="2:11" x14ac:dyDescent="0.25">
      <c r="B2027" s="3">
        <v>2134</v>
      </c>
      <c r="C2027" s="3" t="s">
        <v>8</v>
      </c>
      <c r="D2027" s="3" t="s">
        <v>17</v>
      </c>
      <c r="E2027" s="4">
        <v>42837</v>
      </c>
      <c r="F2027" s="4"/>
      <c r="G2027" s="3" t="s">
        <v>29</v>
      </c>
      <c r="H2027" s="5">
        <v>2860</v>
      </c>
      <c r="I2027" s="3" t="str">
        <f>VLOOKUP(Tabela1[[#This Row],[Advogado]],Tabela2[],2,FALSE)</f>
        <v>Renê Amaranto</v>
      </c>
      <c r="J2027" s="17">
        <f>IF(Tabela1[[#This Row],[Data de conclusão]]="",NETWORKDAYS(Tabela1[[#This Row],[Data de entrada]],$J$2),NETWORKDAYS(Tabela1[[#This Row],[Data de entrada]],Tabela1[[#This Row],[Data de conclusão]]))</f>
        <v>285</v>
      </c>
      <c r="K2027" s="1"/>
    </row>
    <row r="2028" spans="2:11" x14ac:dyDescent="0.25">
      <c r="B2028" s="3">
        <v>2135</v>
      </c>
      <c r="C2028" s="3" t="s">
        <v>9</v>
      </c>
      <c r="D2028" s="3" t="s">
        <v>10</v>
      </c>
      <c r="E2028" s="4">
        <v>42451</v>
      </c>
      <c r="F2028" s="4"/>
      <c r="G2028" s="3" t="s">
        <v>29</v>
      </c>
      <c r="H2028" s="5">
        <v>46885</v>
      </c>
      <c r="I2028" s="3" t="str">
        <f>VLOOKUP(Tabela1[[#This Row],[Advogado]],Tabela2[],2,FALSE)</f>
        <v>Caio Brito</v>
      </c>
      <c r="J2028" s="17">
        <f>IF(Tabela1[[#This Row],[Data de conclusão]]="",NETWORKDAYS(Tabela1[[#This Row],[Data de entrada]],$J$2),NETWORKDAYS(Tabela1[[#This Row],[Data de entrada]],Tabela1[[#This Row],[Data de conclusão]]))</f>
        <v>561</v>
      </c>
      <c r="K2028" s="1"/>
    </row>
    <row r="2029" spans="2:11" x14ac:dyDescent="0.25">
      <c r="B2029" s="3">
        <v>2136</v>
      </c>
      <c r="C2029" s="3" t="s">
        <v>7</v>
      </c>
      <c r="D2029" s="3" t="s">
        <v>11</v>
      </c>
      <c r="E2029" s="4">
        <v>43099</v>
      </c>
      <c r="F2029" s="4"/>
      <c r="G2029" s="3" t="s">
        <v>29</v>
      </c>
      <c r="H2029" s="5">
        <v>6631</v>
      </c>
      <c r="I2029" s="3" t="str">
        <f>VLOOKUP(Tabela1[[#This Row],[Advogado]],Tabela2[],2,FALSE)</f>
        <v>Caio Brito</v>
      </c>
      <c r="J2029" s="17">
        <f>IF(Tabela1[[#This Row],[Data de conclusão]]="",NETWORKDAYS(Tabela1[[#This Row],[Data de entrada]],$J$2),NETWORKDAYS(Tabela1[[#This Row],[Data de entrada]],Tabela1[[#This Row],[Data de conclusão]]))</f>
        <v>97</v>
      </c>
      <c r="K2029" s="1"/>
    </row>
    <row r="2030" spans="2:11" x14ac:dyDescent="0.25">
      <c r="B2030" s="3">
        <v>2137</v>
      </c>
      <c r="C2030" s="3" t="s">
        <v>8</v>
      </c>
      <c r="D2030" s="3" t="s">
        <v>12</v>
      </c>
      <c r="E2030" s="4">
        <v>42587</v>
      </c>
      <c r="F2030" s="4">
        <v>42640</v>
      </c>
      <c r="G2030" s="3" t="s">
        <v>28</v>
      </c>
      <c r="H2030" s="5">
        <v>33726</v>
      </c>
      <c r="I2030" s="3" t="str">
        <f>VLOOKUP(Tabela1[[#This Row],[Advogado]],Tabela2[],2,FALSE)</f>
        <v>Caio Brito</v>
      </c>
      <c r="J2030" s="17">
        <f>IF(Tabela1[[#This Row],[Data de conclusão]]="",NETWORKDAYS(Tabela1[[#This Row],[Data de entrada]],$J$2),NETWORKDAYS(Tabela1[[#This Row],[Data de entrada]],Tabela1[[#This Row],[Data de conclusão]]))</f>
        <v>38</v>
      </c>
      <c r="K2030" s="1"/>
    </row>
    <row r="2031" spans="2:11" x14ac:dyDescent="0.25">
      <c r="B2031" s="3">
        <v>2138</v>
      </c>
      <c r="C2031" s="3" t="s">
        <v>9</v>
      </c>
      <c r="D2031" s="3" t="s">
        <v>13</v>
      </c>
      <c r="E2031" s="4">
        <v>42840</v>
      </c>
      <c r="F2031" s="4"/>
      <c r="G2031" s="3" t="s">
        <v>27</v>
      </c>
      <c r="H2031" s="5">
        <v>4427</v>
      </c>
      <c r="I2031" s="3" t="str">
        <f>VLOOKUP(Tabela1[[#This Row],[Advogado]],Tabela2[],2,FALSE)</f>
        <v>Caio Brito</v>
      </c>
      <c r="J2031" s="17">
        <f>IF(Tabela1[[#This Row],[Data de conclusão]]="",NETWORKDAYS(Tabela1[[#This Row],[Data de entrada]],$J$2),NETWORKDAYS(Tabela1[[#This Row],[Data de entrada]],Tabela1[[#This Row],[Data de conclusão]]))</f>
        <v>282</v>
      </c>
      <c r="K2031" s="1"/>
    </row>
    <row r="2032" spans="2:11" x14ac:dyDescent="0.25">
      <c r="B2032" s="3">
        <v>2139</v>
      </c>
      <c r="C2032" s="3" t="s">
        <v>7</v>
      </c>
      <c r="D2032" s="3" t="s">
        <v>14</v>
      </c>
      <c r="E2032" s="4">
        <v>42954</v>
      </c>
      <c r="F2032" s="4"/>
      <c r="G2032" s="3" t="s">
        <v>29</v>
      </c>
      <c r="H2032" s="5">
        <v>638</v>
      </c>
      <c r="I2032" s="3" t="str">
        <f>VLOOKUP(Tabela1[[#This Row],[Advogado]],Tabela2[],2,FALSE)</f>
        <v>Renê Amaranto</v>
      </c>
      <c r="J2032" s="17">
        <f>IF(Tabela1[[#This Row],[Data de conclusão]]="",NETWORKDAYS(Tabela1[[#This Row],[Data de entrada]],$J$2),NETWORKDAYS(Tabela1[[#This Row],[Data de entrada]],Tabela1[[#This Row],[Data de conclusão]]))</f>
        <v>202</v>
      </c>
      <c r="K2032" s="1"/>
    </row>
    <row r="2033" spans="2:11" x14ac:dyDescent="0.25">
      <c r="B2033" s="3">
        <v>2140</v>
      </c>
      <c r="C2033" s="3" t="s">
        <v>8</v>
      </c>
      <c r="D2033" s="3" t="s">
        <v>15</v>
      </c>
      <c r="E2033" s="4">
        <v>43026</v>
      </c>
      <c r="F2033" s="4"/>
      <c r="G2033" s="3" t="s">
        <v>29</v>
      </c>
      <c r="H2033" s="5">
        <v>8102</v>
      </c>
      <c r="I2033" s="3" t="str">
        <f>VLOOKUP(Tabela1[[#This Row],[Advogado]],Tabela2[],2,FALSE)</f>
        <v>Renê Amaranto</v>
      </c>
      <c r="J2033" s="17">
        <f>IF(Tabela1[[#This Row],[Data de conclusão]]="",NETWORKDAYS(Tabela1[[#This Row],[Data de entrada]],$J$2),NETWORKDAYS(Tabela1[[#This Row],[Data de entrada]],Tabela1[[#This Row],[Data de conclusão]]))</f>
        <v>150</v>
      </c>
      <c r="K2033" s="1"/>
    </row>
    <row r="2034" spans="2:11" x14ac:dyDescent="0.25">
      <c r="B2034" s="3">
        <v>2141</v>
      </c>
      <c r="C2034" s="3" t="s">
        <v>9</v>
      </c>
      <c r="D2034" s="3" t="s">
        <v>16</v>
      </c>
      <c r="E2034" s="4">
        <v>42459</v>
      </c>
      <c r="F2034" s="4"/>
      <c r="G2034" s="3" t="s">
        <v>29</v>
      </c>
      <c r="H2034" s="5">
        <v>13872</v>
      </c>
      <c r="I2034" s="3" t="str">
        <f>VLOOKUP(Tabela1[[#This Row],[Advogado]],Tabela2[],2,FALSE)</f>
        <v>Renê Amaranto</v>
      </c>
      <c r="J2034" s="17">
        <f>IF(Tabela1[[#This Row],[Data de conclusão]]="",NETWORKDAYS(Tabela1[[#This Row],[Data de entrada]],$J$2),NETWORKDAYS(Tabela1[[#This Row],[Data de entrada]],Tabela1[[#This Row],[Data de conclusão]]))</f>
        <v>555</v>
      </c>
      <c r="K2034" s="1"/>
    </row>
    <row r="2035" spans="2:11" x14ac:dyDescent="0.25">
      <c r="B2035" s="3">
        <v>2142</v>
      </c>
      <c r="C2035" s="3" t="s">
        <v>7</v>
      </c>
      <c r="D2035" s="3" t="s">
        <v>17</v>
      </c>
      <c r="E2035" s="4">
        <v>42488</v>
      </c>
      <c r="F2035" s="4"/>
      <c r="G2035" s="3" t="s">
        <v>29</v>
      </c>
      <c r="H2035" s="5">
        <v>23671</v>
      </c>
      <c r="I2035" s="3" t="str">
        <f>VLOOKUP(Tabela1[[#This Row],[Advogado]],Tabela2[],2,FALSE)</f>
        <v>Renê Amaranto</v>
      </c>
      <c r="J2035" s="17">
        <f>IF(Tabela1[[#This Row],[Data de conclusão]]="",NETWORKDAYS(Tabela1[[#This Row],[Data de entrada]],$J$2),NETWORKDAYS(Tabela1[[#This Row],[Data de entrada]],Tabela1[[#This Row],[Data de conclusão]]))</f>
        <v>534</v>
      </c>
      <c r="K2035" s="1"/>
    </row>
    <row r="2036" spans="2:11" x14ac:dyDescent="0.25">
      <c r="B2036" s="3">
        <v>2143</v>
      </c>
      <c r="C2036" s="3" t="s">
        <v>8</v>
      </c>
      <c r="D2036" s="3" t="s">
        <v>10</v>
      </c>
      <c r="E2036" s="4">
        <v>42632</v>
      </c>
      <c r="F2036" s="4"/>
      <c r="G2036" s="3" t="s">
        <v>29</v>
      </c>
      <c r="H2036" s="5">
        <v>20427</v>
      </c>
      <c r="I2036" s="3" t="str">
        <f>VLOOKUP(Tabela1[[#This Row],[Advogado]],Tabela2[],2,FALSE)</f>
        <v>Caio Brito</v>
      </c>
      <c r="J2036" s="17">
        <f>IF(Tabela1[[#This Row],[Data de conclusão]]="",NETWORKDAYS(Tabela1[[#This Row],[Data de entrada]],$J$2),NETWORKDAYS(Tabela1[[#This Row],[Data de entrada]],Tabela1[[#This Row],[Data de conclusão]]))</f>
        <v>432</v>
      </c>
      <c r="K2036" s="1"/>
    </row>
    <row r="2037" spans="2:11" x14ac:dyDescent="0.25">
      <c r="B2037" s="3">
        <v>2144</v>
      </c>
      <c r="C2037" s="3" t="s">
        <v>9</v>
      </c>
      <c r="D2037" s="3" t="s">
        <v>11</v>
      </c>
      <c r="E2037" s="4">
        <v>43063</v>
      </c>
      <c r="F2037" s="4"/>
      <c r="G2037" s="3" t="s">
        <v>29</v>
      </c>
      <c r="H2037" s="5">
        <v>2807</v>
      </c>
      <c r="I2037" s="3" t="str">
        <f>VLOOKUP(Tabela1[[#This Row],[Advogado]],Tabela2[],2,FALSE)</f>
        <v>Caio Brito</v>
      </c>
      <c r="J2037" s="17">
        <f>IF(Tabela1[[#This Row],[Data de conclusão]]="",NETWORKDAYS(Tabela1[[#This Row],[Data de entrada]],$J$2),NETWORKDAYS(Tabela1[[#This Row],[Data de entrada]],Tabela1[[#This Row],[Data de conclusão]]))</f>
        <v>123</v>
      </c>
      <c r="K2037" s="1"/>
    </row>
    <row r="2038" spans="2:11" x14ac:dyDescent="0.25">
      <c r="B2038" s="3">
        <v>2145</v>
      </c>
      <c r="C2038" s="3" t="s">
        <v>7</v>
      </c>
      <c r="D2038" s="3" t="s">
        <v>12</v>
      </c>
      <c r="E2038" s="4">
        <v>42765</v>
      </c>
      <c r="F2038" s="4"/>
      <c r="G2038" s="3" t="s">
        <v>29</v>
      </c>
      <c r="H2038" s="5">
        <v>51723</v>
      </c>
      <c r="I2038" s="3" t="str">
        <f>VLOOKUP(Tabela1[[#This Row],[Advogado]],Tabela2[],2,FALSE)</f>
        <v>Caio Brito</v>
      </c>
      <c r="J2038" s="17">
        <f>IF(Tabela1[[#This Row],[Data de conclusão]]="",NETWORKDAYS(Tabela1[[#This Row],[Data de entrada]],$J$2),NETWORKDAYS(Tabela1[[#This Row],[Data de entrada]],Tabela1[[#This Row],[Data de conclusão]]))</f>
        <v>337</v>
      </c>
      <c r="K2038" s="1"/>
    </row>
    <row r="2039" spans="2:11" x14ac:dyDescent="0.25">
      <c r="B2039" s="3">
        <v>2146</v>
      </c>
      <c r="C2039" s="3" t="s">
        <v>8</v>
      </c>
      <c r="D2039" s="3" t="s">
        <v>13</v>
      </c>
      <c r="E2039" s="4">
        <v>42874</v>
      </c>
      <c r="F2039" s="4"/>
      <c r="G2039" s="3" t="s">
        <v>29</v>
      </c>
      <c r="H2039" s="5">
        <v>58753</v>
      </c>
      <c r="I2039" s="3" t="str">
        <f>VLOOKUP(Tabela1[[#This Row],[Advogado]],Tabela2[],2,FALSE)</f>
        <v>Caio Brito</v>
      </c>
      <c r="J2039" s="17">
        <f>IF(Tabela1[[#This Row],[Data de conclusão]]="",NETWORKDAYS(Tabela1[[#This Row],[Data de entrada]],$J$2),NETWORKDAYS(Tabela1[[#This Row],[Data de entrada]],Tabela1[[#This Row],[Data de conclusão]]))</f>
        <v>258</v>
      </c>
      <c r="K2039" s="1"/>
    </row>
    <row r="2040" spans="2:11" x14ac:dyDescent="0.25">
      <c r="B2040" s="3">
        <v>2147</v>
      </c>
      <c r="C2040" s="3" t="s">
        <v>9</v>
      </c>
      <c r="D2040" s="3" t="s">
        <v>14</v>
      </c>
      <c r="E2040" s="4">
        <v>42389</v>
      </c>
      <c r="F2040" s="4"/>
      <c r="G2040" s="3" t="s">
        <v>29</v>
      </c>
      <c r="H2040" s="5">
        <v>55200</v>
      </c>
      <c r="I2040" s="3" t="str">
        <f>VLOOKUP(Tabela1[[#This Row],[Advogado]],Tabela2[],2,FALSE)</f>
        <v>Renê Amaranto</v>
      </c>
      <c r="J2040" s="17">
        <f>IF(Tabela1[[#This Row],[Data de conclusão]]="",NETWORKDAYS(Tabela1[[#This Row],[Data de entrada]],$J$2),NETWORKDAYS(Tabela1[[#This Row],[Data de entrada]],Tabela1[[#This Row],[Data de conclusão]]))</f>
        <v>605</v>
      </c>
      <c r="K2040" s="1"/>
    </row>
    <row r="2041" spans="2:11" x14ac:dyDescent="0.25">
      <c r="B2041" s="3">
        <v>2148</v>
      </c>
      <c r="C2041" s="3" t="s">
        <v>7</v>
      </c>
      <c r="D2041" s="3" t="s">
        <v>15</v>
      </c>
      <c r="E2041" s="4">
        <v>42664</v>
      </c>
      <c r="F2041" s="4"/>
      <c r="G2041" s="3" t="s">
        <v>29</v>
      </c>
      <c r="H2041" s="5">
        <v>23985</v>
      </c>
      <c r="I2041" s="3" t="str">
        <f>VLOOKUP(Tabela1[[#This Row],[Advogado]],Tabela2[],2,FALSE)</f>
        <v>Renê Amaranto</v>
      </c>
      <c r="J2041" s="17">
        <f>IF(Tabela1[[#This Row],[Data de conclusão]]="",NETWORKDAYS(Tabela1[[#This Row],[Data de entrada]],$J$2),NETWORKDAYS(Tabela1[[#This Row],[Data de entrada]],Tabela1[[#This Row],[Data de conclusão]]))</f>
        <v>408</v>
      </c>
      <c r="K2041" s="1"/>
    </row>
    <row r="2042" spans="2:11" x14ac:dyDescent="0.25">
      <c r="B2042" s="3">
        <v>2149</v>
      </c>
      <c r="C2042" s="3" t="s">
        <v>8</v>
      </c>
      <c r="D2042" s="3" t="s">
        <v>16</v>
      </c>
      <c r="E2042" s="4">
        <v>42682</v>
      </c>
      <c r="F2042" s="4"/>
      <c r="G2042" s="3" t="s">
        <v>29</v>
      </c>
      <c r="H2042" s="5">
        <v>5311</v>
      </c>
      <c r="I2042" s="3" t="str">
        <f>VLOOKUP(Tabela1[[#This Row],[Advogado]],Tabela2[],2,FALSE)</f>
        <v>Renê Amaranto</v>
      </c>
      <c r="J2042" s="17">
        <f>IF(Tabela1[[#This Row],[Data de conclusão]]="",NETWORKDAYS(Tabela1[[#This Row],[Data de entrada]],$J$2),NETWORKDAYS(Tabela1[[#This Row],[Data de entrada]],Tabela1[[#This Row],[Data de conclusão]]))</f>
        <v>396</v>
      </c>
      <c r="K2042" s="1"/>
    </row>
    <row r="2043" spans="2:11" x14ac:dyDescent="0.25">
      <c r="B2043" s="3">
        <v>2150</v>
      </c>
      <c r="C2043" s="3" t="s">
        <v>9</v>
      </c>
      <c r="D2043" s="3" t="s">
        <v>17</v>
      </c>
      <c r="E2043" s="4">
        <v>42856</v>
      </c>
      <c r="F2043" s="4">
        <v>42901</v>
      </c>
      <c r="G2043" s="3" t="s">
        <v>28</v>
      </c>
      <c r="H2043" s="5">
        <v>22288</v>
      </c>
      <c r="I2043" s="3" t="str">
        <f>VLOOKUP(Tabela1[[#This Row],[Advogado]],Tabela2[],2,FALSE)</f>
        <v>Renê Amaranto</v>
      </c>
      <c r="J2043" s="17">
        <f>IF(Tabela1[[#This Row],[Data de conclusão]]="",NETWORKDAYS(Tabela1[[#This Row],[Data de entrada]],$J$2),NETWORKDAYS(Tabela1[[#This Row],[Data de entrada]],Tabela1[[#This Row],[Data de conclusão]]))</f>
        <v>34</v>
      </c>
      <c r="K2043" s="1"/>
    </row>
    <row r="2044" spans="2:11" x14ac:dyDescent="0.25">
      <c r="B2044" s="3">
        <v>2151</v>
      </c>
      <c r="C2044" s="3" t="s">
        <v>7</v>
      </c>
      <c r="D2044" s="3" t="s">
        <v>10</v>
      </c>
      <c r="E2044" s="4">
        <v>42726</v>
      </c>
      <c r="F2044" s="4"/>
      <c r="G2044" s="3" t="s">
        <v>27</v>
      </c>
      <c r="H2044" s="5">
        <v>35687</v>
      </c>
      <c r="I2044" s="3" t="str">
        <f>VLOOKUP(Tabela1[[#This Row],[Advogado]],Tabela2[],2,FALSE)</f>
        <v>Caio Brito</v>
      </c>
      <c r="J2044" s="17">
        <f>IF(Tabela1[[#This Row],[Data de conclusão]]="",NETWORKDAYS(Tabela1[[#This Row],[Data de entrada]],$J$2),NETWORKDAYS(Tabela1[[#This Row],[Data de entrada]],Tabela1[[#This Row],[Data de conclusão]]))</f>
        <v>364</v>
      </c>
      <c r="K2044" s="1"/>
    </row>
    <row r="2045" spans="2:11" x14ac:dyDescent="0.25">
      <c r="B2045" s="3">
        <v>2152</v>
      </c>
      <c r="C2045" s="3" t="s">
        <v>8</v>
      </c>
      <c r="D2045" s="3" t="s">
        <v>11</v>
      </c>
      <c r="E2045" s="4">
        <v>43050</v>
      </c>
      <c r="F2045" s="4"/>
      <c r="G2045" s="3" t="s">
        <v>29</v>
      </c>
      <c r="H2045" s="5">
        <v>32835</v>
      </c>
      <c r="I2045" s="3" t="str">
        <f>VLOOKUP(Tabela1[[#This Row],[Advogado]],Tabela2[],2,FALSE)</f>
        <v>Caio Brito</v>
      </c>
      <c r="J2045" s="17">
        <f>IF(Tabela1[[#This Row],[Data de conclusão]]="",NETWORKDAYS(Tabela1[[#This Row],[Data de entrada]],$J$2),NETWORKDAYS(Tabela1[[#This Row],[Data de entrada]],Tabela1[[#This Row],[Data de conclusão]]))</f>
        <v>132</v>
      </c>
      <c r="K2045" s="1"/>
    </row>
    <row r="2046" spans="2:11" x14ac:dyDescent="0.25">
      <c r="B2046" s="3">
        <v>2153</v>
      </c>
      <c r="C2046" s="3" t="s">
        <v>9</v>
      </c>
      <c r="D2046" s="3" t="s">
        <v>12</v>
      </c>
      <c r="E2046" s="4">
        <v>42949</v>
      </c>
      <c r="F2046" s="4"/>
      <c r="G2046" s="3" t="s">
        <v>29</v>
      </c>
      <c r="H2046" s="5">
        <v>49057</v>
      </c>
      <c r="I2046" s="3" t="str">
        <f>VLOOKUP(Tabela1[[#This Row],[Advogado]],Tabela2[],2,FALSE)</f>
        <v>Caio Brito</v>
      </c>
      <c r="J2046" s="17">
        <f>IF(Tabela1[[#This Row],[Data de conclusão]]="",NETWORKDAYS(Tabela1[[#This Row],[Data de entrada]],$J$2),NETWORKDAYS(Tabela1[[#This Row],[Data de entrada]],Tabela1[[#This Row],[Data de conclusão]]))</f>
        <v>205</v>
      </c>
      <c r="K2046" s="1"/>
    </row>
    <row r="2047" spans="2:11" x14ac:dyDescent="0.25">
      <c r="B2047" s="3">
        <v>2154</v>
      </c>
      <c r="C2047" s="3" t="s">
        <v>7</v>
      </c>
      <c r="D2047" s="3" t="s">
        <v>13</v>
      </c>
      <c r="E2047" s="4">
        <v>42930</v>
      </c>
      <c r="F2047" s="4"/>
      <c r="G2047" s="3" t="s">
        <v>29</v>
      </c>
      <c r="H2047" s="5">
        <v>52355</v>
      </c>
      <c r="I2047" s="3" t="str">
        <f>VLOOKUP(Tabela1[[#This Row],[Advogado]],Tabela2[],2,FALSE)</f>
        <v>Caio Brito</v>
      </c>
      <c r="J2047" s="17">
        <f>IF(Tabela1[[#This Row],[Data de conclusão]]="",NETWORKDAYS(Tabela1[[#This Row],[Data de entrada]],$J$2),NETWORKDAYS(Tabela1[[#This Row],[Data de entrada]],Tabela1[[#This Row],[Data de conclusão]]))</f>
        <v>218</v>
      </c>
      <c r="K2047" s="1"/>
    </row>
    <row r="2048" spans="2:11" x14ac:dyDescent="0.25">
      <c r="B2048" s="3">
        <v>2155</v>
      </c>
      <c r="C2048" s="3" t="s">
        <v>8</v>
      </c>
      <c r="D2048" s="3" t="s">
        <v>14</v>
      </c>
      <c r="E2048" s="4">
        <v>42407</v>
      </c>
      <c r="F2048" s="4"/>
      <c r="G2048" s="3" t="s">
        <v>29</v>
      </c>
      <c r="H2048" s="5">
        <v>57821</v>
      </c>
      <c r="I2048" s="3" t="str">
        <f>VLOOKUP(Tabela1[[#This Row],[Advogado]],Tabela2[],2,FALSE)</f>
        <v>Renê Amaranto</v>
      </c>
      <c r="J2048" s="17">
        <f>IF(Tabela1[[#This Row],[Data de conclusão]]="",NETWORKDAYS(Tabela1[[#This Row],[Data de entrada]],$J$2),NETWORKDAYS(Tabela1[[#This Row],[Data de entrada]],Tabela1[[#This Row],[Data de conclusão]]))</f>
        <v>592</v>
      </c>
      <c r="K2048" s="1"/>
    </row>
    <row r="2049" spans="2:11" x14ac:dyDescent="0.25">
      <c r="B2049" s="3">
        <v>2156</v>
      </c>
      <c r="C2049" s="3" t="s">
        <v>9</v>
      </c>
      <c r="D2049" s="3" t="s">
        <v>15</v>
      </c>
      <c r="E2049" s="4">
        <v>42430</v>
      </c>
      <c r="F2049" s="4"/>
      <c r="G2049" s="3" t="s">
        <v>29</v>
      </c>
      <c r="H2049" s="5">
        <v>13292</v>
      </c>
      <c r="I2049" s="3" t="str">
        <f>VLOOKUP(Tabela1[[#This Row],[Advogado]],Tabela2[],2,FALSE)</f>
        <v>Renê Amaranto</v>
      </c>
      <c r="J2049" s="17">
        <f>IF(Tabela1[[#This Row],[Data de conclusão]]="",NETWORKDAYS(Tabela1[[#This Row],[Data de entrada]],$J$2),NETWORKDAYS(Tabela1[[#This Row],[Data de entrada]],Tabela1[[#This Row],[Data de conclusão]]))</f>
        <v>576</v>
      </c>
      <c r="K2049" s="1"/>
    </row>
    <row r="2050" spans="2:11" x14ac:dyDescent="0.25">
      <c r="B2050" s="3">
        <v>2157</v>
      </c>
      <c r="C2050" s="3" t="s">
        <v>7</v>
      </c>
      <c r="D2050" s="3" t="s">
        <v>16</v>
      </c>
      <c r="E2050" s="4">
        <v>42999</v>
      </c>
      <c r="F2050" s="4"/>
      <c r="G2050" s="3" t="s">
        <v>29</v>
      </c>
      <c r="H2050" s="5">
        <v>32841</v>
      </c>
      <c r="I2050" s="3" t="str">
        <f>VLOOKUP(Tabela1[[#This Row],[Advogado]],Tabela2[],2,FALSE)</f>
        <v>Renê Amaranto</v>
      </c>
      <c r="J2050" s="17">
        <f>IF(Tabela1[[#This Row],[Data de conclusão]]="",NETWORKDAYS(Tabela1[[#This Row],[Data de entrada]],$J$2),NETWORKDAYS(Tabela1[[#This Row],[Data de entrada]],Tabela1[[#This Row],[Data de conclusão]]))</f>
        <v>169</v>
      </c>
      <c r="K2050" s="1"/>
    </row>
    <row r="2051" spans="2:11" x14ac:dyDescent="0.25">
      <c r="B2051" s="3">
        <v>2158</v>
      </c>
      <c r="C2051" s="3" t="s">
        <v>8</v>
      </c>
      <c r="D2051" s="3" t="s">
        <v>17</v>
      </c>
      <c r="E2051" s="4">
        <v>42498</v>
      </c>
      <c r="F2051" s="4"/>
      <c r="G2051" s="3" t="s">
        <v>29</v>
      </c>
      <c r="H2051" s="5">
        <v>37696</v>
      </c>
      <c r="I2051" s="3" t="str">
        <f>VLOOKUP(Tabela1[[#This Row],[Advogado]],Tabela2[],2,FALSE)</f>
        <v>Renê Amaranto</v>
      </c>
      <c r="J2051" s="17">
        <f>IF(Tabela1[[#This Row],[Data de conclusão]]="",NETWORKDAYS(Tabela1[[#This Row],[Data de entrada]],$J$2),NETWORKDAYS(Tabela1[[#This Row],[Data de entrada]],Tabela1[[#This Row],[Data de conclusão]]))</f>
        <v>527</v>
      </c>
      <c r="K2051" s="1"/>
    </row>
    <row r="2052" spans="2:11" x14ac:dyDescent="0.25">
      <c r="B2052" s="3">
        <v>2159</v>
      </c>
      <c r="C2052" s="3" t="s">
        <v>9</v>
      </c>
      <c r="D2052" s="3" t="s">
        <v>10</v>
      </c>
      <c r="E2052" s="4">
        <v>42439</v>
      </c>
      <c r="F2052" s="4"/>
      <c r="G2052" s="3" t="s">
        <v>29</v>
      </c>
      <c r="H2052" s="5">
        <v>9377</v>
      </c>
      <c r="I2052" s="3" t="str">
        <f>VLOOKUP(Tabela1[[#This Row],[Advogado]],Tabela2[],2,FALSE)</f>
        <v>Caio Brito</v>
      </c>
      <c r="J2052" s="17">
        <f>IF(Tabela1[[#This Row],[Data de conclusão]]="",NETWORKDAYS(Tabela1[[#This Row],[Data de entrada]],$J$2),NETWORKDAYS(Tabela1[[#This Row],[Data de entrada]],Tabela1[[#This Row],[Data de conclusão]]))</f>
        <v>569</v>
      </c>
      <c r="K2052" s="1"/>
    </row>
    <row r="2053" spans="2:11" x14ac:dyDescent="0.25">
      <c r="B2053" s="3">
        <v>2160</v>
      </c>
      <c r="C2053" s="3" t="s">
        <v>7</v>
      </c>
      <c r="D2053" s="3" t="s">
        <v>11</v>
      </c>
      <c r="E2053" s="4">
        <v>42911</v>
      </c>
      <c r="F2053" s="4"/>
      <c r="G2053" s="3" t="s">
        <v>29</v>
      </c>
      <c r="H2053" s="5">
        <v>39981</v>
      </c>
      <c r="I2053" s="3" t="str">
        <f>VLOOKUP(Tabela1[[#This Row],[Advogado]],Tabela2[],2,FALSE)</f>
        <v>Caio Brito</v>
      </c>
      <c r="J2053" s="17">
        <f>IF(Tabela1[[#This Row],[Data de conclusão]]="",NETWORKDAYS(Tabela1[[#This Row],[Data de entrada]],$J$2),NETWORKDAYS(Tabela1[[#This Row],[Data de entrada]],Tabela1[[#This Row],[Data de conclusão]]))</f>
        <v>232</v>
      </c>
      <c r="K2053" s="1"/>
    </row>
    <row r="2054" spans="2:11" x14ac:dyDescent="0.25">
      <c r="B2054" s="3">
        <v>2161</v>
      </c>
      <c r="C2054" s="3" t="s">
        <v>8</v>
      </c>
      <c r="D2054" s="3" t="s">
        <v>12</v>
      </c>
      <c r="E2054" s="4">
        <v>42477</v>
      </c>
      <c r="F2054" s="4"/>
      <c r="G2054" s="3" t="s">
        <v>29</v>
      </c>
      <c r="H2054" s="5">
        <v>54683</v>
      </c>
      <c r="I2054" s="3" t="str">
        <f>VLOOKUP(Tabela1[[#This Row],[Advogado]],Tabela2[],2,FALSE)</f>
        <v>Caio Brito</v>
      </c>
      <c r="J2054" s="17">
        <f>IF(Tabela1[[#This Row],[Data de conclusão]]="",NETWORKDAYS(Tabela1[[#This Row],[Data de entrada]],$J$2),NETWORKDAYS(Tabela1[[#This Row],[Data de entrada]],Tabela1[[#This Row],[Data de conclusão]]))</f>
        <v>542</v>
      </c>
      <c r="K2054" s="1"/>
    </row>
    <row r="2055" spans="2:11" x14ac:dyDescent="0.25">
      <c r="B2055" s="3">
        <v>2162</v>
      </c>
      <c r="C2055" s="3" t="s">
        <v>9</v>
      </c>
      <c r="D2055" s="3" t="s">
        <v>13</v>
      </c>
      <c r="E2055" s="4">
        <v>42917</v>
      </c>
      <c r="F2055" s="4"/>
      <c r="G2055" s="3" t="s">
        <v>29</v>
      </c>
      <c r="H2055" s="5">
        <v>47712</v>
      </c>
      <c r="I2055" s="3" t="str">
        <f>VLOOKUP(Tabela1[[#This Row],[Advogado]],Tabela2[],2,FALSE)</f>
        <v>Caio Brito</v>
      </c>
      <c r="J2055" s="17">
        <f>IF(Tabela1[[#This Row],[Data de conclusão]]="",NETWORKDAYS(Tabela1[[#This Row],[Data de entrada]],$J$2),NETWORKDAYS(Tabela1[[#This Row],[Data de entrada]],Tabela1[[#This Row],[Data de conclusão]]))</f>
        <v>227</v>
      </c>
      <c r="K2055" s="1"/>
    </row>
    <row r="2056" spans="2:11" x14ac:dyDescent="0.25">
      <c r="B2056" s="3">
        <v>2163</v>
      </c>
      <c r="C2056" s="3" t="s">
        <v>7</v>
      </c>
      <c r="D2056" s="3" t="s">
        <v>14</v>
      </c>
      <c r="E2056" s="4">
        <v>42962</v>
      </c>
      <c r="F2056" s="4">
        <v>43081</v>
      </c>
      <c r="G2056" s="3" t="s">
        <v>28</v>
      </c>
      <c r="H2056" s="5">
        <v>9425</v>
      </c>
      <c r="I2056" s="3" t="str">
        <f>VLOOKUP(Tabela1[[#This Row],[Advogado]],Tabela2[],2,FALSE)</f>
        <v>Renê Amaranto</v>
      </c>
      <c r="J2056" s="17">
        <f>IF(Tabela1[[#This Row],[Data de conclusão]]="",NETWORKDAYS(Tabela1[[#This Row],[Data de entrada]],$J$2),NETWORKDAYS(Tabela1[[#This Row],[Data de entrada]],Tabela1[[#This Row],[Data de conclusão]]))</f>
        <v>86</v>
      </c>
      <c r="K2056" s="1"/>
    </row>
    <row r="2057" spans="2:11" x14ac:dyDescent="0.25">
      <c r="B2057" s="3">
        <v>2164</v>
      </c>
      <c r="C2057" s="3" t="s">
        <v>8</v>
      </c>
      <c r="D2057" s="3" t="s">
        <v>15</v>
      </c>
      <c r="E2057" s="4">
        <v>42970</v>
      </c>
      <c r="F2057" s="4"/>
      <c r="G2057" s="3" t="s">
        <v>27</v>
      </c>
      <c r="H2057" s="5">
        <v>49542</v>
      </c>
      <c r="I2057" s="3" t="str">
        <f>VLOOKUP(Tabela1[[#This Row],[Advogado]],Tabela2[],2,FALSE)</f>
        <v>Renê Amaranto</v>
      </c>
      <c r="J2057" s="17">
        <f>IF(Tabela1[[#This Row],[Data de conclusão]]="",NETWORKDAYS(Tabela1[[#This Row],[Data de entrada]],$J$2),NETWORKDAYS(Tabela1[[#This Row],[Data de entrada]],Tabela1[[#This Row],[Data de conclusão]]))</f>
        <v>190</v>
      </c>
      <c r="K2057" s="1"/>
    </row>
    <row r="2058" spans="2:11" x14ac:dyDescent="0.25">
      <c r="B2058" s="3">
        <v>2165</v>
      </c>
      <c r="C2058" s="3" t="s">
        <v>9</v>
      </c>
      <c r="D2058" s="3" t="s">
        <v>16</v>
      </c>
      <c r="E2058" s="4">
        <v>42582</v>
      </c>
      <c r="F2058" s="4"/>
      <c r="G2058" s="3" t="s">
        <v>29</v>
      </c>
      <c r="H2058" s="5">
        <v>39867</v>
      </c>
      <c r="I2058" s="3" t="str">
        <f>VLOOKUP(Tabela1[[#This Row],[Advogado]],Tabela2[],2,FALSE)</f>
        <v>Renê Amaranto</v>
      </c>
      <c r="J2058" s="17">
        <f>IF(Tabela1[[#This Row],[Data de conclusão]]="",NETWORKDAYS(Tabela1[[#This Row],[Data de entrada]],$J$2),NETWORKDAYS(Tabela1[[#This Row],[Data de entrada]],Tabela1[[#This Row],[Data de conclusão]]))</f>
        <v>467</v>
      </c>
      <c r="K2058" s="1"/>
    </row>
    <row r="2059" spans="2:11" x14ac:dyDescent="0.25">
      <c r="B2059" s="3">
        <v>2166</v>
      </c>
      <c r="C2059" s="3" t="s">
        <v>7</v>
      </c>
      <c r="D2059" s="3" t="s">
        <v>17</v>
      </c>
      <c r="E2059" s="4">
        <v>42675</v>
      </c>
      <c r="F2059" s="4"/>
      <c r="G2059" s="3" t="s">
        <v>29</v>
      </c>
      <c r="H2059" s="5">
        <v>26086</v>
      </c>
      <c r="I2059" s="3" t="str">
        <f>VLOOKUP(Tabela1[[#This Row],[Advogado]],Tabela2[],2,FALSE)</f>
        <v>Renê Amaranto</v>
      </c>
      <c r="J2059" s="17">
        <f>IF(Tabela1[[#This Row],[Data de conclusão]]="",NETWORKDAYS(Tabela1[[#This Row],[Data de entrada]],$J$2),NETWORKDAYS(Tabela1[[#This Row],[Data de entrada]],Tabela1[[#This Row],[Data de conclusão]]))</f>
        <v>401</v>
      </c>
      <c r="K2059" s="1"/>
    </row>
    <row r="2060" spans="2:11" x14ac:dyDescent="0.25">
      <c r="B2060" s="3">
        <v>2167</v>
      </c>
      <c r="C2060" s="3" t="s">
        <v>8</v>
      </c>
      <c r="D2060" s="3" t="s">
        <v>10</v>
      </c>
      <c r="E2060" s="4">
        <v>42697</v>
      </c>
      <c r="F2060" s="4"/>
      <c r="G2060" s="3" t="s">
        <v>29</v>
      </c>
      <c r="H2060" s="5">
        <v>52010</v>
      </c>
      <c r="I2060" s="3" t="str">
        <f>VLOOKUP(Tabela1[[#This Row],[Advogado]],Tabela2[],2,FALSE)</f>
        <v>Caio Brito</v>
      </c>
      <c r="J2060" s="17">
        <f>IF(Tabela1[[#This Row],[Data de conclusão]]="",NETWORKDAYS(Tabela1[[#This Row],[Data de entrada]],$J$2),NETWORKDAYS(Tabela1[[#This Row],[Data de entrada]],Tabela1[[#This Row],[Data de conclusão]]))</f>
        <v>385</v>
      </c>
      <c r="K2060" s="1"/>
    </row>
    <row r="2061" spans="2:11" x14ac:dyDescent="0.25">
      <c r="B2061" s="3">
        <v>2168</v>
      </c>
      <c r="C2061" s="3" t="s">
        <v>9</v>
      </c>
      <c r="D2061" s="3" t="s">
        <v>11</v>
      </c>
      <c r="E2061" s="4">
        <v>43004</v>
      </c>
      <c r="F2061" s="4"/>
      <c r="G2061" s="3" t="s">
        <v>29</v>
      </c>
      <c r="H2061" s="5">
        <v>46297</v>
      </c>
      <c r="I2061" s="3" t="str">
        <f>VLOOKUP(Tabela1[[#This Row],[Advogado]],Tabela2[],2,FALSE)</f>
        <v>Caio Brito</v>
      </c>
      <c r="J2061" s="17">
        <f>IF(Tabela1[[#This Row],[Data de conclusão]]="",NETWORKDAYS(Tabela1[[#This Row],[Data de entrada]],$J$2),NETWORKDAYS(Tabela1[[#This Row],[Data de entrada]],Tabela1[[#This Row],[Data de conclusão]]))</f>
        <v>166</v>
      </c>
      <c r="K2061" s="1"/>
    </row>
    <row r="2062" spans="2:11" x14ac:dyDescent="0.25">
      <c r="B2062" s="3">
        <v>2169</v>
      </c>
      <c r="C2062" s="3" t="s">
        <v>7</v>
      </c>
      <c r="D2062" s="3" t="s">
        <v>12</v>
      </c>
      <c r="E2062" s="4">
        <v>43017</v>
      </c>
      <c r="F2062" s="4"/>
      <c r="G2062" s="3" t="s">
        <v>29</v>
      </c>
      <c r="H2062" s="5">
        <v>20536</v>
      </c>
      <c r="I2062" s="3" t="str">
        <f>VLOOKUP(Tabela1[[#This Row],[Advogado]],Tabela2[],2,FALSE)</f>
        <v>Caio Brito</v>
      </c>
      <c r="J2062" s="17">
        <f>IF(Tabela1[[#This Row],[Data de conclusão]]="",NETWORKDAYS(Tabela1[[#This Row],[Data de entrada]],$J$2),NETWORKDAYS(Tabela1[[#This Row],[Data de entrada]],Tabela1[[#This Row],[Data de conclusão]]))</f>
        <v>157</v>
      </c>
      <c r="K2062" s="1"/>
    </row>
    <row r="2063" spans="2:11" x14ac:dyDescent="0.25">
      <c r="B2063" s="3">
        <v>2170</v>
      </c>
      <c r="C2063" s="3" t="s">
        <v>8</v>
      </c>
      <c r="D2063" s="3" t="s">
        <v>13</v>
      </c>
      <c r="E2063" s="4">
        <v>42783</v>
      </c>
      <c r="F2063" s="4"/>
      <c r="G2063" s="3" t="s">
        <v>29</v>
      </c>
      <c r="H2063" s="5">
        <v>28658</v>
      </c>
      <c r="I2063" s="3" t="str">
        <f>VLOOKUP(Tabela1[[#This Row],[Advogado]],Tabela2[],2,FALSE)</f>
        <v>Caio Brito</v>
      </c>
      <c r="J2063" s="17">
        <f>IF(Tabela1[[#This Row],[Data de conclusão]]="",NETWORKDAYS(Tabela1[[#This Row],[Data de entrada]],$J$2),NETWORKDAYS(Tabela1[[#This Row],[Data de entrada]],Tabela1[[#This Row],[Data de conclusão]]))</f>
        <v>323</v>
      </c>
      <c r="K2063" s="1"/>
    </row>
    <row r="2064" spans="2:11" x14ac:dyDescent="0.25">
      <c r="B2064" s="3">
        <v>2171</v>
      </c>
      <c r="C2064" s="3" t="s">
        <v>9</v>
      </c>
      <c r="D2064" s="3" t="s">
        <v>14</v>
      </c>
      <c r="E2064" s="4">
        <v>42469</v>
      </c>
      <c r="F2064" s="4"/>
      <c r="G2064" s="3" t="s">
        <v>29</v>
      </c>
      <c r="H2064" s="5">
        <v>35346</v>
      </c>
      <c r="I2064" s="3" t="str">
        <f>VLOOKUP(Tabela1[[#This Row],[Advogado]],Tabela2[],2,FALSE)</f>
        <v>Renê Amaranto</v>
      </c>
      <c r="J2064" s="17">
        <f>IF(Tabela1[[#This Row],[Data de conclusão]]="",NETWORKDAYS(Tabela1[[#This Row],[Data de entrada]],$J$2),NETWORKDAYS(Tabela1[[#This Row],[Data de entrada]],Tabela1[[#This Row],[Data de conclusão]]))</f>
        <v>547</v>
      </c>
      <c r="K2064" s="1"/>
    </row>
    <row r="2065" spans="2:11" x14ac:dyDescent="0.25">
      <c r="B2065" s="3">
        <v>2172</v>
      </c>
      <c r="C2065" s="3" t="s">
        <v>7</v>
      </c>
      <c r="D2065" s="3" t="s">
        <v>15</v>
      </c>
      <c r="E2065" s="4">
        <v>43007</v>
      </c>
      <c r="F2065" s="4"/>
      <c r="G2065" s="3" t="s">
        <v>29</v>
      </c>
      <c r="H2065" s="5">
        <v>35828</v>
      </c>
      <c r="I2065" s="3" t="str">
        <f>VLOOKUP(Tabela1[[#This Row],[Advogado]],Tabela2[],2,FALSE)</f>
        <v>Renê Amaranto</v>
      </c>
      <c r="J2065" s="17">
        <f>IF(Tabela1[[#This Row],[Data de conclusão]]="",NETWORKDAYS(Tabela1[[#This Row],[Data de entrada]],$J$2),NETWORKDAYS(Tabela1[[#This Row],[Data de entrada]],Tabela1[[#This Row],[Data de conclusão]]))</f>
        <v>163</v>
      </c>
      <c r="K2065" s="1"/>
    </row>
    <row r="2066" spans="2:11" x14ac:dyDescent="0.25">
      <c r="B2066" s="3">
        <v>2173</v>
      </c>
      <c r="C2066" s="3" t="s">
        <v>8</v>
      </c>
      <c r="D2066" s="3" t="s">
        <v>16</v>
      </c>
      <c r="E2066" s="4">
        <v>42528</v>
      </c>
      <c r="F2066" s="4"/>
      <c r="G2066" s="3" t="s">
        <v>29</v>
      </c>
      <c r="H2066" s="5">
        <v>9107</v>
      </c>
      <c r="I2066" s="3" t="str">
        <f>VLOOKUP(Tabela1[[#This Row],[Advogado]],Tabela2[],2,FALSE)</f>
        <v>Renê Amaranto</v>
      </c>
      <c r="J2066" s="17">
        <f>IF(Tabela1[[#This Row],[Data de conclusão]]="",NETWORKDAYS(Tabela1[[#This Row],[Data de entrada]],$J$2),NETWORKDAYS(Tabela1[[#This Row],[Data de entrada]],Tabela1[[#This Row],[Data de conclusão]]))</f>
        <v>506</v>
      </c>
      <c r="K2066" s="1"/>
    </row>
    <row r="2067" spans="2:11" x14ac:dyDescent="0.25">
      <c r="B2067" s="3">
        <v>2174</v>
      </c>
      <c r="C2067" s="3" t="s">
        <v>9</v>
      </c>
      <c r="D2067" s="3" t="s">
        <v>17</v>
      </c>
      <c r="E2067" s="4">
        <v>42515</v>
      </c>
      <c r="F2067" s="4"/>
      <c r="G2067" s="3" t="s">
        <v>29</v>
      </c>
      <c r="H2067" s="5">
        <v>39340</v>
      </c>
      <c r="I2067" s="3" t="str">
        <f>VLOOKUP(Tabela1[[#This Row],[Advogado]],Tabela2[],2,FALSE)</f>
        <v>Renê Amaranto</v>
      </c>
      <c r="J2067" s="17">
        <f>IF(Tabela1[[#This Row],[Data de conclusão]]="",NETWORKDAYS(Tabela1[[#This Row],[Data de entrada]],$J$2),NETWORKDAYS(Tabela1[[#This Row],[Data de entrada]],Tabela1[[#This Row],[Data de conclusão]]))</f>
        <v>515</v>
      </c>
      <c r="K2067" s="1"/>
    </row>
    <row r="2068" spans="2:11" x14ac:dyDescent="0.25">
      <c r="B2068" s="3">
        <v>2175</v>
      </c>
      <c r="C2068" s="3" t="s">
        <v>7</v>
      </c>
      <c r="D2068" s="3" t="s">
        <v>10</v>
      </c>
      <c r="E2068" s="4">
        <v>42438</v>
      </c>
      <c r="F2068" s="4"/>
      <c r="G2068" s="3" t="s">
        <v>29</v>
      </c>
      <c r="H2068" s="5">
        <v>21284</v>
      </c>
      <c r="I2068" s="3" t="str">
        <f>VLOOKUP(Tabela1[[#This Row],[Advogado]],Tabela2[],2,FALSE)</f>
        <v>Caio Brito</v>
      </c>
      <c r="J2068" s="17">
        <f>IF(Tabela1[[#This Row],[Data de conclusão]]="",NETWORKDAYS(Tabela1[[#This Row],[Data de entrada]],$J$2),NETWORKDAYS(Tabela1[[#This Row],[Data de entrada]],Tabela1[[#This Row],[Data de conclusão]]))</f>
        <v>570</v>
      </c>
      <c r="K2068" s="1"/>
    </row>
    <row r="2069" spans="2:11" x14ac:dyDescent="0.25">
      <c r="B2069" s="3">
        <v>2176</v>
      </c>
      <c r="C2069" s="3" t="s">
        <v>8</v>
      </c>
      <c r="D2069" s="3" t="s">
        <v>11</v>
      </c>
      <c r="E2069" s="4">
        <v>42604</v>
      </c>
      <c r="F2069" s="4">
        <v>42646</v>
      </c>
      <c r="G2069" s="3" t="s">
        <v>28</v>
      </c>
      <c r="H2069" s="5">
        <v>29110</v>
      </c>
      <c r="I2069" s="3" t="str">
        <f>VLOOKUP(Tabela1[[#This Row],[Advogado]],Tabela2[],2,FALSE)</f>
        <v>Caio Brito</v>
      </c>
      <c r="J2069" s="17">
        <f>IF(Tabela1[[#This Row],[Data de conclusão]]="",NETWORKDAYS(Tabela1[[#This Row],[Data de entrada]],$J$2),NETWORKDAYS(Tabela1[[#This Row],[Data de entrada]],Tabela1[[#This Row],[Data de conclusão]]))</f>
        <v>31</v>
      </c>
      <c r="K2069" s="1"/>
    </row>
    <row r="2070" spans="2:11" x14ac:dyDescent="0.25">
      <c r="B2070" s="3">
        <v>2177</v>
      </c>
      <c r="C2070" s="3" t="s">
        <v>9</v>
      </c>
      <c r="D2070" s="3" t="s">
        <v>12</v>
      </c>
      <c r="E2070" s="4">
        <v>42440</v>
      </c>
      <c r="F2070" s="4"/>
      <c r="G2070" s="3" t="s">
        <v>27</v>
      </c>
      <c r="H2070" s="5">
        <v>58834</v>
      </c>
      <c r="I2070" s="3" t="str">
        <f>VLOOKUP(Tabela1[[#This Row],[Advogado]],Tabela2[],2,FALSE)</f>
        <v>Caio Brito</v>
      </c>
      <c r="J2070" s="17">
        <f>IF(Tabela1[[#This Row],[Data de conclusão]]="",NETWORKDAYS(Tabela1[[#This Row],[Data de entrada]],$J$2),NETWORKDAYS(Tabela1[[#This Row],[Data de entrada]],Tabela1[[#This Row],[Data de conclusão]]))</f>
        <v>568</v>
      </c>
      <c r="K2070" s="1"/>
    </row>
    <row r="2071" spans="2:11" x14ac:dyDescent="0.25">
      <c r="B2071" s="3">
        <v>2178</v>
      </c>
      <c r="C2071" s="3" t="s">
        <v>7</v>
      </c>
      <c r="D2071" s="3" t="s">
        <v>13</v>
      </c>
      <c r="E2071" s="4">
        <v>43035</v>
      </c>
      <c r="F2071" s="4"/>
      <c r="G2071" s="3" t="s">
        <v>29</v>
      </c>
      <c r="H2071" s="5">
        <v>25266</v>
      </c>
      <c r="I2071" s="3" t="str">
        <f>VLOOKUP(Tabela1[[#This Row],[Advogado]],Tabela2[],2,FALSE)</f>
        <v>Caio Brito</v>
      </c>
      <c r="J2071" s="17">
        <f>IF(Tabela1[[#This Row],[Data de conclusão]]="",NETWORKDAYS(Tabela1[[#This Row],[Data de entrada]],$J$2),NETWORKDAYS(Tabela1[[#This Row],[Data de entrada]],Tabela1[[#This Row],[Data de conclusão]]))</f>
        <v>143</v>
      </c>
      <c r="K2071" s="1"/>
    </row>
    <row r="2072" spans="2:11" x14ac:dyDescent="0.25">
      <c r="B2072" s="3">
        <v>2179</v>
      </c>
      <c r="C2072" s="3" t="s">
        <v>8</v>
      </c>
      <c r="D2072" s="3" t="s">
        <v>14</v>
      </c>
      <c r="E2072" s="4">
        <v>42664</v>
      </c>
      <c r="F2072" s="4"/>
      <c r="G2072" s="3" t="s">
        <v>29</v>
      </c>
      <c r="H2072" s="5">
        <v>30056</v>
      </c>
      <c r="I2072" s="3" t="str">
        <f>VLOOKUP(Tabela1[[#This Row],[Advogado]],Tabela2[],2,FALSE)</f>
        <v>Renê Amaranto</v>
      </c>
      <c r="J2072" s="17">
        <f>IF(Tabela1[[#This Row],[Data de conclusão]]="",NETWORKDAYS(Tabela1[[#This Row],[Data de entrada]],$J$2),NETWORKDAYS(Tabela1[[#This Row],[Data de entrada]],Tabela1[[#This Row],[Data de conclusão]]))</f>
        <v>408</v>
      </c>
      <c r="K2072" s="1"/>
    </row>
    <row r="2073" spans="2:11" x14ac:dyDescent="0.25">
      <c r="B2073" s="3">
        <v>2180</v>
      </c>
      <c r="C2073" s="3" t="s">
        <v>9</v>
      </c>
      <c r="D2073" s="3" t="s">
        <v>15</v>
      </c>
      <c r="E2073" s="4">
        <v>42876</v>
      </c>
      <c r="F2073" s="4"/>
      <c r="G2073" s="3" t="s">
        <v>29</v>
      </c>
      <c r="H2073" s="5">
        <v>51033</v>
      </c>
      <c r="I2073" s="3" t="str">
        <f>VLOOKUP(Tabela1[[#This Row],[Advogado]],Tabela2[],2,FALSE)</f>
        <v>Renê Amaranto</v>
      </c>
      <c r="J2073" s="17">
        <f>IF(Tabela1[[#This Row],[Data de conclusão]]="",NETWORKDAYS(Tabela1[[#This Row],[Data de entrada]],$J$2),NETWORKDAYS(Tabela1[[#This Row],[Data de entrada]],Tabela1[[#This Row],[Data de conclusão]]))</f>
        <v>257</v>
      </c>
      <c r="K2073" s="1"/>
    </row>
    <row r="2074" spans="2:11" x14ac:dyDescent="0.25">
      <c r="B2074" s="3">
        <v>2181</v>
      </c>
      <c r="C2074" s="3" t="s">
        <v>7</v>
      </c>
      <c r="D2074" s="3" t="s">
        <v>16</v>
      </c>
      <c r="E2074" s="4">
        <v>42627</v>
      </c>
      <c r="F2074" s="4"/>
      <c r="G2074" s="3" t="s">
        <v>29</v>
      </c>
      <c r="H2074" s="5">
        <v>48817</v>
      </c>
      <c r="I2074" s="3" t="str">
        <f>VLOOKUP(Tabela1[[#This Row],[Advogado]],Tabela2[],2,FALSE)</f>
        <v>Renê Amaranto</v>
      </c>
      <c r="J2074" s="17">
        <f>IF(Tabela1[[#This Row],[Data de conclusão]]="",NETWORKDAYS(Tabela1[[#This Row],[Data de entrada]],$J$2),NETWORKDAYS(Tabela1[[#This Row],[Data de entrada]],Tabela1[[#This Row],[Data de conclusão]]))</f>
        <v>435</v>
      </c>
      <c r="K2074" s="1"/>
    </row>
    <row r="2075" spans="2:11" x14ac:dyDescent="0.25">
      <c r="B2075" s="3">
        <v>2182</v>
      </c>
      <c r="C2075" s="3" t="s">
        <v>8</v>
      </c>
      <c r="D2075" s="3" t="s">
        <v>17</v>
      </c>
      <c r="E2075" s="4">
        <v>42787</v>
      </c>
      <c r="F2075" s="4"/>
      <c r="G2075" s="3" t="s">
        <v>29</v>
      </c>
      <c r="H2075" s="5">
        <v>33146</v>
      </c>
      <c r="I2075" s="3" t="str">
        <f>VLOOKUP(Tabela1[[#This Row],[Advogado]],Tabela2[],2,FALSE)</f>
        <v>Renê Amaranto</v>
      </c>
      <c r="J2075" s="17">
        <f>IF(Tabela1[[#This Row],[Data de conclusão]]="",NETWORKDAYS(Tabela1[[#This Row],[Data de entrada]],$J$2),NETWORKDAYS(Tabela1[[#This Row],[Data de entrada]],Tabela1[[#This Row],[Data de conclusão]]))</f>
        <v>321</v>
      </c>
      <c r="K2075" s="1"/>
    </row>
    <row r="2076" spans="2:11" x14ac:dyDescent="0.25">
      <c r="B2076" s="3">
        <v>2183</v>
      </c>
      <c r="C2076" s="3" t="s">
        <v>9</v>
      </c>
      <c r="D2076" s="3" t="s">
        <v>10</v>
      </c>
      <c r="E2076" s="4">
        <v>42396</v>
      </c>
      <c r="F2076" s="4"/>
      <c r="G2076" s="3" t="s">
        <v>29</v>
      </c>
      <c r="H2076" s="5">
        <v>7469</v>
      </c>
      <c r="I2076" s="3" t="str">
        <f>VLOOKUP(Tabela1[[#This Row],[Advogado]],Tabela2[],2,FALSE)</f>
        <v>Caio Brito</v>
      </c>
      <c r="J2076" s="17">
        <f>IF(Tabela1[[#This Row],[Data de conclusão]]="",NETWORKDAYS(Tabela1[[#This Row],[Data de entrada]],$J$2),NETWORKDAYS(Tabela1[[#This Row],[Data de entrada]],Tabela1[[#This Row],[Data de conclusão]]))</f>
        <v>600</v>
      </c>
      <c r="K2076" s="1"/>
    </row>
    <row r="2077" spans="2:11" x14ac:dyDescent="0.25">
      <c r="B2077" s="3">
        <v>2184</v>
      </c>
      <c r="C2077" s="3" t="s">
        <v>7</v>
      </c>
      <c r="D2077" s="3" t="s">
        <v>11</v>
      </c>
      <c r="E2077" s="4">
        <v>42375</v>
      </c>
      <c r="F2077" s="4"/>
      <c r="G2077" s="3" t="s">
        <v>29</v>
      </c>
      <c r="H2077" s="5">
        <v>47774</v>
      </c>
      <c r="I2077" s="3" t="str">
        <f>VLOOKUP(Tabela1[[#This Row],[Advogado]],Tabela2[],2,FALSE)</f>
        <v>Caio Brito</v>
      </c>
      <c r="J2077" s="17">
        <f>IF(Tabela1[[#This Row],[Data de conclusão]]="",NETWORKDAYS(Tabela1[[#This Row],[Data de entrada]],$J$2),NETWORKDAYS(Tabela1[[#This Row],[Data de entrada]],Tabela1[[#This Row],[Data de conclusão]]))</f>
        <v>615</v>
      </c>
      <c r="K2077" s="1"/>
    </row>
    <row r="2078" spans="2:11" x14ac:dyDescent="0.25">
      <c r="B2078" s="3">
        <v>2185</v>
      </c>
      <c r="C2078" s="3" t="s">
        <v>8</v>
      </c>
      <c r="D2078" s="3" t="s">
        <v>12</v>
      </c>
      <c r="E2078" s="4">
        <v>42460</v>
      </c>
      <c r="F2078" s="4"/>
      <c r="G2078" s="3" t="s">
        <v>29</v>
      </c>
      <c r="H2078" s="5">
        <v>10671</v>
      </c>
      <c r="I2078" s="3" t="str">
        <f>VLOOKUP(Tabela1[[#This Row],[Advogado]],Tabela2[],2,FALSE)</f>
        <v>Caio Brito</v>
      </c>
      <c r="J2078" s="17">
        <f>IF(Tabela1[[#This Row],[Data de conclusão]]="",NETWORKDAYS(Tabela1[[#This Row],[Data de entrada]],$J$2),NETWORKDAYS(Tabela1[[#This Row],[Data de entrada]],Tabela1[[#This Row],[Data de conclusão]]))</f>
        <v>554</v>
      </c>
      <c r="K2078" s="1"/>
    </row>
    <row r="2079" spans="2:11" x14ac:dyDescent="0.25">
      <c r="B2079" s="3">
        <v>2186</v>
      </c>
      <c r="C2079" s="3" t="s">
        <v>9</v>
      </c>
      <c r="D2079" s="3" t="s">
        <v>13</v>
      </c>
      <c r="E2079" s="4">
        <v>42537</v>
      </c>
      <c r="F2079" s="4"/>
      <c r="G2079" s="3" t="s">
        <v>29</v>
      </c>
      <c r="H2079" s="5">
        <v>10926</v>
      </c>
      <c r="I2079" s="3" t="str">
        <f>VLOOKUP(Tabela1[[#This Row],[Advogado]],Tabela2[],2,FALSE)</f>
        <v>Caio Brito</v>
      </c>
      <c r="J2079" s="17">
        <f>IF(Tabela1[[#This Row],[Data de conclusão]]="",NETWORKDAYS(Tabela1[[#This Row],[Data de entrada]],$J$2),NETWORKDAYS(Tabela1[[#This Row],[Data de entrada]],Tabela1[[#This Row],[Data de conclusão]]))</f>
        <v>499</v>
      </c>
      <c r="K2079" s="1"/>
    </row>
    <row r="2080" spans="2:11" x14ac:dyDescent="0.25">
      <c r="B2080" s="3">
        <v>2187</v>
      </c>
      <c r="C2080" s="3" t="s">
        <v>7</v>
      </c>
      <c r="D2080" s="3" t="s">
        <v>14</v>
      </c>
      <c r="E2080" s="4">
        <v>42473</v>
      </c>
      <c r="F2080" s="4"/>
      <c r="G2080" s="3" t="s">
        <v>29</v>
      </c>
      <c r="H2080" s="5">
        <v>55654</v>
      </c>
      <c r="I2080" s="3" t="str">
        <f>VLOOKUP(Tabela1[[#This Row],[Advogado]],Tabela2[],2,FALSE)</f>
        <v>Renê Amaranto</v>
      </c>
      <c r="J2080" s="17">
        <f>IF(Tabela1[[#This Row],[Data de conclusão]]="",NETWORKDAYS(Tabela1[[#This Row],[Data de entrada]],$J$2),NETWORKDAYS(Tabela1[[#This Row],[Data de entrada]],Tabela1[[#This Row],[Data de conclusão]]))</f>
        <v>545</v>
      </c>
      <c r="K2080" s="1"/>
    </row>
    <row r="2081" spans="2:11" x14ac:dyDescent="0.25">
      <c r="B2081" s="3">
        <v>2188</v>
      </c>
      <c r="C2081" s="3" t="s">
        <v>8</v>
      </c>
      <c r="D2081" s="3" t="s">
        <v>15</v>
      </c>
      <c r="E2081" s="4">
        <v>43030</v>
      </c>
      <c r="F2081" s="4"/>
      <c r="G2081" s="3" t="s">
        <v>29</v>
      </c>
      <c r="H2081" s="5">
        <v>30552</v>
      </c>
      <c r="I2081" s="3" t="str">
        <f>VLOOKUP(Tabela1[[#This Row],[Advogado]],Tabela2[],2,FALSE)</f>
        <v>Renê Amaranto</v>
      </c>
      <c r="J2081" s="17">
        <f>IF(Tabela1[[#This Row],[Data de conclusão]]="",NETWORKDAYS(Tabela1[[#This Row],[Data de entrada]],$J$2),NETWORKDAYS(Tabela1[[#This Row],[Data de entrada]],Tabela1[[#This Row],[Data de conclusão]]))</f>
        <v>147</v>
      </c>
      <c r="K2081" s="1"/>
    </row>
    <row r="2082" spans="2:11" x14ac:dyDescent="0.25">
      <c r="B2082" s="3">
        <v>2189</v>
      </c>
      <c r="C2082" s="3" t="s">
        <v>9</v>
      </c>
      <c r="D2082" s="3" t="s">
        <v>16</v>
      </c>
      <c r="E2082" s="4">
        <v>42373</v>
      </c>
      <c r="F2082" s="4">
        <v>42424</v>
      </c>
      <c r="G2082" s="3" t="s">
        <v>28</v>
      </c>
      <c r="H2082" s="5">
        <v>42572</v>
      </c>
      <c r="I2082" s="3" t="str">
        <f>VLOOKUP(Tabela1[[#This Row],[Advogado]],Tabela2[],2,FALSE)</f>
        <v>Renê Amaranto</v>
      </c>
      <c r="J2082" s="17">
        <f>IF(Tabela1[[#This Row],[Data de conclusão]]="",NETWORKDAYS(Tabela1[[#This Row],[Data de entrada]],$J$2),NETWORKDAYS(Tabela1[[#This Row],[Data de entrada]],Tabela1[[#This Row],[Data de conclusão]]))</f>
        <v>38</v>
      </c>
      <c r="K2082" s="1"/>
    </row>
    <row r="2083" spans="2:11" x14ac:dyDescent="0.25">
      <c r="B2083" s="3">
        <v>2190</v>
      </c>
      <c r="C2083" s="3" t="s">
        <v>7</v>
      </c>
      <c r="D2083" s="3" t="s">
        <v>17</v>
      </c>
      <c r="E2083" s="4">
        <v>42667</v>
      </c>
      <c r="F2083" s="4"/>
      <c r="G2083" s="3" t="s">
        <v>27</v>
      </c>
      <c r="H2083" s="5">
        <v>15568</v>
      </c>
      <c r="I2083" s="3" t="str">
        <f>VLOOKUP(Tabela1[[#This Row],[Advogado]],Tabela2[],2,FALSE)</f>
        <v>Renê Amaranto</v>
      </c>
      <c r="J2083" s="17">
        <f>IF(Tabela1[[#This Row],[Data de conclusão]]="",NETWORKDAYS(Tabela1[[#This Row],[Data de entrada]],$J$2),NETWORKDAYS(Tabela1[[#This Row],[Data de entrada]],Tabela1[[#This Row],[Data de conclusão]]))</f>
        <v>407</v>
      </c>
      <c r="K2083" s="1"/>
    </row>
    <row r="2084" spans="2:11" x14ac:dyDescent="0.25">
      <c r="B2084" s="3">
        <v>2191</v>
      </c>
      <c r="C2084" s="3" t="s">
        <v>8</v>
      </c>
      <c r="D2084" s="3" t="s">
        <v>10</v>
      </c>
      <c r="E2084" s="4">
        <v>43037</v>
      </c>
      <c r="F2084" s="4"/>
      <c r="G2084" s="3" t="s">
        <v>29</v>
      </c>
      <c r="H2084" s="5">
        <v>42504</v>
      </c>
      <c r="I2084" s="3" t="str">
        <f>VLOOKUP(Tabela1[[#This Row],[Advogado]],Tabela2[],2,FALSE)</f>
        <v>Caio Brito</v>
      </c>
      <c r="J2084" s="17">
        <f>IF(Tabela1[[#This Row],[Data de conclusão]]="",NETWORKDAYS(Tabela1[[#This Row],[Data de entrada]],$J$2),NETWORKDAYS(Tabela1[[#This Row],[Data de entrada]],Tabela1[[#This Row],[Data de conclusão]]))</f>
        <v>142</v>
      </c>
      <c r="K2084" s="1"/>
    </row>
    <row r="2085" spans="2:11" x14ac:dyDescent="0.25">
      <c r="B2085" s="3">
        <v>2192</v>
      </c>
      <c r="C2085" s="3" t="s">
        <v>9</v>
      </c>
      <c r="D2085" s="3" t="s">
        <v>11</v>
      </c>
      <c r="E2085" s="4">
        <v>42845</v>
      </c>
      <c r="F2085" s="4"/>
      <c r="G2085" s="3" t="s">
        <v>29</v>
      </c>
      <c r="H2085" s="5">
        <v>901</v>
      </c>
      <c r="I2085" s="3" t="str">
        <f>VLOOKUP(Tabela1[[#This Row],[Advogado]],Tabela2[],2,FALSE)</f>
        <v>Caio Brito</v>
      </c>
      <c r="J2085" s="17">
        <f>IF(Tabela1[[#This Row],[Data de conclusão]]="",NETWORKDAYS(Tabela1[[#This Row],[Data de entrada]],$J$2),NETWORKDAYS(Tabela1[[#This Row],[Data de entrada]],Tabela1[[#This Row],[Data de conclusão]]))</f>
        <v>279</v>
      </c>
      <c r="K2085" s="1"/>
    </row>
    <row r="2086" spans="2:11" x14ac:dyDescent="0.25">
      <c r="B2086" s="3">
        <v>2193</v>
      </c>
      <c r="C2086" s="3" t="s">
        <v>7</v>
      </c>
      <c r="D2086" s="3" t="s">
        <v>12</v>
      </c>
      <c r="E2086" s="4">
        <v>43043</v>
      </c>
      <c r="F2086" s="4"/>
      <c r="G2086" s="3" t="s">
        <v>29</v>
      </c>
      <c r="H2086" s="5">
        <v>23659</v>
      </c>
      <c r="I2086" s="3" t="str">
        <f>VLOOKUP(Tabela1[[#This Row],[Advogado]],Tabela2[],2,FALSE)</f>
        <v>Caio Brito</v>
      </c>
      <c r="J2086" s="17">
        <f>IF(Tabela1[[#This Row],[Data de conclusão]]="",NETWORKDAYS(Tabela1[[#This Row],[Data de entrada]],$J$2),NETWORKDAYS(Tabela1[[#This Row],[Data de entrada]],Tabela1[[#This Row],[Data de conclusão]]))</f>
        <v>137</v>
      </c>
      <c r="K2086" s="1"/>
    </row>
    <row r="2087" spans="2:11" x14ac:dyDescent="0.25">
      <c r="B2087" s="3">
        <v>2194</v>
      </c>
      <c r="C2087" s="3" t="s">
        <v>8</v>
      </c>
      <c r="D2087" s="3" t="s">
        <v>13</v>
      </c>
      <c r="E2087" s="4">
        <v>42542</v>
      </c>
      <c r="F2087" s="4"/>
      <c r="G2087" s="3" t="s">
        <v>29</v>
      </c>
      <c r="H2087" s="5">
        <v>11734</v>
      </c>
      <c r="I2087" s="3" t="str">
        <f>VLOOKUP(Tabela1[[#This Row],[Advogado]],Tabela2[],2,FALSE)</f>
        <v>Caio Brito</v>
      </c>
      <c r="J2087" s="17">
        <f>IF(Tabela1[[#This Row],[Data de conclusão]]="",NETWORKDAYS(Tabela1[[#This Row],[Data de entrada]],$J$2),NETWORKDAYS(Tabela1[[#This Row],[Data de entrada]],Tabela1[[#This Row],[Data de conclusão]]))</f>
        <v>496</v>
      </c>
      <c r="K2087" s="1"/>
    </row>
    <row r="2088" spans="2:11" x14ac:dyDescent="0.25">
      <c r="B2088" s="3">
        <v>2195</v>
      </c>
      <c r="C2088" s="3" t="s">
        <v>9</v>
      </c>
      <c r="D2088" s="3" t="s">
        <v>14</v>
      </c>
      <c r="E2088" s="4">
        <v>42613</v>
      </c>
      <c r="F2088" s="4"/>
      <c r="G2088" s="3" t="s">
        <v>29</v>
      </c>
      <c r="H2088" s="5">
        <v>55358</v>
      </c>
      <c r="I2088" s="3" t="str">
        <f>VLOOKUP(Tabela1[[#This Row],[Advogado]],Tabela2[],2,FALSE)</f>
        <v>Renê Amaranto</v>
      </c>
      <c r="J2088" s="17">
        <f>IF(Tabela1[[#This Row],[Data de conclusão]]="",NETWORKDAYS(Tabela1[[#This Row],[Data de entrada]],$J$2),NETWORKDAYS(Tabela1[[#This Row],[Data de entrada]],Tabela1[[#This Row],[Data de conclusão]]))</f>
        <v>445</v>
      </c>
      <c r="K2088" s="1"/>
    </row>
    <row r="2089" spans="2:11" x14ac:dyDescent="0.25">
      <c r="B2089" s="3">
        <v>2196</v>
      </c>
      <c r="C2089" s="3" t="s">
        <v>7</v>
      </c>
      <c r="D2089" s="3" t="s">
        <v>15</v>
      </c>
      <c r="E2089" s="4">
        <v>42389</v>
      </c>
      <c r="F2089" s="4"/>
      <c r="G2089" s="3" t="s">
        <v>29</v>
      </c>
      <c r="H2089" s="5">
        <v>25046</v>
      </c>
      <c r="I2089" s="3" t="str">
        <f>VLOOKUP(Tabela1[[#This Row],[Advogado]],Tabela2[],2,FALSE)</f>
        <v>Renê Amaranto</v>
      </c>
      <c r="J2089" s="17">
        <f>IF(Tabela1[[#This Row],[Data de conclusão]]="",NETWORKDAYS(Tabela1[[#This Row],[Data de entrada]],$J$2),NETWORKDAYS(Tabela1[[#This Row],[Data de entrada]],Tabela1[[#This Row],[Data de conclusão]]))</f>
        <v>605</v>
      </c>
      <c r="K2089" s="1"/>
    </row>
    <row r="2090" spans="2:11" x14ac:dyDescent="0.25">
      <c r="B2090" s="3">
        <v>2197</v>
      </c>
      <c r="C2090" s="3" t="s">
        <v>8</v>
      </c>
      <c r="D2090" s="3" t="s">
        <v>16</v>
      </c>
      <c r="E2090" s="4">
        <v>42736</v>
      </c>
      <c r="F2090" s="4"/>
      <c r="G2090" s="3" t="s">
        <v>29</v>
      </c>
      <c r="H2090" s="5">
        <v>58008</v>
      </c>
      <c r="I2090" s="3" t="str">
        <f>VLOOKUP(Tabela1[[#This Row],[Advogado]],Tabela2[],2,FALSE)</f>
        <v>Renê Amaranto</v>
      </c>
      <c r="J2090" s="17">
        <f>IF(Tabela1[[#This Row],[Data de conclusão]]="",NETWORKDAYS(Tabela1[[#This Row],[Data de entrada]],$J$2),NETWORKDAYS(Tabela1[[#This Row],[Data de entrada]],Tabela1[[#This Row],[Data de conclusão]]))</f>
        <v>357</v>
      </c>
      <c r="K2090" s="1"/>
    </row>
    <row r="2091" spans="2:11" x14ac:dyDescent="0.25">
      <c r="B2091" s="3">
        <v>2198</v>
      </c>
      <c r="C2091" s="3" t="s">
        <v>9</v>
      </c>
      <c r="D2091" s="3" t="s">
        <v>17</v>
      </c>
      <c r="E2091" s="4">
        <v>42514</v>
      </c>
      <c r="F2091" s="4"/>
      <c r="G2091" s="3" t="s">
        <v>29</v>
      </c>
      <c r="H2091" s="5">
        <v>11839</v>
      </c>
      <c r="I2091" s="3" t="str">
        <f>VLOOKUP(Tabela1[[#This Row],[Advogado]],Tabela2[],2,FALSE)</f>
        <v>Renê Amaranto</v>
      </c>
      <c r="J2091" s="17">
        <f>IF(Tabela1[[#This Row],[Data de conclusão]]="",NETWORKDAYS(Tabela1[[#This Row],[Data de entrada]],$J$2),NETWORKDAYS(Tabela1[[#This Row],[Data de entrada]],Tabela1[[#This Row],[Data de conclusão]]))</f>
        <v>516</v>
      </c>
      <c r="K2091" s="1"/>
    </row>
    <row r="2092" spans="2:11" x14ac:dyDescent="0.25">
      <c r="B2092" s="3">
        <v>2199</v>
      </c>
      <c r="C2092" s="3" t="s">
        <v>7</v>
      </c>
      <c r="D2092" s="3" t="s">
        <v>10</v>
      </c>
      <c r="E2092" s="4">
        <v>42970</v>
      </c>
      <c r="F2092" s="4"/>
      <c r="G2092" s="3" t="s">
        <v>29</v>
      </c>
      <c r="H2092" s="5">
        <v>51313</v>
      </c>
      <c r="I2092" s="3" t="str">
        <f>VLOOKUP(Tabela1[[#This Row],[Advogado]],Tabela2[],2,FALSE)</f>
        <v>Caio Brito</v>
      </c>
      <c r="J2092" s="17">
        <f>IF(Tabela1[[#This Row],[Data de conclusão]]="",NETWORKDAYS(Tabela1[[#This Row],[Data de entrada]],$J$2),NETWORKDAYS(Tabela1[[#This Row],[Data de entrada]],Tabela1[[#This Row],[Data de conclusão]]))</f>
        <v>190</v>
      </c>
      <c r="K2092" s="1"/>
    </row>
    <row r="2093" spans="2:11" x14ac:dyDescent="0.25">
      <c r="B2093" s="3">
        <v>2200</v>
      </c>
      <c r="C2093" s="3" t="s">
        <v>8</v>
      </c>
      <c r="D2093" s="3" t="s">
        <v>11</v>
      </c>
      <c r="E2093" s="4">
        <v>42960</v>
      </c>
      <c r="F2093" s="4"/>
      <c r="G2093" s="3" t="s">
        <v>29</v>
      </c>
      <c r="H2093" s="5">
        <v>6778</v>
      </c>
      <c r="I2093" s="3" t="str">
        <f>VLOOKUP(Tabela1[[#This Row],[Advogado]],Tabela2[],2,FALSE)</f>
        <v>Caio Brito</v>
      </c>
      <c r="J2093" s="17">
        <f>IF(Tabela1[[#This Row],[Data de conclusão]]="",NETWORKDAYS(Tabela1[[#This Row],[Data de entrada]],$J$2),NETWORKDAYS(Tabela1[[#This Row],[Data de entrada]],Tabela1[[#This Row],[Data de conclusão]]))</f>
        <v>197</v>
      </c>
      <c r="K2093" s="1"/>
    </row>
    <row r="2094" spans="2:11" x14ac:dyDescent="0.25">
      <c r="B2094" s="3">
        <v>2201</v>
      </c>
      <c r="C2094" s="3" t="s">
        <v>9</v>
      </c>
      <c r="D2094" s="3" t="s">
        <v>12</v>
      </c>
      <c r="E2094" s="4">
        <v>42473</v>
      </c>
      <c r="F2094" s="4"/>
      <c r="G2094" s="3" t="s">
        <v>29</v>
      </c>
      <c r="H2094" s="5">
        <v>43373</v>
      </c>
      <c r="I2094" s="3" t="str">
        <f>VLOOKUP(Tabela1[[#This Row],[Advogado]],Tabela2[],2,FALSE)</f>
        <v>Caio Brito</v>
      </c>
      <c r="J2094" s="17">
        <f>IF(Tabela1[[#This Row],[Data de conclusão]]="",NETWORKDAYS(Tabela1[[#This Row],[Data de entrada]],$J$2),NETWORKDAYS(Tabela1[[#This Row],[Data de entrada]],Tabela1[[#This Row],[Data de conclusão]]))</f>
        <v>545</v>
      </c>
      <c r="K2094" s="1"/>
    </row>
    <row r="2095" spans="2:11" x14ac:dyDescent="0.25">
      <c r="B2095" s="3">
        <v>2202</v>
      </c>
      <c r="C2095" s="3" t="s">
        <v>7</v>
      </c>
      <c r="D2095" s="3" t="s">
        <v>13</v>
      </c>
      <c r="E2095" s="4">
        <v>42487</v>
      </c>
      <c r="F2095" s="4">
        <v>42532</v>
      </c>
      <c r="G2095" s="3" t="s">
        <v>28</v>
      </c>
      <c r="H2095" s="5">
        <v>18028</v>
      </c>
      <c r="I2095" s="3" t="str">
        <f>VLOOKUP(Tabela1[[#This Row],[Advogado]],Tabela2[],2,FALSE)</f>
        <v>Caio Brito</v>
      </c>
      <c r="J2095" s="17">
        <f>IF(Tabela1[[#This Row],[Data de conclusão]]="",NETWORKDAYS(Tabela1[[#This Row],[Data de entrada]],$J$2),NETWORKDAYS(Tabela1[[#This Row],[Data de entrada]],Tabela1[[#This Row],[Data de conclusão]]))</f>
        <v>33</v>
      </c>
      <c r="K2095" s="1"/>
    </row>
    <row r="2096" spans="2:11" x14ac:dyDescent="0.25">
      <c r="B2096" s="3">
        <v>2203</v>
      </c>
      <c r="C2096" s="3" t="s">
        <v>8</v>
      </c>
      <c r="D2096" s="3" t="s">
        <v>14</v>
      </c>
      <c r="E2096" s="4">
        <v>42904</v>
      </c>
      <c r="F2096" s="4"/>
      <c r="G2096" s="3" t="s">
        <v>27</v>
      </c>
      <c r="H2096" s="5">
        <v>2322</v>
      </c>
      <c r="I2096" s="3" t="str">
        <f>VLOOKUP(Tabela1[[#This Row],[Advogado]],Tabela2[],2,FALSE)</f>
        <v>Renê Amaranto</v>
      </c>
      <c r="J2096" s="17">
        <f>IF(Tabela1[[#This Row],[Data de conclusão]]="",NETWORKDAYS(Tabela1[[#This Row],[Data de entrada]],$J$2),NETWORKDAYS(Tabela1[[#This Row],[Data de entrada]],Tabela1[[#This Row],[Data de conclusão]]))</f>
        <v>237</v>
      </c>
      <c r="K2096" s="1"/>
    </row>
    <row r="2097" spans="2:11" x14ac:dyDescent="0.25">
      <c r="B2097" s="3">
        <v>2204</v>
      </c>
      <c r="C2097" s="3" t="s">
        <v>9</v>
      </c>
      <c r="D2097" s="3" t="s">
        <v>15</v>
      </c>
      <c r="E2097" s="4">
        <v>42614</v>
      </c>
      <c r="F2097" s="4"/>
      <c r="G2097" s="3" t="s">
        <v>29</v>
      </c>
      <c r="H2097" s="5">
        <v>26971</v>
      </c>
      <c r="I2097" s="3" t="str">
        <f>VLOOKUP(Tabela1[[#This Row],[Advogado]],Tabela2[],2,FALSE)</f>
        <v>Renê Amaranto</v>
      </c>
      <c r="J2097" s="17">
        <f>IF(Tabela1[[#This Row],[Data de conclusão]]="",NETWORKDAYS(Tabela1[[#This Row],[Data de entrada]],$J$2),NETWORKDAYS(Tabela1[[#This Row],[Data de entrada]],Tabela1[[#This Row],[Data de conclusão]]))</f>
        <v>444</v>
      </c>
      <c r="K2097" s="1"/>
    </row>
    <row r="2098" spans="2:11" x14ac:dyDescent="0.25">
      <c r="B2098" s="3">
        <v>2205</v>
      </c>
      <c r="C2098" s="3" t="s">
        <v>7</v>
      </c>
      <c r="D2098" s="3" t="s">
        <v>16</v>
      </c>
      <c r="E2098" s="4">
        <v>42531</v>
      </c>
      <c r="F2098" s="4"/>
      <c r="G2098" s="3" t="s">
        <v>29</v>
      </c>
      <c r="H2098" s="5">
        <v>35167</v>
      </c>
      <c r="I2098" s="3" t="str">
        <f>VLOOKUP(Tabela1[[#This Row],[Advogado]],Tabela2[],2,FALSE)</f>
        <v>Renê Amaranto</v>
      </c>
      <c r="J2098" s="17">
        <f>IF(Tabela1[[#This Row],[Data de conclusão]]="",NETWORKDAYS(Tabela1[[#This Row],[Data de entrada]],$J$2),NETWORKDAYS(Tabela1[[#This Row],[Data de entrada]],Tabela1[[#This Row],[Data de conclusão]]))</f>
        <v>503</v>
      </c>
      <c r="K2098" s="1"/>
    </row>
    <row r="2099" spans="2:11" x14ac:dyDescent="0.25">
      <c r="B2099" s="3">
        <v>2206</v>
      </c>
      <c r="C2099" s="3" t="s">
        <v>8</v>
      </c>
      <c r="D2099" s="3" t="s">
        <v>17</v>
      </c>
      <c r="E2099" s="4">
        <v>43074</v>
      </c>
      <c r="F2099" s="4"/>
      <c r="G2099" s="3" t="s">
        <v>29</v>
      </c>
      <c r="H2099" s="5">
        <v>13267</v>
      </c>
      <c r="I2099" s="3" t="str">
        <f>VLOOKUP(Tabela1[[#This Row],[Advogado]],Tabela2[],2,FALSE)</f>
        <v>Renê Amaranto</v>
      </c>
      <c r="J2099" s="17">
        <f>IF(Tabela1[[#This Row],[Data de conclusão]]="",NETWORKDAYS(Tabela1[[#This Row],[Data de entrada]],$J$2),NETWORKDAYS(Tabela1[[#This Row],[Data de entrada]],Tabela1[[#This Row],[Data de conclusão]]))</f>
        <v>116</v>
      </c>
      <c r="K2099" s="1"/>
    </row>
    <row r="2100" spans="2:11" x14ac:dyDescent="0.25">
      <c r="B2100" s="3">
        <v>2207</v>
      </c>
      <c r="C2100" s="3" t="s">
        <v>9</v>
      </c>
      <c r="D2100" s="3" t="s">
        <v>10</v>
      </c>
      <c r="E2100" s="4">
        <v>42452</v>
      </c>
      <c r="F2100" s="4"/>
      <c r="G2100" s="3" t="s">
        <v>29</v>
      </c>
      <c r="H2100" s="5">
        <v>32882</v>
      </c>
      <c r="I2100" s="3" t="str">
        <f>VLOOKUP(Tabela1[[#This Row],[Advogado]],Tabela2[],2,FALSE)</f>
        <v>Caio Brito</v>
      </c>
      <c r="J2100" s="17">
        <f>IF(Tabela1[[#This Row],[Data de conclusão]]="",NETWORKDAYS(Tabela1[[#This Row],[Data de entrada]],$J$2),NETWORKDAYS(Tabela1[[#This Row],[Data de entrada]],Tabela1[[#This Row],[Data de conclusão]]))</f>
        <v>560</v>
      </c>
      <c r="K2100" s="1"/>
    </row>
    <row r="2101" spans="2:11" x14ac:dyDescent="0.25">
      <c r="B2101" s="3">
        <v>2208</v>
      </c>
      <c r="C2101" s="3" t="s">
        <v>7</v>
      </c>
      <c r="D2101" s="3" t="s">
        <v>11</v>
      </c>
      <c r="E2101" s="4">
        <v>42598</v>
      </c>
      <c r="F2101" s="4"/>
      <c r="G2101" s="3" t="s">
        <v>29</v>
      </c>
      <c r="H2101" s="5">
        <v>34251</v>
      </c>
      <c r="I2101" s="3" t="str">
        <f>VLOOKUP(Tabela1[[#This Row],[Advogado]],Tabela2[],2,FALSE)</f>
        <v>Caio Brito</v>
      </c>
      <c r="J2101" s="17">
        <f>IF(Tabela1[[#This Row],[Data de conclusão]]="",NETWORKDAYS(Tabela1[[#This Row],[Data de entrada]],$J$2),NETWORKDAYS(Tabela1[[#This Row],[Data de entrada]],Tabela1[[#This Row],[Data de conclusão]]))</f>
        <v>456</v>
      </c>
      <c r="K2101" s="1"/>
    </row>
    <row r="2102" spans="2:11" x14ac:dyDescent="0.25">
      <c r="B2102" s="3">
        <v>2209</v>
      </c>
      <c r="C2102" s="3" t="s">
        <v>8</v>
      </c>
      <c r="D2102" s="3" t="s">
        <v>12</v>
      </c>
      <c r="E2102" s="4">
        <v>42936</v>
      </c>
      <c r="F2102" s="4"/>
      <c r="G2102" s="3" t="s">
        <v>29</v>
      </c>
      <c r="H2102" s="5">
        <v>18893</v>
      </c>
      <c r="I2102" s="3" t="str">
        <f>VLOOKUP(Tabela1[[#This Row],[Advogado]],Tabela2[],2,FALSE)</f>
        <v>Caio Brito</v>
      </c>
      <c r="J2102" s="17">
        <f>IF(Tabela1[[#This Row],[Data de conclusão]]="",NETWORKDAYS(Tabela1[[#This Row],[Data de entrada]],$J$2),NETWORKDAYS(Tabela1[[#This Row],[Data de entrada]],Tabela1[[#This Row],[Data de conclusão]]))</f>
        <v>214</v>
      </c>
      <c r="K2102" s="1"/>
    </row>
    <row r="2103" spans="2:11" x14ac:dyDescent="0.25">
      <c r="B2103" s="3">
        <v>2210</v>
      </c>
      <c r="C2103" s="3" t="s">
        <v>9</v>
      </c>
      <c r="D2103" s="3" t="s">
        <v>13</v>
      </c>
      <c r="E2103" s="4">
        <v>42499</v>
      </c>
      <c r="F2103" s="4"/>
      <c r="G2103" s="3" t="s">
        <v>29</v>
      </c>
      <c r="H2103" s="5">
        <v>50258</v>
      </c>
      <c r="I2103" s="3" t="str">
        <f>VLOOKUP(Tabela1[[#This Row],[Advogado]],Tabela2[],2,FALSE)</f>
        <v>Caio Brito</v>
      </c>
      <c r="J2103" s="17">
        <f>IF(Tabela1[[#This Row],[Data de conclusão]]="",NETWORKDAYS(Tabela1[[#This Row],[Data de entrada]],$J$2),NETWORKDAYS(Tabela1[[#This Row],[Data de entrada]],Tabela1[[#This Row],[Data de conclusão]]))</f>
        <v>527</v>
      </c>
      <c r="K2103" s="1"/>
    </row>
    <row r="2104" spans="2:11" x14ac:dyDescent="0.25">
      <c r="B2104" s="3">
        <v>2211</v>
      </c>
      <c r="C2104" s="3" t="s">
        <v>7</v>
      </c>
      <c r="D2104" s="3" t="s">
        <v>14</v>
      </c>
      <c r="E2104" s="4">
        <v>43004</v>
      </c>
      <c r="F2104" s="4"/>
      <c r="G2104" s="3" t="s">
        <v>29</v>
      </c>
      <c r="H2104" s="5">
        <v>8233</v>
      </c>
      <c r="I2104" s="3" t="str">
        <f>VLOOKUP(Tabela1[[#This Row],[Advogado]],Tabela2[],2,FALSE)</f>
        <v>Renê Amaranto</v>
      </c>
      <c r="J2104" s="17">
        <f>IF(Tabela1[[#This Row],[Data de conclusão]]="",NETWORKDAYS(Tabela1[[#This Row],[Data de entrada]],$J$2),NETWORKDAYS(Tabela1[[#This Row],[Data de entrada]],Tabela1[[#This Row],[Data de conclusão]]))</f>
        <v>166</v>
      </c>
      <c r="K2104" s="1"/>
    </row>
    <row r="2105" spans="2:11" x14ac:dyDescent="0.25">
      <c r="B2105" s="3">
        <v>2212</v>
      </c>
      <c r="C2105" s="3" t="s">
        <v>8</v>
      </c>
      <c r="D2105" s="3" t="s">
        <v>15</v>
      </c>
      <c r="E2105" s="4">
        <v>42789</v>
      </c>
      <c r="F2105" s="4"/>
      <c r="G2105" s="3" t="s">
        <v>29</v>
      </c>
      <c r="H2105" s="5">
        <v>9481</v>
      </c>
      <c r="I2105" s="3" t="str">
        <f>VLOOKUP(Tabela1[[#This Row],[Advogado]],Tabela2[],2,FALSE)</f>
        <v>Renê Amaranto</v>
      </c>
      <c r="J2105" s="17">
        <f>IF(Tabela1[[#This Row],[Data de conclusão]]="",NETWORKDAYS(Tabela1[[#This Row],[Data de entrada]],$J$2),NETWORKDAYS(Tabela1[[#This Row],[Data de entrada]],Tabela1[[#This Row],[Data de conclusão]]))</f>
        <v>319</v>
      </c>
      <c r="K2105" s="1"/>
    </row>
    <row r="2106" spans="2:11" x14ac:dyDescent="0.25">
      <c r="B2106" s="3">
        <v>2213</v>
      </c>
      <c r="C2106" s="3" t="s">
        <v>9</v>
      </c>
      <c r="D2106" s="3" t="s">
        <v>16</v>
      </c>
      <c r="E2106" s="4">
        <v>42509</v>
      </c>
      <c r="F2106" s="4"/>
      <c r="G2106" s="3" t="s">
        <v>29</v>
      </c>
      <c r="H2106" s="5">
        <v>17066</v>
      </c>
      <c r="I2106" s="3" t="str">
        <f>VLOOKUP(Tabela1[[#This Row],[Advogado]],Tabela2[],2,FALSE)</f>
        <v>Renê Amaranto</v>
      </c>
      <c r="J2106" s="17">
        <f>IF(Tabela1[[#This Row],[Data de conclusão]]="",NETWORKDAYS(Tabela1[[#This Row],[Data de entrada]],$J$2),NETWORKDAYS(Tabela1[[#This Row],[Data de entrada]],Tabela1[[#This Row],[Data de conclusão]]))</f>
        <v>519</v>
      </c>
      <c r="K2106" s="1"/>
    </row>
    <row r="2107" spans="2:11" x14ac:dyDescent="0.25">
      <c r="B2107" s="3">
        <v>2214</v>
      </c>
      <c r="C2107" s="3" t="s">
        <v>7</v>
      </c>
      <c r="D2107" s="3" t="s">
        <v>17</v>
      </c>
      <c r="E2107" s="4">
        <v>43044</v>
      </c>
      <c r="F2107" s="4"/>
      <c r="G2107" s="3" t="s">
        <v>29</v>
      </c>
      <c r="H2107" s="5">
        <v>680</v>
      </c>
      <c r="I2107" s="3" t="str">
        <f>VLOOKUP(Tabela1[[#This Row],[Advogado]],Tabela2[],2,FALSE)</f>
        <v>Renê Amaranto</v>
      </c>
      <c r="J2107" s="17">
        <f>IF(Tabela1[[#This Row],[Data de conclusão]]="",NETWORKDAYS(Tabela1[[#This Row],[Data de entrada]],$J$2),NETWORKDAYS(Tabela1[[#This Row],[Data de entrada]],Tabela1[[#This Row],[Data de conclusão]]))</f>
        <v>137</v>
      </c>
      <c r="K2107" s="1"/>
    </row>
    <row r="2108" spans="2:11" x14ac:dyDescent="0.25">
      <c r="B2108" s="3">
        <v>2215</v>
      </c>
      <c r="C2108" s="3" t="s">
        <v>8</v>
      </c>
      <c r="D2108" s="3" t="s">
        <v>10</v>
      </c>
      <c r="E2108" s="4">
        <v>42395</v>
      </c>
      <c r="F2108" s="4">
        <v>42561</v>
      </c>
      <c r="G2108" s="3" t="s">
        <v>28</v>
      </c>
      <c r="H2108" s="5">
        <v>22673</v>
      </c>
      <c r="I2108" s="3" t="str">
        <f>VLOOKUP(Tabela1[[#This Row],[Advogado]],Tabela2[],2,FALSE)</f>
        <v>Caio Brito</v>
      </c>
      <c r="J2108" s="17">
        <f>IF(Tabela1[[#This Row],[Data de conclusão]]="",NETWORKDAYS(Tabela1[[#This Row],[Data de entrada]],$J$2),NETWORKDAYS(Tabela1[[#This Row],[Data de entrada]],Tabela1[[#This Row],[Data de conclusão]]))</f>
        <v>119</v>
      </c>
      <c r="K2108" s="1"/>
    </row>
    <row r="2109" spans="2:11" x14ac:dyDescent="0.25">
      <c r="B2109" s="3">
        <v>2216</v>
      </c>
      <c r="C2109" s="3" t="s">
        <v>9</v>
      </c>
      <c r="D2109" s="3" t="s">
        <v>11</v>
      </c>
      <c r="E2109" s="4">
        <v>42618</v>
      </c>
      <c r="F2109" s="4"/>
      <c r="G2109" s="3" t="s">
        <v>27</v>
      </c>
      <c r="H2109" s="5">
        <v>22327</v>
      </c>
      <c r="I2109" s="3" t="str">
        <f>VLOOKUP(Tabela1[[#This Row],[Advogado]],Tabela2[],2,FALSE)</f>
        <v>Caio Brito</v>
      </c>
      <c r="J2109" s="17">
        <f>IF(Tabela1[[#This Row],[Data de conclusão]]="",NETWORKDAYS(Tabela1[[#This Row],[Data de entrada]],$J$2),NETWORKDAYS(Tabela1[[#This Row],[Data de entrada]],Tabela1[[#This Row],[Data de conclusão]]))</f>
        <v>442</v>
      </c>
      <c r="K2109" s="1"/>
    </row>
    <row r="2110" spans="2:11" x14ac:dyDescent="0.25">
      <c r="B2110" s="3">
        <v>2217</v>
      </c>
      <c r="C2110" s="3" t="s">
        <v>7</v>
      </c>
      <c r="D2110" s="3" t="s">
        <v>12</v>
      </c>
      <c r="E2110" s="4">
        <v>42649</v>
      </c>
      <c r="F2110" s="4"/>
      <c r="G2110" s="3" t="s">
        <v>29</v>
      </c>
      <c r="H2110" s="5">
        <v>14283</v>
      </c>
      <c r="I2110" s="3" t="str">
        <f>VLOOKUP(Tabela1[[#This Row],[Advogado]],Tabela2[],2,FALSE)</f>
        <v>Caio Brito</v>
      </c>
      <c r="J2110" s="17">
        <f>IF(Tabela1[[#This Row],[Data de conclusão]]="",NETWORKDAYS(Tabela1[[#This Row],[Data de entrada]],$J$2),NETWORKDAYS(Tabela1[[#This Row],[Data de entrada]],Tabela1[[#This Row],[Data de conclusão]]))</f>
        <v>419</v>
      </c>
      <c r="K2110" s="1"/>
    </row>
    <row r="2111" spans="2:11" x14ac:dyDescent="0.25">
      <c r="B2111" s="3">
        <v>2218</v>
      </c>
      <c r="C2111" s="3" t="s">
        <v>8</v>
      </c>
      <c r="D2111" s="3" t="s">
        <v>13</v>
      </c>
      <c r="E2111" s="4">
        <v>42940</v>
      </c>
      <c r="F2111" s="4"/>
      <c r="G2111" s="3" t="s">
        <v>29</v>
      </c>
      <c r="H2111" s="5">
        <v>57553</v>
      </c>
      <c r="I2111" s="3" t="str">
        <f>VLOOKUP(Tabela1[[#This Row],[Advogado]],Tabela2[],2,FALSE)</f>
        <v>Caio Brito</v>
      </c>
      <c r="J2111" s="17">
        <f>IF(Tabela1[[#This Row],[Data de conclusão]]="",NETWORKDAYS(Tabela1[[#This Row],[Data de entrada]],$J$2),NETWORKDAYS(Tabela1[[#This Row],[Data de entrada]],Tabela1[[#This Row],[Data de conclusão]]))</f>
        <v>212</v>
      </c>
      <c r="K2111" s="1"/>
    </row>
    <row r="2112" spans="2:11" x14ac:dyDescent="0.25">
      <c r="B2112" s="3">
        <v>2219</v>
      </c>
      <c r="C2112" s="3" t="s">
        <v>9</v>
      </c>
      <c r="D2112" s="3" t="s">
        <v>14</v>
      </c>
      <c r="E2112" s="4">
        <v>42670</v>
      </c>
      <c r="F2112" s="4"/>
      <c r="G2112" s="3" t="s">
        <v>29</v>
      </c>
      <c r="H2112" s="5">
        <v>6682</v>
      </c>
      <c r="I2112" s="3" t="str">
        <f>VLOOKUP(Tabela1[[#This Row],[Advogado]],Tabela2[],2,FALSE)</f>
        <v>Renê Amaranto</v>
      </c>
      <c r="J2112" s="17">
        <f>IF(Tabela1[[#This Row],[Data de conclusão]]="",NETWORKDAYS(Tabela1[[#This Row],[Data de entrada]],$J$2),NETWORKDAYS(Tabela1[[#This Row],[Data de entrada]],Tabela1[[#This Row],[Data de conclusão]]))</f>
        <v>404</v>
      </c>
      <c r="K2112" s="1"/>
    </row>
    <row r="2113" spans="2:11" x14ac:dyDescent="0.25">
      <c r="B2113" s="3">
        <v>2220</v>
      </c>
      <c r="C2113" s="3" t="s">
        <v>7</v>
      </c>
      <c r="D2113" s="3" t="s">
        <v>15</v>
      </c>
      <c r="E2113" s="4">
        <v>43094</v>
      </c>
      <c r="F2113" s="4"/>
      <c r="G2113" s="3" t="s">
        <v>29</v>
      </c>
      <c r="H2113" s="5">
        <v>1560</v>
      </c>
      <c r="I2113" s="3" t="str">
        <f>VLOOKUP(Tabela1[[#This Row],[Advogado]],Tabela2[],2,FALSE)</f>
        <v>Renê Amaranto</v>
      </c>
      <c r="J2113" s="17">
        <f>IF(Tabela1[[#This Row],[Data de conclusão]]="",NETWORKDAYS(Tabela1[[#This Row],[Data de entrada]],$J$2),NETWORKDAYS(Tabela1[[#This Row],[Data de entrada]],Tabela1[[#This Row],[Data de conclusão]]))</f>
        <v>102</v>
      </c>
      <c r="K2113" s="1"/>
    </row>
    <row r="2114" spans="2:11" x14ac:dyDescent="0.25">
      <c r="B2114" s="3">
        <v>2221</v>
      </c>
      <c r="C2114" s="3" t="s">
        <v>8</v>
      </c>
      <c r="D2114" s="3" t="s">
        <v>16</v>
      </c>
      <c r="E2114" s="4">
        <v>43090</v>
      </c>
      <c r="F2114" s="4"/>
      <c r="G2114" s="3" t="s">
        <v>29</v>
      </c>
      <c r="H2114" s="5">
        <v>14261</v>
      </c>
      <c r="I2114" s="3" t="str">
        <f>VLOOKUP(Tabela1[[#This Row],[Advogado]],Tabela2[],2,FALSE)</f>
        <v>Renê Amaranto</v>
      </c>
      <c r="J2114" s="17">
        <f>IF(Tabela1[[#This Row],[Data de conclusão]]="",NETWORKDAYS(Tabela1[[#This Row],[Data de entrada]],$J$2),NETWORKDAYS(Tabela1[[#This Row],[Data de entrada]],Tabela1[[#This Row],[Data de conclusão]]))</f>
        <v>104</v>
      </c>
      <c r="K2114" s="1"/>
    </row>
    <row r="2115" spans="2:11" x14ac:dyDescent="0.25">
      <c r="B2115" s="3">
        <v>2222</v>
      </c>
      <c r="C2115" s="3" t="s">
        <v>9</v>
      </c>
      <c r="D2115" s="3" t="s">
        <v>17</v>
      </c>
      <c r="E2115" s="4">
        <v>42744</v>
      </c>
      <c r="F2115" s="4"/>
      <c r="G2115" s="3" t="s">
        <v>29</v>
      </c>
      <c r="H2115" s="5">
        <v>25002</v>
      </c>
      <c r="I2115" s="3" t="str">
        <f>VLOOKUP(Tabela1[[#This Row],[Advogado]],Tabela2[],2,FALSE)</f>
        <v>Renê Amaranto</v>
      </c>
      <c r="J2115" s="17">
        <f>IF(Tabela1[[#This Row],[Data de conclusão]]="",NETWORKDAYS(Tabela1[[#This Row],[Data de entrada]],$J$2),NETWORKDAYS(Tabela1[[#This Row],[Data de entrada]],Tabela1[[#This Row],[Data de conclusão]]))</f>
        <v>352</v>
      </c>
      <c r="K2115" s="1"/>
    </row>
    <row r="2116" spans="2:11" x14ac:dyDescent="0.25">
      <c r="B2116" s="3">
        <v>2223</v>
      </c>
      <c r="C2116" s="3" t="s">
        <v>7</v>
      </c>
      <c r="D2116" s="3" t="s">
        <v>10</v>
      </c>
      <c r="E2116" s="4">
        <v>42616</v>
      </c>
      <c r="F2116" s="4"/>
      <c r="G2116" s="3" t="s">
        <v>29</v>
      </c>
      <c r="H2116" s="5">
        <v>36778</v>
      </c>
      <c r="I2116" s="3" t="str">
        <f>VLOOKUP(Tabela1[[#This Row],[Advogado]],Tabela2[],2,FALSE)</f>
        <v>Caio Brito</v>
      </c>
      <c r="J2116" s="17">
        <f>IF(Tabela1[[#This Row],[Data de conclusão]]="",NETWORKDAYS(Tabela1[[#This Row],[Data de entrada]],$J$2),NETWORKDAYS(Tabela1[[#This Row],[Data de entrada]],Tabela1[[#This Row],[Data de conclusão]]))</f>
        <v>442</v>
      </c>
      <c r="K2116" s="1"/>
    </row>
    <row r="2117" spans="2:11" x14ac:dyDescent="0.25">
      <c r="B2117" s="3">
        <v>2224</v>
      </c>
      <c r="C2117" s="3" t="s">
        <v>8</v>
      </c>
      <c r="D2117" s="3" t="s">
        <v>11</v>
      </c>
      <c r="E2117" s="4">
        <v>42452</v>
      </c>
      <c r="F2117" s="4"/>
      <c r="G2117" s="3" t="s">
        <v>29</v>
      </c>
      <c r="H2117" s="5">
        <v>54848</v>
      </c>
      <c r="I2117" s="3" t="str">
        <f>VLOOKUP(Tabela1[[#This Row],[Advogado]],Tabela2[],2,FALSE)</f>
        <v>Caio Brito</v>
      </c>
      <c r="J2117" s="17">
        <f>IF(Tabela1[[#This Row],[Data de conclusão]]="",NETWORKDAYS(Tabela1[[#This Row],[Data de entrada]],$J$2),NETWORKDAYS(Tabela1[[#This Row],[Data de entrada]],Tabela1[[#This Row],[Data de conclusão]]))</f>
        <v>560</v>
      </c>
      <c r="K2117" s="1"/>
    </row>
    <row r="2118" spans="2:11" x14ac:dyDescent="0.25">
      <c r="B2118" s="3">
        <v>2225</v>
      </c>
      <c r="C2118" s="3" t="s">
        <v>9</v>
      </c>
      <c r="D2118" s="3" t="s">
        <v>12</v>
      </c>
      <c r="E2118" s="4">
        <v>42760</v>
      </c>
      <c r="F2118" s="4"/>
      <c r="G2118" s="3" t="s">
        <v>29</v>
      </c>
      <c r="H2118" s="5">
        <v>731</v>
      </c>
      <c r="I2118" s="3" t="str">
        <f>VLOOKUP(Tabela1[[#This Row],[Advogado]],Tabela2[],2,FALSE)</f>
        <v>Caio Brito</v>
      </c>
      <c r="J2118" s="17">
        <f>IF(Tabela1[[#This Row],[Data de conclusão]]="",NETWORKDAYS(Tabela1[[#This Row],[Data de entrada]],$J$2),NETWORKDAYS(Tabela1[[#This Row],[Data de entrada]],Tabela1[[#This Row],[Data de conclusão]]))</f>
        <v>340</v>
      </c>
      <c r="K2118" s="1"/>
    </row>
    <row r="2119" spans="2:11" x14ac:dyDescent="0.25">
      <c r="B2119" s="3">
        <v>2226</v>
      </c>
      <c r="C2119" s="3" t="s">
        <v>7</v>
      </c>
      <c r="D2119" s="3" t="s">
        <v>13</v>
      </c>
      <c r="E2119" s="4">
        <v>42830</v>
      </c>
      <c r="F2119" s="4"/>
      <c r="G2119" s="3" t="s">
        <v>29</v>
      </c>
      <c r="H2119" s="5">
        <v>16614</v>
      </c>
      <c r="I2119" s="3" t="str">
        <f>VLOOKUP(Tabela1[[#This Row],[Advogado]],Tabela2[],2,FALSE)</f>
        <v>Caio Brito</v>
      </c>
      <c r="J2119" s="17">
        <f>IF(Tabela1[[#This Row],[Data de conclusão]]="",NETWORKDAYS(Tabela1[[#This Row],[Data de entrada]],$J$2),NETWORKDAYS(Tabela1[[#This Row],[Data de entrada]],Tabela1[[#This Row],[Data de conclusão]]))</f>
        <v>290</v>
      </c>
      <c r="K2119" s="1"/>
    </row>
    <row r="2120" spans="2:11" x14ac:dyDescent="0.25">
      <c r="B2120" s="3">
        <v>2227</v>
      </c>
      <c r="C2120" s="3" t="s">
        <v>8</v>
      </c>
      <c r="D2120" s="3" t="s">
        <v>14</v>
      </c>
      <c r="E2120" s="4">
        <v>42538</v>
      </c>
      <c r="F2120" s="4"/>
      <c r="G2120" s="3" t="s">
        <v>29</v>
      </c>
      <c r="H2120" s="5">
        <v>9636</v>
      </c>
      <c r="I2120" s="3" t="str">
        <f>VLOOKUP(Tabela1[[#This Row],[Advogado]],Tabela2[],2,FALSE)</f>
        <v>Renê Amaranto</v>
      </c>
      <c r="J2120" s="17">
        <f>IF(Tabela1[[#This Row],[Data de conclusão]]="",NETWORKDAYS(Tabela1[[#This Row],[Data de entrada]],$J$2),NETWORKDAYS(Tabela1[[#This Row],[Data de entrada]],Tabela1[[#This Row],[Data de conclusão]]))</f>
        <v>498</v>
      </c>
      <c r="K2120" s="1"/>
    </row>
    <row r="2121" spans="2:11" x14ac:dyDescent="0.25">
      <c r="B2121" s="3">
        <v>2228</v>
      </c>
      <c r="C2121" s="3" t="s">
        <v>9</v>
      </c>
      <c r="D2121" s="3" t="s">
        <v>15</v>
      </c>
      <c r="E2121" s="4">
        <v>42603</v>
      </c>
      <c r="F2121" s="4">
        <v>42667</v>
      </c>
      <c r="G2121" s="3" t="s">
        <v>28</v>
      </c>
      <c r="H2121" s="5">
        <v>43708</v>
      </c>
      <c r="I2121" s="3" t="str">
        <f>VLOOKUP(Tabela1[[#This Row],[Advogado]],Tabela2[],2,FALSE)</f>
        <v>Renê Amaranto</v>
      </c>
      <c r="J2121" s="17">
        <f>IF(Tabela1[[#This Row],[Data de conclusão]]="",NETWORKDAYS(Tabela1[[#This Row],[Data de entrada]],$J$2),NETWORKDAYS(Tabela1[[#This Row],[Data de entrada]],Tabela1[[#This Row],[Data de conclusão]]))</f>
        <v>46</v>
      </c>
      <c r="K2121" s="1"/>
    </row>
    <row r="2122" spans="2:11" x14ac:dyDescent="0.25">
      <c r="B2122" s="3">
        <v>2229</v>
      </c>
      <c r="C2122" s="3" t="s">
        <v>7</v>
      </c>
      <c r="D2122" s="3" t="s">
        <v>16</v>
      </c>
      <c r="E2122" s="4">
        <v>42707</v>
      </c>
      <c r="F2122" s="4"/>
      <c r="G2122" s="3" t="s">
        <v>27</v>
      </c>
      <c r="H2122" s="5">
        <v>35602</v>
      </c>
      <c r="I2122" s="3" t="str">
        <f>VLOOKUP(Tabela1[[#This Row],[Advogado]],Tabela2[],2,FALSE)</f>
        <v>Renê Amaranto</v>
      </c>
      <c r="J2122" s="17">
        <f>IF(Tabela1[[#This Row],[Data de conclusão]]="",NETWORKDAYS(Tabela1[[#This Row],[Data de entrada]],$J$2),NETWORKDAYS(Tabela1[[#This Row],[Data de entrada]],Tabela1[[#This Row],[Data de conclusão]]))</f>
        <v>377</v>
      </c>
      <c r="K2122" s="1"/>
    </row>
    <row r="2123" spans="2:11" x14ac:dyDescent="0.25">
      <c r="B2123" s="3">
        <v>2230</v>
      </c>
      <c r="C2123" s="3" t="s">
        <v>8</v>
      </c>
      <c r="D2123" s="3" t="s">
        <v>17</v>
      </c>
      <c r="E2123" s="4">
        <v>42455</v>
      </c>
      <c r="F2123" s="4"/>
      <c r="G2123" s="3" t="s">
        <v>29</v>
      </c>
      <c r="H2123" s="5">
        <v>59328</v>
      </c>
      <c r="I2123" s="3" t="str">
        <f>VLOOKUP(Tabela1[[#This Row],[Advogado]],Tabela2[],2,FALSE)</f>
        <v>Renê Amaranto</v>
      </c>
      <c r="J2123" s="17">
        <f>IF(Tabela1[[#This Row],[Data de conclusão]]="",NETWORKDAYS(Tabela1[[#This Row],[Data de entrada]],$J$2),NETWORKDAYS(Tabela1[[#This Row],[Data de entrada]],Tabela1[[#This Row],[Data de conclusão]]))</f>
        <v>557</v>
      </c>
      <c r="K2123" s="1"/>
    </row>
    <row r="2124" spans="2:11" x14ac:dyDescent="0.25">
      <c r="B2124" s="3">
        <v>2231</v>
      </c>
      <c r="C2124" s="3" t="s">
        <v>9</v>
      </c>
      <c r="D2124" s="3" t="s">
        <v>10</v>
      </c>
      <c r="E2124" s="4">
        <v>43030</v>
      </c>
      <c r="F2124" s="4"/>
      <c r="G2124" s="3" t="s">
        <v>29</v>
      </c>
      <c r="H2124" s="5">
        <v>1451</v>
      </c>
      <c r="I2124" s="3" t="str">
        <f>VLOOKUP(Tabela1[[#This Row],[Advogado]],Tabela2[],2,FALSE)</f>
        <v>Caio Brito</v>
      </c>
      <c r="J2124" s="17">
        <f>IF(Tabela1[[#This Row],[Data de conclusão]]="",NETWORKDAYS(Tabela1[[#This Row],[Data de entrada]],$J$2),NETWORKDAYS(Tabela1[[#This Row],[Data de entrada]],Tabela1[[#This Row],[Data de conclusão]]))</f>
        <v>147</v>
      </c>
      <c r="K2124" s="1"/>
    </row>
    <row r="2125" spans="2:11" x14ac:dyDescent="0.25">
      <c r="B2125" s="3">
        <v>2232</v>
      </c>
      <c r="C2125" s="3" t="s">
        <v>7</v>
      </c>
      <c r="D2125" s="3" t="s">
        <v>11</v>
      </c>
      <c r="E2125" s="4">
        <v>42732</v>
      </c>
      <c r="F2125" s="4"/>
      <c r="G2125" s="3" t="s">
        <v>29</v>
      </c>
      <c r="H2125" s="5">
        <v>39267</v>
      </c>
      <c r="I2125" s="3" t="str">
        <f>VLOOKUP(Tabela1[[#This Row],[Advogado]],Tabela2[],2,FALSE)</f>
        <v>Caio Brito</v>
      </c>
      <c r="J2125" s="17">
        <f>IF(Tabela1[[#This Row],[Data de conclusão]]="",NETWORKDAYS(Tabela1[[#This Row],[Data de entrada]],$J$2),NETWORKDAYS(Tabela1[[#This Row],[Data de entrada]],Tabela1[[#This Row],[Data de conclusão]]))</f>
        <v>360</v>
      </c>
      <c r="K2125" s="1"/>
    </row>
    <row r="2126" spans="2:11" x14ac:dyDescent="0.25">
      <c r="B2126" s="3">
        <v>2233</v>
      </c>
      <c r="C2126" s="3" t="s">
        <v>8</v>
      </c>
      <c r="D2126" s="3" t="s">
        <v>12</v>
      </c>
      <c r="E2126" s="4">
        <v>43021</v>
      </c>
      <c r="F2126" s="4"/>
      <c r="G2126" s="3" t="s">
        <v>29</v>
      </c>
      <c r="H2126" s="5">
        <v>4053</v>
      </c>
      <c r="I2126" s="3" t="str">
        <f>VLOOKUP(Tabela1[[#This Row],[Advogado]],Tabela2[],2,FALSE)</f>
        <v>Caio Brito</v>
      </c>
      <c r="J2126" s="17">
        <f>IF(Tabela1[[#This Row],[Data de conclusão]]="",NETWORKDAYS(Tabela1[[#This Row],[Data de entrada]],$J$2),NETWORKDAYS(Tabela1[[#This Row],[Data de entrada]],Tabela1[[#This Row],[Data de conclusão]]))</f>
        <v>153</v>
      </c>
      <c r="K2126" s="1"/>
    </row>
    <row r="2127" spans="2:11" x14ac:dyDescent="0.25">
      <c r="B2127" s="3">
        <v>2234</v>
      </c>
      <c r="C2127" s="3" t="s">
        <v>9</v>
      </c>
      <c r="D2127" s="3" t="s">
        <v>13</v>
      </c>
      <c r="E2127" s="4">
        <v>42779</v>
      </c>
      <c r="F2127" s="4"/>
      <c r="G2127" s="3" t="s">
        <v>29</v>
      </c>
      <c r="H2127" s="5">
        <v>16201</v>
      </c>
      <c r="I2127" s="3" t="str">
        <f>VLOOKUP(Tabela1[[#This Row],[Advogado]],Tabela2[],2,FALSE)</f>
        <v>Caio Brito</v>
      </c>
      <c r="J2127" s="17">
        <f>IF(Tabela1[[#This Row],[Data de conclusão]]="",NETWORKDAYS(Tabela1[[#This Row],[Data de entrada]],$J$2),NETWORKDAYS(Tabela1[[#This Row],[Data de entrada]],Tabela1[[#This Row],[Data de conclusão]]))</f>
        <v>327</v>
      </c>
      <c r="K2127" s="1"/>
    </row>
    <row r="2128" spans="2:11" x14ac:dyDescent="0.25">
      <c r="B2128" s="3">
        <v>2235</v>
      </c>
      <c r="C2128" s="3" t="s">
        <v>7</v>
      </c>
      <c r="D2128" s="3" t="s">
        <v>14</v>
      </c>
      <c r="E2128" s="4">
        <v>42884</v>
      </c>
      <c r="F2128" s="4"/>
      <c r="G2128" s="3" t="s">
        <v>29</v>
      </c>
      <c r="H2128" s="5">
        <v>27817</v>
      </c>
      <c r="I2128" s="3" t="str">
        <f>VLOOKUP(Tabela1[[#This Row],[Advogado]],Tabela2[],2,FALSE)</f>
        <v>Renê Amaranto</v>
      </c>
      <c r="J2128" s="17">
        <f>IF(Tabela1[[#This Row],[Data de conclusão]]="",NETWORKDAYS(Tabela1[[#This Row],[Data de entrada]],$J$2),NETWORKDAYS(Tabela1[[#This Row],[Data de entrada]],Tabela1[[#This Row],[Data de conclusão]]))</f>
        <v>252</v>
      </c>
      <c r="K2128" s="1"/>
    </row>
    <row r="2129" spans="2:11" x14ac:dyDescent="0.25">
      <c r="B2129" s="3">
        <v>2236</v>
      </c>
      <c r="C2129" s="3" t="s">
        <v>8</v>
      </c>
      <c r="D2129" s="3" t="s">
        <v>15</v>
      </c>
      <c r="E2129" s="4">
        <v>43023</v>
      </c>
      <c r="F2129" s="4"/>
      <c r="G2129" s="3" t="s">
        <v>29</v>
      </c>
      <c r="H2129" s="5">
        <v>1127</v>
      </c>
      <c r="I2129" s="3" t="str">
        <f>VLOOKUP(Tabela1[[#This Row],[Advogado]],Tabela2[],2,FALSE)</f>
        <v>Renê Amaranto</v>
      </c>
      <c r="J2129" s="17">
        <f>IF(Tabela1[[#This Row],[Data de conclusão]]="",NETWORKDAYS(Tabela1[[#This Row],[Data de entrada]],$J$2),NETWORKDAYS(Tabela1[[#This Row],[Data de entrada]],Tabela1[[#This Row],[Data de conclusão]]))</f>
        <v>152</v>
      </c>
      <c r="K2129" s="1"/>
    </row>
    <row r="2130" spans="2:11" x14ac:dyDescent="0.25">
      <c r="B2130" s="3">
        <v>2237</v>
      </c>
      <c r="C2130" s="3" t="s">
        <v>9</v>
      </c>
      <c r="D2130" s="3" t="s">
        <v>16</v>
      </c>
      <c r="E2130" s="4">
        <v>42908</v>
      </c>
      <c r="F2130" s="4"/>
      <c r="G2130" s="3" t="s">
        <v>29</v>
      </c>
      <c r="H2130" s="5">
        <v>42453</v>
      </c>
      <c r="I2130" s="3" t="str">
        <f>VLOOKUP(Tabela1[[#This Row],[Advogado]],Tabela2[],2,FALSE)</f>
        <v>Renê Amaranto</v>
      </c>
      <c r="J2130" s="17">
        <f>IF(Tabela1[[#This Row],[Data de conclusão]]="",NETWORKDAYS(Tabela1[[#This Row],[Data de entrada]],$J$2),NETWORKDAYS(Tabela1[[#This Row],[Data de entrada]],Tabela1[[#This Row],[Data de conclusão]]))</f>
        <v>234</v>
      </c>
      <c r="K2130" s="1"/>
    </row>
    <row r="2131" spans="2:11" x14ac:dyDescent="0.25">
      <c r="B2131" s="3">
        <v>2238</v>
      </c>
      <c r="C2131" s="3" t="s">
        <v>7</v>
      </c>
      <c r="D2131" s="3" t="s">
        <v>17</v>
      </c>
      <c r="E2131" s="4">
        <v>42388</v>
      </c>
      <c r="F2131" s="4"/>
      <c r="G2131" s="3" t="s">
        <v>29</v>
      </c>
      <c r="H2131" s="5">
        <v>31503</v>
      </c>
      <c r="I2131" s="3" t="str">
        <f>VLOOKUP(Tabela1[[#This Row],[Advogado]],Tabela2[],2,FALSE)</f>
        <v>Renê Amaranto</v>
      </c>
      <c r="J2131" s="17">
        <f>IF(Tabela1[[#This Row],[Data de conclusão]]="",NETWORKDAYS(Tabela1[[#This Row],[Data de entrada]],$J$2),NETWORKDAYS(Tabela1[[#This Row],[Data de entrada]],Tabela1[[#This Row],[Data de conclusão]]))</f>
        <v>606</v>
      </c>
      <c r="K2131" s="1"/>
    </row>
    <row r="2132" spans="2:11" x14ac:dyDescent="0.25">
      <c r="B2132" s="3">
        <v>2239</v>
      </c>
      <c r="C2132" s="3" t="s">
        <v>8</v>
      </c>
      <c r="D2132" s="3" t="s">
        <v>10</v>
      </c>
      <c r="E2132" s="4">
        <v>42953</v>
      </c>
      <c r="F2132" s="4"/>
      <c r="G2132" s="3" t="s">
        <v>29</v>
      </c>
      <c r="H2132" s="5">
        <v>23335</v>
      </c>
      <c r="I2132" s="3" t="str">
        <f>VLOOKUP(Tabela1[[#This Row],[Advogado]],Tabela2[],2,FALSE)</f>
        <v>Caio Brito</v>
      </c>
      <c r="J2132" s="17">
        <f>IF(Tabela1[[#This Row],[Data de conclusão]]="",NETWORKDAYS(Tabela1[[#This Row],[Data de entrada]],$J$2),NETWORKDAYS(Tabela1[[#This Row],[Data de entrada]],Tabela1[[#This Row],[Data de conclusão]]))</f>
        <v>202</v>
      </c>
      <c r="K2132" s="1"/>
    </row>
    <row r="2133" spans="2:11" x14ac:dyDescent="0.25">
      <c r="B2133" s="3">
        <v>2240</v>
      </c>
      <c r="C2133" s="3" t="s">
        <v>9</v>
      </c>
      <c r="D2133" s="3" t="s">
        <v>11</v>
      </c>
      <c r="E2133" s="4">
        <v>42549</v>
      </c>
      <c r="F2133" s="4"/>
      <c r="G2133" s="3" t="s">
        <v>29</v>
      </c>
      <c r="H2133" s="5">
        <v>2046</v>
      </c>
      <c r="I2133" s="3" t="str">
        <f>VLOOKUP(Tabela1[[#This Row],[Advogado]],Tabela2[],2,FALSE)</f>
        <v>Caio Brito</v>
      </c>
      <c r="J2133" s="17">
        <f>IF(Tabela1[[#This Row],[Data de conclusão]]="",NETWORKDAYS(Tabela1[[#This Row],[Data de entrada]],$J$2),NETWORKDAYS(Tabela1[[#This Row],[Data de entrada]],Tabela1[[#This Row],[Data de conclusão]]))</f>
        <v>491</v>
      </c>
      <c r="K2133" s="1"/>
    </row>
    <row r="2134" spans="2:11" x14ac:dyDescent="0.25">
      <c r="B2134" s="3">
        <v>2241</v>
      </c>
      <c r="C2134" s="3" t="s">
        <v>7</v>
      </c>
      <c r="D2134" s="3" t="s">
        <v>12</v>
      </c>
      <c r="E2134" s="4">
        <v>42597</v>
      </c>
      <c r="F2134" s="4">
        <v>42637</v>
      </c>
      <c r="G2134" s="3" t="s">
        <v>28</v>
      </c>
      <c r="H2134" s="5">
        <v>2036</v>
      </c>
      <c r="I2134" s="3" t="str">
        <f>VLOOKUP(Tabela1[[#This Row],[Advogado]],Tabela2[],2,FALSE)</f>
        <v>Caio Brito</v>
      </c>
      <c r="J2134" s="17">
        <f>IF(Tabela1[[#This Row],[Data de conclusão]]="",NETWORKDAYS(Tabela1[[#This Row],[Data de entrada]],$J$2),NETWORKDAYS(Tabela1[[#This Row],[Data de entrada]],Tabela1[[#This Row],[Data de conclusão]]))</f>
        <v>30</v>
      </c>
      <c r="K2134" s="1"/>
    </row>
    <row r="2135" spans="2:11" x14ac:dyDescent="0.25">
      <c r="B2135" s="3">
        <v>2242</v>
      </c>
      <c r="C2135" s="3" t="s">
        <v>8</v>
      </c>
      <c r="D2135" s="3" t="s">
        <v>13</v>
      </c>
      <c r="E2135" s="4">
        <v>43079</v>
      </c>
      <c r="F2135" s="4"/>
      <c r="G2135" s="3" t="s">
        <v>27</v>
      </c>
      <c r="H2135" s="5">
        <v>26186</v>
      </c>
      <c r="I2135" s="3" t="str">
        <f>VLOOKUP(Tabela1[[#This Row],[Advogado]],Tabela2[],2,FALSE)</f>
        <v>Caio Brito</v>
      </c>
      <c r="J2135" s="17">
        <f>IF(Tabela1[[#This Row],[Data de conclusão]]="",NETWORKDAYS(Tabela1[[#This Row],[Data de entrada]],$J$2),NETWORKDAYS(Tabela1[[#This Row],[Data de entrada]],Tabela1[[#This Row],[Data de conclusão]]))</f>
        <v>112</v>
      </c>
      <c r="K2135" s="1"/>
    </row>
    <row r="2136" spans="2:11" x14ac:dyDescent="0.25">
      <c r="B2136" s="3">
        <v>2243</v>
      </c>
      <c r="C2136" s="3" t="s">
        <v>9</v>
      </c>
      <c r="D2136" s="3" t="s">
        <v>14</v>
      </c>
      <c r="E2136" s="4">
        <v>42963</v>
      </c>
      <c r="F2136" s="4"/>
      <c r="G2136" s="3" t="s">
        <v>29</v>
      </c>
      <c r="H2136" s="5">
        <v>24134</v>
      </c>
      <c r="I2136" s="3" t="str">
        <f>VLOOKUP(Tabela1[[#This Row],[Advogado]],Tabela2[],2,FALSE)</f>
        <v>Renê Amaranto</v>
      </c>
      <c r="J2136" s="17">
        <f>IF(Tabela1[[#This Row],[Data de conclusão]]="",NETWORKDAYS(Tabela1[[#This Row],[Data de entrada]],$J$2),NETWORKDAYS(Tabela1[[#This Row],[Data de entrada]],Tabela1[[#This Row],[Data de conclusão]]))</f>
        <v>195</v>
      </c>
      <c r="K2136" s="1"/>
    </row>
    <row r="2137" spans="2:11" x14ac:dyDescent="0.25">
      <c r="B2137" s="3">
        <v>2244</v>
      </c>
      <c r="C2137" s="3" t="s">
        <v>7</v>
      </c>
      <c r="D2137" s="3" t="s">
        <v>15</v>
      </c>
      <c r="E2137" s="4">
        <v>43047</v>
      </c>
      <c r="F2137" s="4"/>
      <c r="G2137" s="3" t="s">
        <v>29</v>
      </c>
      <c r="H2137" s="5">
        <v>28801</v>
      </c>
      <c r="I2137" s="3" t="str">
        <f>VLOOKUP(Tabela1[[#This Row],[Advogado]],Tabela2[],2,FALSE)</f>
        <v>Renê Amaranto</v>
      </c>
      <c r="J2137" s="17">
        <f>IF(Tabela1[[#This Row],[Data de conclusão]]="",NETWORKDAYS(Tabela1[[#This Row],[Data de entrada]],$J$2),NETWORKDAYS(Tabela1[[#This Row],[Data de entrada]],Tabela1[[#This Row],[Data de conclusão]]))</f>
        <v>135</v>
      </c>
      <c r="K2137" s="1"/>
    </row>
    <row r="2138" spans="2:11" x14ac:dyDescent="0.25">
      <c r="B2138" s="3">
        <v>2245</v>
      </c>
      <c r="C2138" s="3" t="s">
        <v>8</v>
      </c>
      <c r="D2138" s="3" t="s">
        <v>16</v>
      </c>
      <c r="E2138" s="4">
        <v>42705</v>
      </c>
      <c r="F2138" s="4"/>
      <c r="G2138" s="3" t="s">
        <v>29</v>
      </c>
      <c r="H2138" s="5">
        <v>50928</v>
      </c>
      <c r="I2138" s="3" t="str">
        <f>VLOOKUP(Tabela1[[#This Row],[Advogado]],Tabela2[],2,FALSE)</f>
        <v>Renê Amaranto</v>
      </c>
      <c r="J2138" s="17">
        <f>IF(Tabela1[[#This Row],[Data de conclusão]]="",NETWORKDAYS(Tabela1[[#This Row],[Data de entrada]],$J$2),NETWORKDAYS(Tabela1[[#This Row],[Data de entrada]],Tabela1[[#This Row],[Data de conclusão]]))</f>
        <v>379</v>
      </c>
      <c r="K2138" s="1"/>
    </row>
    <row r="2139" spans="2:11" x14ac:dyDescent="0.25">
      <c r="B2139" s="3">
        <v>2246</v>
      </c>
      <c r="C2139" s="3" t="s">
        <v>9</v>
      </c>
      <c r="D2139" s="3" t="s">
        <v>17</v>
      </c>
      <c r="E2139" s="4">
        <v>42511</v>
      </c>
      <c r="F2139" s="4"/>
      <c r="G2139" s="3" t="s">
        <v>29</v>
      </c>
      <c r="H2139" s="5">
        <v>2267</v>
      </c>
      <c r="I2139" s="3" t="str">
        <f>VLOOKUP(Tabela1[[#This Row],[Advogado]],Tabela2[],2,FALSE)</f>
        <v>Renê Amaranto</v>
      </c>
      <c r="J2139" s="17">
        <f>IF(Tabela1[[#This Row],[Data de conclusão]]="",NETWORKDAYS(Tabela1[[#This Row],[Data de entrada]],$J$2),NETWORKDAYS(Tabela1[[#This Row],[Data de entrada]],Tabela1[[#This Row],[Data de conclusão]]))</f>
        <v>517</v>
      </c>
      <c r="K2139" s="1"/>
    </row>
    <row r="2140" spans="2:11" x14ac:dyDescent="0.25">
      <c r="B2140" s="3">
        <v>2247</v>
      </c>
      <c r="C2140" s="3" t="s">
        <v>7</v>
      </c>
      <c r="D2140" s="3" t="s">
        <v>10</v>
      </c>
      <c r="E2140" s="4">
        <v>42420</v>
      </c>
      <c r="F2140" s="4"/>
      <c r="G2140" s="3" t="s">
        <v>29</v>
      </c>
      <c r="H2140" s="5">
        <v>52349</v>
      </c>
      <c r="I2140" s="3" t="str">
        <f>VLOOKUP(Tabela1[[#This Row],[Advogado]],Tabela2[],2,FALSE)</f>
        <v>Caio Brito</v>
      </c>
      <c r="J2140" s="17">
        <f>IF(Tabela1[[#This Row],[Data de conclusão]]="",NETWORKDAYS(Tabela1[[#This Row],[Data de entrada]],$J$2),NETWORKDAYS(Tabela1[[#This Row],[Data de entrada]],Tabela1[[#This Row],[Data de conclusão]]))</f>
        <v>582</v>
      </c>
      <c r="K2140" s="1"/>
    </row>
    <row r="2141" spans="2:11" x14ac:dyDescent="0.25">
      <c r="B2141" s="3">
        <v>2248</v>
      </c>
      <c r="C2141" s="3" t="s">
        <v>8</v>
      </c>
      <c r="D2141" s="3" t="s">
        <v>11</v>
      </c>
      <c r="E2141" s="4">
        <v>42846</v>
      </c>
      <c r="F2141" s="4"/>
      <c r="G2141" s="3" t="s">
        <v>29</v>
      </c>
      <c r="H2141" s="5">
        <v>24663</v>
      </c>
      <c r="I2141" s="3" t="str">
        <f>VLOOKUP(Tabela1[[#This Row],[Advogado]],Tabela2[],2,FALSE)</f>
        <v>Caio Brito</v>
      </c>
      <c r="J2141" s="17">
        <f>IF(Tabela1[[#This Row],[Data de conclusão]]="",NETWORKDAYS(Tabela1[[#This Row],[Data de entrada]],$J$2),NETWORKDAYS(Tabela1[[#This Row],[Data de entrada]],Tabela1[[#This Row],[Data de conclusão]]))</f>
        <v>278</v>
      </c>
      <c r="K2141" s="1"/>
    </row>
    <row r="2142" spans="2:11" x14ac:dyDescent="0.25">
      <c r="B2142" s="3">
        <v>2249</v>
      </c>
      <c r="C2142" s="3" t="s">
        <v>9</v>
      </c>
      <c r="D2142" s="3" t="s">
        <v>12</v>
      </c>
      <c r="E2142" s="4">
        <v>42547</v>
      </c>
      <c r="F2142" s="4"/>
      <c r="G2142" s="3" t="s">
        <v>29</v>
      </c>
      <c r="H2142" s="5">
        <v>7936</v>
      </c>
      <c r="I2142" s="3" t="str">
        <f>VLOOKUP(Tabela1[[#This Row],[Advogado]],Tabela2[],2,FALSE)</f>
        <v>Caio Brito</v>
      </c>
      <c r="J2142" s="17">
        <f>IF(Tabela1[[#This Row],[Data de conclusão]]="",NETWORKDAYS(Tabela1[[#This Row],[Data de entrada]],$J$2),NETWORKDAYS(Tabela1[[#This Row],[Data de entrada]],Tabela1[[#This Row],[Data de conclusão]]))</f>
        <v>492</v>
      </c>
      <c r="K2142" s="1"/>
    </row>
    <row r="2143" spans="2:11" x14ac:dyDescent="0.25">
      <c r="B2143" s="3">
        <v>2250</v>
      </c>
      <c r="C2143" s="3" t="s">
        <v>7</v>
      </c>
      <c r="D2143" s="3" t="s">
        <v>13</v>
      </c>
      <c r="E2143" s="4">
        <v>42894</v>
      </c>
      <c r="F2143" s="4"/>
      <c r="G2143" s="3" t="s">
        <v>29</v>
      </c>
      <c r="H2143" s="5">
        <v>7351</v>
      </c>
      <c r="I2143" s="3" t="str">
        <f>VLOOKUP(Tabela1[[#This Row],[Advogado]],Tabela2[],2,FALSE)</f>
        <v>Caio Brito</v>
      </c>
      <c r="J2143" s="17">
        <f>IF(Tabela1[[#This Row],[Data de conclusão]]="",NETWORKDAYS(Tabela1[[#This Row],[Data de entrada]],$J$2),NETWORKDAYS(Tabela1[[#This Row],[Data de entrada]],Tabela1[[#This Row],[Data de conclusão]]))</f>
        <v>244</v>
      </c>
      <c r="K2143" s="1"/>
    </row>
    <row r="2144" spans="2:11" x14ac:dyDescent="0.25">
      <c r="B2144" s="3">
        <v>2251</v>
      </c>
      <c r="C2144" s="3" t="s">
        <v>8</v>
      </c>
      <c r="D2144" s="3" t="s">
        <v>14</v>
      </c>
      <c r="E2144" s="4">
        <v>43047</v>
      </c>
      <c r="F2144" s="4"/>
      <c r="G2144" s="3" t="s">
        <v>29</v>
      </c>
      <c r="H2144" s="5">
        <v>27334</v>
      </c>
      <c r="I2144" s="3" t="str">
        <f>VLOOKUP(Tabela1[[#This Row],[Advogado]],Tabela2[],2,FALSE)</f>
        <v>Renê Amaranto</v>
      </c>
      <c r="J2144" s="17">
        <f>IF(Tabela1[[#This Row],[Data de conclusão]]="",NETWORKDAYS(Tabela1[[#This Row],[Data de entrada]],$J$2),NETWORKDAYS(Tabela1[[#This Row],[Data de entrada]],Tabela1[[#This Row],[Data de conclusão]]))</f>
        <v>135</v>
      </c>
      <c r="K2144" s="1"/>
    </row>
    <row r="2145" spans="2:11" x14ac:dyDescent="0.25">
      <c r="B2145" s="3">
        <v>2252</v>
      </c>
      <c r="C2145" s="3" t="s">
        <v>9</v>
      </c>
      <c r="D2145" s="3" t="s">
        <v>15</v>
      </c>
      <c r="E2145" s="4">
        <v>42509</v>
      </c>
      <c r="F2145" s="4"/>
      <c r="G2145" s="3" t="s">
        <v>29</v>
      </c>
      <c r="H2145" s="5">
        <v>28714</v>
      </c>
      <c r="I2145" s="3" t="str">
        <f>VLOOKUP(Tabela1[[#This Row],[Advogado]],Tabela2[],2,FALSE)</f>
        <v>Renê Amaranto</v>
      </c>
      <c r="J2145" s="17">
        <f>IF(Tabela1[[#This Row],[Data de conclusão]]="",NETWORKDAYS(Tabela1[[#This Row],[Data de entrada]],$J$2),NETWORKDAYS(Tabela1[[#This Row],[Data de entrada]],Tabela1[[#This Row],[Data de conclusão]]))</f>
        <v>519</v>
      </c>
      <c r="K2145" s="1"/>
    </row>
    <row r="2146" spans="2:11" x14ac:dyDescent="0.25">
      <c r="B2146" s="3">
        <v>2253</v>
      </c>
      <c r="C2146" s="3" t="s">
        <v>7</v>
      </c>
      <c r="D2146" s="3" t="s">
        <v>16</v>
      </c>
      <c r="E2146" s="4">
        <v>42778</v>
      </c>
      <c r="F2146" s="4"/>
      <c r="G2146" s="3" t="s">
        <v>29</v>
      </c>
      <c r="H2146" s="5">
        <v>51507</v>
      </c>
      <c r="I2146" s="3" t="str">
        <f>VLOOKUP(Tabela1[[#This Row],[Advogado]],Tabela2[],2,FALSE)</f>
        <v>Renê Amaranto</v>
      </c>
      <c r="J2146" s="17">
        <f>IF(Tabela1[[#This Row],[Data de conclusão]]="",NETWORKDAYS(Tabela1[[#This Row],[Data de entrada]],$J$2),NETWORKDAYS(Tabela1[[#This Row],[Data de entrada]],Tabela1[[#This Row],[Data de conclusão]]))</f>
        <v>327</v>
      </c>
      <c r="K2146" s="1"/>
    </row>
    <row r="2147" spans="2:11" x14ac:dyDescent="0.25">
      <c r="B2147" s="3">
        <v>2254</v>
      </c>
      <c r="C2147" s="3" t="s">
        <v>8</v>
      </c>
      <c r="D2147" s="3" t="s">
        <v>17</v>
      </c>
      <c r="E2147" s="4">
        <v>42532</v>
      </c>
      <c r="F2147" s="4">
        <v>42588</v>
      </c>
      <c r="G2147" s="3" t="s">
        <v>28</v>
      </c>
      <c r="H2147" s="5">
        <v>14626</v>
      </c>
      <c r="I2147" s="3" t="str">
        <f>VLOOKUP(Tabela1[[#This Row],[Advogado]],Tabela2[],2,FALSE)</f>
        <v>Renê Amaranto</v>
      </c>
      <c r="J2147" s="17">
        <f>IF(Tabela1[[#This Row],[Data de conclusão]]="",NETWORKDAYS(Tabela1[[#This Row],[Data de entrada]],$J$2),NETWORKDAYS(Tabela1[[#This Row],[Data de entrada]],Tabela1[[#This Row],[Data de conclusão]]))</f>
        <v>40</v>
      </c>
      <c r="K2147" s="1"/>
    </row>
    <row r="2148" spans="2:11" x14ac:dyDescent="0.25">
      <c r="B2148" s="3">
        <v>2255</v>
      </c>
      <c r="C2148" s="3" t="s">
        <v>9</v>
      </c>
      <c r="D2148" s="3" t="s">
        <v>10</v>
      </c>
      <c r="E2148" s="4">
        <v>42835</v>
      </c>
      <c r="F2148" s="4"/>
      <c r="G2148" s="3" t="s">
        <v>27</v>
      </c>
      <c r="H2148" s="5">
        <v>25362</v>
      </c>
      <c r="I2148" s="3" t="str">
        <f>VLOOKUP(Tabela1[[#This Row],[Advogado]],Tabela2[],2,FALSE)</f>
        <v>Caio Brito</v>
      </c>
      <c r="J2148" s="17">
        <f>IF(Tabela1[[#This Row],[Data de conclusão]]="",NETWORKDAYS(Tabela1[[#This Row],[Data de entrada]],$J$2),NETWORKDAYS(Tabela1[[#This Row],[Data de entrada]],Tabela1[[#This Row],[Data de conclusão]]))</f>
        <v>287</v>
      </c>
      <c r="K2148" s="1"/>
    </row>
    <row r="2149" spans="2:11" x14ac:dyDescent="0.25">
      <c r="B2149" s="3">
        <v>2256</v>
      </c>
      <c r="C2149" s="3" t="s">
        <v>7</v>
      </c>
      <c r="D2149" s="3" t="s">
        <v>11</v>
      </c>
      <c r="E2149" s="4">
        <v>42972</v>
      </c>
      <c r="F2149" s="4"/>
      <c r="G2149" s="3" t="s">
        <v>29</v>
      </c>
      <c r="H2149" s="5">
        <v>42328</v>
      </c>
      <c r="I2149" s="3" t="str">
        <f>VLOOKUP(Tabela1[[#This Row],[Advogado]],Tabela2[],2,FALSE)</f>
        <v>Caio Brito</v>
      </c>
      <c r="J2149" s="17">
        <f>IF(Tabela1[[#This Row],[Data de conclusão]]="",NETWORKDAYS(Tabela1[[#This Row],[Data de entrada]],$J$2),NETWORKDAYS(Tabela1[[#This Row],[Data de entrada]],Tabela1[[#This Row],[Data de conclusão]]))</f>
        <v>188</v>
      </c>
      <c r="K2149" s="1"/>
    </row>
    <row r="2150" spans="2:11" x14ac:dyDescent="0.25">
      <c r="B2150" s="3">
        <v>2257</v>
      </c>
      <c r="C2150" s="3" t="s">
        <v>8</v>
      </c>
      <c r="D2150" s="3" t="s">
        <v>12</v>
      </c>
      <c r="E2150" s="4">
        <v>42941</v>
      </c>
      <c r="F2150" s="4"/>
      <c r="G2150" s="3" t="s">
        <v>29</v>
      </c>
      <c r="H2150" s="5">
        <v>10668</v>
      </c>
      <c r="I2150" s="3" t="str">
        <f>VLOOKUP(Tabela1[[#This Row],[Advogado]],Tabela2[],2,FALSE)</f>
        <v>Caio Brito</v>
      </c>
      <c r="J2150" s="17">
        <f>IF(Tabela1[[#This Row],[Data de conclusão]]="",NETWORKDAYS(Tabela1[[#This Row],[Data de entrada]],$J$2),NETWORKDAYS(Tabela1[[#This Row],[Data de entrada]],Tabela1[[#This Row],[Data de conclusão]]))</f>
        <v>211</v>
      </c>
      <c r="K2150" s="1"/>
    </row>
    <row r="2151" spans="2:11" x14ac:dyDescent="0.25">
      <c r="B2151" s="3">
        <v>2258</v>
      </c>
      <c r="C2151" s="3" t="s">
        <v>9</v>
      </c>
      <c r="D2151" s="3" t="s">
        <v>13</v>
      </c>
      <c r="E2151" s="4">
        <v>42995</v>
      </c>
      <c r="F2151" s="4"/>
      <c r="G2151" s="3" t="s">
        <v>29</v>
      </c>
      <c r="H2151" s="5">
        <v>21480</v>
      </c>
      <c r="I2151" s="3" t="str">
        <f>VLOOKUP(Tabela1[[#This Row],[Advogado]],Tabela2[],2,FALSE)</f>
        <v>Caio Brito</v>
      </c>
      <c r="J2151" s="17">
        <f>IF(Tabela1[[#This Row],[Data de conclusão]]="",NETWORKDAYS(Tabela1[[#This Row],[Data de entrada]],$J$2),NETWORKDAYS(Tabela1[[#This Row],[Data de entrada]],Tabela1[[#This Row],[Data de conclusão]]))</f>
        <v>172</v>
      </c>
      <c r="K2151" s="1"/>
    </row>
    <row r="2152" spans="2:11" x14ac:dyDescent="0.25">
      <c r="B2152" s="3">
        <v>2259</v>
      </c>
      <c r="C2152" s="3" t="s">
        <v>7</v>
      </c>
      <c r="D2152" s="3" t="s">
        <v>14</v>
      </c>
      <c r="E2152" s="4">
        <v>42451</v>
      </c>
      <c r="F2152" s="4"/>
      <c r="G2152" s="3" t="s">
        <v>29</v>
      </c>
      <c r="H2152" s="5">
        <v>51562</v>
      </c>
      <c r="I2152" s="3" t="str">
        <f>VLOOKUP(Tabela1[[#This Row],[Advogado]],Tabela2[],2,FALSE)</f>
        <v>Renê Amaranto</v>
      </c>
      <c r="J2152" s="17">
        <f>IF(Tabela1[[#This Row],[Data de conclusão]]="",NETWORKDAYS(Tabela1[[#This Row],[Data de entrada]],$J$2),NETWORKDAYS(Tabela1[[#This Row],[Data de entrada]],Tabela1[[#This Row],[Data de conclusão]]))</f>
        <v>561</v>
      </c>
      <c r="K2152" s="1"/>
    </row>
    <row r="2153" spans="2:11" x14ac:dyDescent="0.25">
      <c r="B2153" s="3">
        <v>2260</v>
      </c>
      <c r="C2153" s="3" t="s">
        <v>8</v>
      </c>
      <c r="D2153" s="3" t="s">
        <v>15</v>
      </c>
      <c r="E2153" s="4">
        <v>43069</v>
      </c>
      <c r="F2153" s="4"/>
      <c r="G2153" s="3" t="s">
        <v>29</v>
      </c>
      <c r="H2153" s="5">
        <v>24294</v>
      </c>
      <c r="I2153" s="3" t="str">
        <f>VLOOKUP(Tabela1[[#This Row],[Advogado]],Tabela2[],2,FALSE)</f>
        <v>Renê Amaranto</v>
      </c>
      <c r="J2153" s="17">
        <f>IF(Tabela1[[#This Row],[Data de conclusão]]="",NETWORKDAYS(Tabela1[[#This Row],[Data de entrada]],$J$2),NETWORKDAYS(Tabela1[[#This Row],[Data de entrada]],Tabela1[[#This Row],[Data de conclusão]]))</f>
        <v>119</v>
      </c>
      <c r="K2153" s="1"/>
    </row>
    <row r="2154" spans="2:11" x14ac:dyDescent="0.25">
      <c r="B2154" s="3">
        <v>2261</v>
      </c>
      <c r="C2154" s="3" t="s">
        <v>9</v>
      </c>
      <c r="D2154" s="3" t="s">
        <v>16</v>
      </c>
      <c r="E2154" s="4">
        <v>42798</v>
      </c>
      <c r="F2154" s="4"/>
      <c r="G2154" s="3" t="s">
        <v>29</v>
      </c>
      <c r="H2154" s="5">
        <v>27177</v>
      </c>
      <c r="I2154" s="3" t="str">
        <f>VLOOKUP(Tabela1[[#This Row],[Advogado]],Tabela2[],2,FALSE)</f>
        <v>Renê Amaranto</v>
      </c>
      <c r="J2154" s="17">
        <f>IF(Tabela1[[#This Row],[Data de conclusão]]="",NETWORKDAYS(Tabela1[[#This Row],[Data de entrada]],$J$2),NETWORKDAYS(Tabela1[[#This Row],[Data de entrada]],Tabela1[[#This Row],[Data de conclusão]]))</f>
        <v>312</v>
      </c>
      <c r="K2154" s="1"/>
    </row>
    <row r="2155" spans="2:11" x14ac:dyDescent="0.25">
      <c r="B2155" s="3">
        <v>2262</v>
      </c>
      <c r="C2155" s="3" t="s">
        <v>7</v>
      </c>
      <c r="D2155" s="3" t="s">
        <v>17</v>
      </c>
      <c r="E2155" s="4">
        <v>42372</v>
      </c>
      <c r="F2155" s="4"/>
      <c r="G2155" s="3" t="s">
        <v>29</v>
      </c>
      <c r="H2155" s="5">
        <v>700</v>
      </c>
      <c r="I2155" s="3" t="str">
        <f>VLOOKUP(Tabela1[[#This Row],[Advogado]],Tabela2[],2,FALSE)</f>
        <v>Renê Amaranto</v>
      </c>
      <c r="J2155" s="17">
        <f>IF(Tabela1[[#This Row],[Data de conclusão]]="",NETWORKDAYS(Tabela1[[#This Row],[Data de entrada]],$J$2),NETWORKDAYS(Tabela1[[#This Row],[Data de entrada]],Tabela1[[#This Row],[Data de conclusão]]))</f>
        <v>617</v>
      </c>
      <c r="K2155" s="1"/>
    </row>
    <row r="2156" spans="2:11" x14ac:dyDescent="0.25">
      <c r="B2156" s="3">
        <v>2263</v>
      </c>
      <c r="C2156" s="3" t="s">
        <v>8</v>
      </c>
      <c r="D2156" s="3" t="s">
        <v>10</v>
      </c>
      <c r="E2156" s="4">
        <v>42500</v>
      </c>
      <c r="F2156" s="4"/>
      <c r="G2156" s="3" t="s">
        <v>29</v>
      </c>
      <c r="H2156" s="5">
        <v>55323</v>
      </c>
      <c r="I2156" s="3" t="str">
        <f>VLOOKUP(Tabela1[[#This Row],[Advogado]],Tabela2[],2,FALSE)</f>
        <v>Caio Brito</v>
      </c>
      <c r="J2156" s="17">
        <f>IF(Tabela1[[#This Row],[Data de conclusão]]="",NETWORKDAYS(Tabela1[[#This Row],[Data de entrada]],$J$2),NETWORKDAYS(Tabela1[[#This Row],[Data de entrada]],Tabela1[[#This Row],[Data de conclusão]]))</f>
        <v>526</v>
      </c>
      <c r="K2156" s="1"/>
    </row>
    <row r="2157" spans="2:11" x14ac:dyDescent="0.25">
      <c r="B2157" s="3">
        <v>2264</v>
      </c>
      <c r="C2157" s="3" t="s">
        <v>9</v>
      </c>
      <c r="D2157" s="3" t="s">
        <v>11</v>
      </c>
      <c r="E2157" s="4">
        <v>42863</v>
      </c>
      <c r="F2157" s="4"/>
      <c r="G2157" s="3" t="s">
        <v>29</v>
      </c>
      <c r="H2157" s="5">
        <v>45039</v>
      </c>
      <c r="I2157" s="3" t="str">
        <f>VLOOKUP(Tabela1[[#This Row],[Advogado]],Tabela2[],2,FALSE)</f>
        <v>Caio Brito</v>
      </c>
      <c r="J2157" s="17">
        <f>IF(Tabela1[[#This Row],[Data de conclusão]]="",NETWORKDAYS(Tabela1[[#This Row],[Data de entrada]],$J$2),NETWORKDAYS(Tabela1[[#This Row],[Data de entrada]],Tabela1[[#This Row],[Data de conclusão]]))</f>
        <v>267</v>
      </c>
      <c r="K2157" s="1"/>
    </row>
    <row r="2158" spans="2:11" x14ac:dyDescent="0.25">
      <c r="B2158" s="3">
        <v>2265</v>
      </c>
      <c r="C2158" s="3" t="s">
        <v>7</v>
      </c>
      <c r="D2158" s="3" t="s">
        <v>12</v>
      </c>
      <c r="E2158" s="4">
        <v>42511</v>
      </c>
      <c r="F2158" s="4"/>
      <c r="G2158" s="3" t="s">
        <v>29</v>
      </c>
      <c r="H2158" s="5">
        <v>5356</v>
      </c>
      <c r="I2158" s="3" t="str">
        <f>VLOOKUP(Tabela1[[#This Row],[Advogado]],Tabela2[],2,FALSE)</f>
        <v>Caio Brito</v>
      </c>
      <c r="J2158" s="17">
        <f>IF(Tabela1[[#This Row],[Data de conclusão]]="",NETWORKDAYS(Tabela1[[#This Row],[Data de entrada]],$J$2),NETWORKDAYS(Tabela1[[#This Row],[Data de entrada]],Tabela1[[#This Row],[Data de conclusão]]))</f>
        <v>517</v>
      </c>
      <c r="K2158" s="1"/>
    </row>
    <row r="2159" spans="2:11" x14ac:dyDescent="0.25">
      <c r="B2159" s="3">
        <v>2266</v>
      </c>
      <c r="C2159" s="3" t="s">
        <v>8</v>
      </c>
      <c r="D2159" s="3" t="s">
        <v>13</v>
      </c>
      <c r="E2159" s="4">
        <v>42696</v>
      </c>
      <c r="F2159" s="4"/>
      <c r="G2159" s="3" t="s">
        <v>29</v>
      </c>
      <c r="H2159" s="5">
        <v>10239</v>
      </c>
      <c r="I2159" s="3" t="str">
        <f>VLOOKUP(Tabela1[[#This Row],[Advogado]],Tabela2[],2,FALSE)</f>
        <v>Caio Brito</v>
      </c>
      <c r="J2159" s="17">
        <f>IF(Tabela1[[#This Row],[Data de conclusão]]="",NETWORKDAYS(Tabela1[[#This Row],[Data de entrada]],$J$2),NETWORKDAYS(Tabela1[[#This Row],[Data de entrada]],Tabela1[[#This Row],[Data de conclusão]]))</f>
        <v>386</v>
      </c>
      <c r="K2159" s="1"/>
    </row>
    <row r="2160" spans="2:11" x14ac:dyDescent="0.25">
      <c r="B2160" s="3">
        <v>2267</v>
      </c>
      <c r="C2160" s="3" t="s">
        <v>9</v>
      </c>
      <c r="D2160" s="3" t="s">
        <v>14</v>
      </c>
      <c r="E2160" s="4">
        <v>42859</v>
      </c>
      <c r="F2160" s="4">
        <v>42965</v>
      </c>
      <c r="G2160" s="3" t="s">
        <v>28</v>
      </c>
      <c r="H2160" s="5">
        <v>21304</v>
      </c>
      <c r="I2160" s="3" t="str">
        <f>VLOOKUP(Tabela1[[#This Row],[Advogado]],Tabela2[],2,FALSE)</f>
        <v>Renê Amaranto</v>
      </c>
      <c r="J2160" s="17">
        <f>IF(Tabela1[[#This Row],[Data de conclusão]]="",NETWORKDAYS(Tabela1[[#This Row],[Data de entrada]],$J$2),NETWORKDAYS(Tabela1[[#This Row],[Data de entrada]],Tabela1[[#This Row],[Data de conclusão]]))</f>
        <v>77</v>
      </c>
      <c r="K2160" s="1"/>
    </row>
    <row r="2161" spans="2:11" x14ac:dyDescent="0.25">
      <c r="B2161" s="3">
        <v>2268</v>
      </c>
      <c r="C2161" s="3" t="s">
        <v>7</v>
      </c>
      <c r="D2161" s="3" t="s">
        <v>15</v>
      </c>
      <c r="E2161" s="4">
        <v>42590</v>
      </c>
      <c r="F2161" s="4"/>
      <c r="G2161" s="3" t="s">
        <v>27</v>
      </c>
      <c r="H2161" s="5">
        <v>49599</v>
      </c>
      <c r="I2161" s="3" t="str">
        <f>VLOOKUP(Tabela1[[#This Row],[Advogado]],Tabela2[],2,FALSE)</f>
        <v>Renê Amaranto</v>
      </c>
      <c r="J2161" s="17">
        <f>IF(Tabela1[[#This Row],[Data de conclusão]]="",NETWORKDAYS(Tabela1[[#This Row],[Data de entrada]],$J$2),NETWORKDAYS(Tabela1[[#This Row],[Data de entrada]],Tabela1[[#This Row],[Data de conclusão]]))</f>
        <v>462</v>
      </c>
      <c r="K2161" s="1"/>
    </row>
    <row r="2162" spans="2:11" x14ac:dyDescent="0.25">
      <c r="B2162" s="3">
        <v>2269</v>
      </c>
      <c r="C2162" s="3" t="s">
        <v>8</v>
      </c>
      <c r="D2162" s="3" t="s">
        <v>16</v>
      </c>
      <c r="E2162" s="4">
        <v>42539</v>
      </c>
      <c r="F2162" s="4"/>
      <c r="G2162" s="3" t="s">
        <v>29</v>
      </c>
      <c r="H2162" s="5">
        <v>4751</v>
      </c>
      <c r="I2162" s="3" t="str">
        <f>VLOOKUP(Tabela1[[#This Row],[Advogado]],Tabela2[],2,FALSE)</f>
        <v>Renê Amaranto</v>
      </c>
      <c r="J2162" s="17">
        <f>IF(Tabela1[[#This Row],[Data de conclusão]]="",NETWORKDAYS(Tabela1[[#This Row],[Data de entrada]],$J$2),NETWORKDAYS(Tabela1[[#This Row],[Data de entrada]],Tabela1[[#This Row],[Data de conclusão]]))</f>
        <v>497</v>
      </c>
      <c r="K2162" s="1"/>
    </row>
    <row r="2163" spans="2:11" x14ac:dyDescent="0.25">
      <c r="B2163" s="3">
        <v>2270</v>
      </c>
      <c r="C2163" s="3" t="s">
        <v>9</v>
      </c>
      <c r="D2163" s="3" t="s">
        <v>17</v>
      </c>
      <c r="E2163" s="4">
        <v>42826</v>
      </c>
      <c r="F2163" s="4"/>
      <c r="G2163" s="3" t="s">
        <v>29</v>
      </c>
      <c r="H2163" s="5">
        <v>42490</v>
      </c>
      <c r="I2163" s="3" t="str">
        <f>VLOOKUP(Tabela1[[#This Row],[Advogado]],Tabela2[],2,FALSE)</f>
        <v>Renê Amaranto</v>
      </c>
      <c r="J2163" s="17">
        <f>IF(Tabela1[[#This Row],[Data de conclusão]]="",NETWORKDAYS(Tabela1[[#This Row],[Data de entrada]],$J$2),NETWORKDAYS(Tabela1[[#This Row],[Data de entrada]],Tabela1[[#This Row],[Data de conclusão]]))</f>
        <v>292</v>
      </c>
      <c r="K2163" s="1"/>
    </row>
    <row r="2164" spans="2:11" x14ac:dyDescent="0.25">
      <c r="B2164" s="3">
        <v>2271</v>
      </c>
      <c r="C2164" s="3" t="s">
        <v>7</v>
      </c>
      <c r="D2164" s="3" t="s">
        <v>10</v>
      </c>
      <c r="E2164" s="4">
        <v>42576</v>
      </c>
      <c r="F2164" s="4"/>
      <c r="G2164" s="3" t="s">
        <v>29</v>
      </c>
      <c r="H2164" s="5">
        <v>7900</v>
      </c>
      <c r="I2164" s="3" t="str">
        <f>VLOOKUP(Tabela1[[#This Row],[Advogado]],Tabela2[],2,FALSE)</f>
        <v>Caio Brito</v>
      </c>
      <c r="J2164" s="17">
        <f>IF(Tabela1[[#This Row],[Data de conclusão]]="",NETWORKDAYS(Tabela1[[#This Row],[Data de entrada]],$J$2),NETWORKDAYS(Tabela1[[#This Row],[Data de entrada]],Tabela1[[#This Row],[Data de conclusão]]))</f>
        <v>472</v>
      </c>
      <c r="K2164" s="1"/>
    </row>
    <row r="2165" spans="2:11" x14ac:dyDescent="0.25">
      <c r="B2165" s="3">
        <v>2272</v>
      </c>
      <c r="C2165" s="3" t="s">
        <v>8</v>
      </c>
      <c r="D2165" s="3" t="s">
        <v>11</v>
      </c>
      <c r="E2165" s="4">
        <v>42959</v>
      </c>
      <c r="F2165" s="4"/>
      <c r="G2165" s="3" t="s">
        <v>29</v>
      </c>
      <c r="H2165" s="5">
        <v>38215</v>
      </c>
      <c r="I2165" s="3" t="str">
        <f>VLOOKUP(Tabela1[[#This Row],[Advogado]],Tabela2[],2,FALSE)</f>
        <v>Caio Brito</v>
      </c>
      <c r="J2165" s="17">
        <f>IF(Tabela1[[#This Row],[Data de conclusão]]="",NETWORKDAYS(Tabela1[[#This Row],[Data de entrada]],$J$2),NETWORKDAYS(Tabela1[[#This Row],[Data de entrada]],Tabela1[[#This Row],[Data de conclusão]]))</f>
        <v>197</v>
      </c>
      <c r="K2165" s="1"/>
    </row>
    <row r="2166" spans="2:11" x14ac:dyDescent="0.25">
      <c r="B2166" s="3">
        <v>2273</v>
      </c>
      <c r="C2166" s="3" t="s">
        <v>9</v>
      </c>
      <c r="D2166" s="3" t="s">
        <v>12</v>
      </c>
      <c r="E2166" s="4">
        <v>42949</v>
      </c>
      <c r="F2166" s="4"/>
      <c r="G2166" s="3" t="s">
        <v>29</v>
      </c>
      <c r="H2166" s="5">
        <v>41912</v>
      </c>
      <c r="I2166" s="3" t="str">
        <f>VLOOKUP(Tabela1[[#This Row],[Advogado]],Tabela2[],2,FALSE)</f>
        <v>Caio Brito</v>
      </c>
      <c r="J2166" s="17">
        <f>IF(Tabela1[[#This Row],[Data de conclusão]]="",NETWORKDAYS(Tabela1[[#This Row],[Data de entrada]],$J$2),NETWORKDAYS(Tabela1[[#This Row],[Data de entrada]],Tabela1[[#This Row],[Data de conclusão]]))</f>
        <v>205</v>
      </c>
      <c r="K2166" s="1"/>
    </row>
    <row r="2167" spans="2:11" x14ac:dyDescent="0.25">
      <c r="B2167" s="3">
        <v>2274</v>
      </c>
      <c r="C2167" s="3" t="s">
        <v>7</v>
      </c>
      <c r="D2167" s="3" t="s">
        <v>13</v>
      </c>
      <c r="E2167" s="4">
        <v>42923</v>
      </c>
      <c r="F2167" s="4"/>
      <c r="G2167" s="3" t="s">
        <v>29</v>
      </c>
      <c r="H2167" s="5">
        <v>17472</v>
      </c>
      <c r="I2167" s="3" t="str">
        <f>VLOOKUP(Tabela1[[#This Row],[Advogado]],Tabela2[],2,FALSE)</f>
        <v>Caio Brito</v>
      </c>
      <c r="J2167" s="17">
        <f>IF(Tabela1[[#This Row],[Data de conclusão]]="",NETWORKDAYS(Tabela1[[#This Row],[Data de entrada]],$J$2),NETWORKDAYS(Tabela1[[#This Row],[Data de entrada]],Tabela1[[#This Row],[Data de conclusão]]))</f>
        <v>223</v>
      </c>
      <c r="K2167" s="1"/>
    </row>
    <row r="2168" spans="2:11" x14ac:dyDescent="0.25">
      <c r="B2168" s="3">
        <v>2275</v>
      </c>
      <c r="C2168" s="3" t="s">
        <v>8</v>
      </c>
      <c r="D2168" s="3" t="s">
        <v>14</v>
      </c>
      <c r="E2168" s="4">
        <v>42674</v>
      </c>
      <c r="F2168" s="4"/>
      <c r="G2168" s="3" t="s">
        <v>29</v>
      </c>
      <c r="H2168" s="5">
        <v>28151</v>
      </c>
      <c r="I2168" s="3" t="str">
        <f>VLOOKUP(Tabela1[[#This Row],[Advogado]],Tabela2[],2,FALSE)</f>
        <v>Renê Amaranto</v>
      </c>
      <c r="J2168" s="17">
        <f>IF(Tabela1[[#This Row],[Data de conclusão]]="",NETWORKDAYS(Tabela1[[#This Row],[Data de entrada]],$J$2),NETWORKDAYS(Tabela1[[#This Row],[Data de entrada]],Tabela1[[#This Row],[Data de conclusão]]))</f>
        <v>402</v>
      </c>
      <c r="K2168" s="1"/>
    </row>
    <row r="2169" spans="2:11" x14ac:dyDescent="0.25">
      <c r="B2169" s="3">
        <v>2276</v>
      </c>
      <c r="C2169" s="3" t="s">
        <v>9</v>
      </c>
      <c r="D2169" s="3" t="s">
        <v>15</v>
      </c>
      <c r="E2169" s="4">
        <v>42998</v>
      </c>
      <c r="F2169" s="4"/>
      <c r="G2169" s="3" t="s">
        <v>29</v>
      </c>
      <c r="H2169" s="5">
        <v>48317</v>
      </c>
      <c r="I2169" s="3" t="str">
        <f>VLOOKUP(Tabela1[[#This Row],[Advogado]],Tabela2[],2,FALSE)</f>
        <v>Renê Amaranto</v>
      </c>
      <c r="J2169" s="17">
        <f>IF(Tabela1[[#This Row],[Data de conclusão]]="",NETWORKDAYS(Tabela1[[#This Row],[Data de entrada]],$J$2),NETWORKDAYS(Tabela1[[#This Row],[Data de entrada]],Tabela1[[#This Row],[Data de conclusão]]))</f>
        <v>170</v>
      </c>
      <c r="K2169" s="1"/>
    </row>
    <row r="2170" spans="2:11" x14ac:dyDescent="0.25">
      <c r="B2170" s="3">
        <v>2277</v>
      </c>
      <c r="C2170" s="3" t="s">
        <v>7</v>
      </c>
      <c r="D2170" s="3" t="s">
        <v>16</v>
      </c>
      <c r="E2170" s="4">
        <v>42998</v>
      </c>
      <c r="F2170" s="4"/>
      <c r="G2170" s="3" t="s">
        <v>29</v>
      </c>
      <c r="H2170" s="5">
        <v>17248</v>
      </c>
      <c r="I2170" s="3" t="str">
        <f>VLOOKUP(Tabela1[[#This Row],[Advogado]],Tabela2[],2,FALSE)</f>
        <v>Renê Amaranto</v>
      </c>
      <c r="J2170" s="17">
        <f>IF(Tabela1[[#This Row],[Data de conclusão]]="",NETWORKDAYS(Tabela1[[#This Row],[Data de entrada]],$J$2),NETWORKDAYS(Tabela1[[#This Row],[Data de entrada]],Tabela1[[#This Row],[Data de conclusão]]))</f>
        <v>170</v>
      </c>
      <c r="K2170" s="1"/>
    </row>
    <row r="2171" spans="2:11" x14ac:dyDescent="0.25">
      <c r="B2171" s="3">
        <v>2278</v>
      </c>
      <c r="C2171" s="3" t="s">
        <v>8</v>
      </c>
      <c r="D2171" s="3" t="s">
        <v>17</v>
      </c>
      <c r="E2171" s="4">
        <v>43093</v>
      </c>
      <c r="F2171" s="4"/>
      <c r="G2171" s="3" t="s">
        <v>29</v>
      </c>
      <c r="H2171" s="5">
        <v>25117</v>
      </c>
      <c r="I2171" s="3" t="str">
        <f>VLOOKUP(Tabela1[[#This Row],[Advogado]],Tabela2[],2,FALSE)</f>
        <v>Renê Amaranto</v>
      </c>
      <c r="J2171" s="17">
        <f>IF(Tabela1[[#This Row],[Data de conclusão]]="",NETWORKDAYS(Tabela1[[#This Row],[Data de entrada]],$J$2),NETWORKDAYS(Tabela1[[#This Row],[Data de entrada]],Tabela1[[#This Row],[Data de conclusão]]))</f>
        <v>102</v>
      </c>
      <c r="K2171" s="1"/>
    </row>
    <row r="2172" spans="2:11" x14ac:dyDescent="0.25">
      <c r="B2172" s="3">
        <v>2279</v>
      </c>
      <c r="C2172" s="3" t="s">
        <v>9</v>
      </c>
      <c r="D2172" s="3" t="s">
        <v>10</v>
      </c>
      <c r="E2172" s="4">
        <v>42995</v>
      </c>
      <c r="F2172" s="4"/>
      <c r="G2172" s="3" t="s">
        <v>29</v>
      </c>
      <c r="H2172" s="5">
        <v>18716</v>
      </c>
      <c r="I2172" s="3" t="str">
        <f>VLOOKUP(Tabela1[[#This Row],[Advogado]],Tabela2[],2,FALSE)</f>
        <v>Caio Brito</v>
      </c>
      <c r="J2172" s="17">
        <f>IF(Tabela1[[#This Row],[Data de conclusão]]="",NETWORKDAYS(Tabela1[[#This Row],[Data de entrada]],$J$2),NETWORKDAYS(Tabela1[[#This Row],[Data de entrada]],Tabela1[[#This Row],[Data de conclusão]]))</f>
        <v>172</v>
      </c>
      <c r="K2172" s="1"/>
    </row>
    <row r="2173" spans="2:11" x14ac:dyDescent="0.25">
      <c r="B2173" s="3">
        <v>2280</v>
      </c>
      <c r="C2173" s="3" t="s">
        <v>7</v>
      </c>
      <c r="D2173" s="3" t="s">
        <v>11</v>
      </c>
      <c r="E2173" s="4">
        <v>42944</v>
      </c>
      <c r="F2173" s="4">
        <v>43017</v>
      </c>
      <c r="G2173" s="3" t="s">
        <v>28</v>
      </c>
      <c r="H2173" s="5">
        <v>59898</v>
      </c>
      <c r="I2173" s="3" t="str">
        <f>VLOOKUP(Tabela1[[#This Row],[Advogado]],Tabela2[],2,FALSE)</f>
        <v>Caio Brito</v>
      </c>
      <c r="J2173" s="17">
        <f>IF(Tabela1[[#This Row],[Data de conclusão]]="",NETWORKDAYS(Tabela1[[#This Row],[Data de entrada]],$J$2),NETWORKDAYS(Tabela1[[#This Row],[Data de entrada]],Tabela1[[#This Row],[Data de conclusão]]))</f>
        <v>52</v>
      </c>
      <c r="K2173" s="1"/>
    </row>
    <row r="2174" spans="2:11" x14ac:dyDescent="0.25">
      <c r="B2174" s="3">
        <v>2281</v>
      </c>
      <c r="C2174" s="3" t="s">
        <v>8</v>
      </c>
      <c r="D2174" s="3" t="s">
        <v>12</v>
      </c>
      <c r="E2174" s="4">
        <v>42523</v>
      </c>
      <c r="F2174" s="4"/>
      <c r="G2174" s="3" t="s">
        <v>27</v>
      </c>
      <c r="H2174" s="5">
        <v>45154</v>
      </c>
      <c r="I2174" s="3" t="str">
        <f>VLOOKUP(Tabela1[[#This Row],[Advogado]],Tabela2[],2,FALSE)</f>
        <v>Caio Brito</v>
      </c>
      <c r="J2174" s="17">
        <f>IF(Tabela1[[#This Row],[Data de conclusão]]="",NETWORKDAYS(Tabela1[[#This Row],[Data de entrada]],$J$2),NETWORKDAYS(Tabela1[[#This Row],[Data de entrada]],Tabela1[[#This Row],[Data de conclusão]]))</f>
        <v>509</v>
      </c>
      <c r="K2174" s="1"/>
    </row>
    <row r="2175" spans="2:11" x14ac:dyDescent="0.25">
      <c r="B2175" s="3">
        <v>2282</v>
      </c>
      <c r="C2175" s="3" t="s">
        <v>9</v>
      </c>
      <c r="D2175" s="3" t="s">
        <v>13</v>
      </c>
      <c r="E2175" s="4">
        <v>42393</v>
      </c>
      <c r="F2175" s="4"/>
      <c r="G2175" s="3" t="s">
        <v>29</v>
      </c>
      <c r="H2175" s="5">
        <v>22579</v>
      </c>
      <c r="I2175" s="3" t="str">
        <f>VLOOKUP(Tabela1[[#This Row],[Advogado]],Tabela2[],2,FALSE)</f>
        <v>Caio Brito</v>
      </c>
      <c r="J2175" s="17">
        <f>IF(Tabela1[[#This Row],[Data de conclusão]]="",NETWORKDAYS(Tabela1[[#This Row],[Data de entrada]],$J$2),NETWORKDAYS(Tabela1[[#This Row],[Data de entrada]],Tabela1[[#This Row],[Data de conclusão]]))</f>
        <v>602</v>
      </c>
      <c r="K2175" s="1"/>
    </row>
    <row r="2176" spans="2:11" x14ac:dyDescent="0.25">
      <c r="B2176" s="3">
        <v>2283</v>
      </c>
      <c r="C2176" s="3" t="s">
        <v>7</v>
      </c>
      <c r="D2176" s="3" t="s">
        <v>14</v>
      </c>
      <c r="E2176" s="4">
        <v>42751</v>
      </c>
      <c r="F2176" s="4"/>
      <c r="G2176" s="3" t="s">
        <v>29</v>
      </c>
      <c r="H2176" s="5">
        <v>38967</v>
      </c>
      <c r="I2176" s="3" t="str">
        <f>VLOOKUP(Tabela1[[#This Row],[Advogado]],Tabela2[],2,FALSE)</f>
        <v>Renê Amaranto</v>
      </c>
      <c r="J2176" s="17">
        <f>IF(Tabela1[[#This Row],[Data de conclusão]]="",NETWORKDAYS(Tabela1[[#This Row],[Data de entrada]],$J$2),NETWORKDAYS(Tabela1[[#This Row],[Data de entrada]],Tabela1[[#This Row],[Data de conclusão]]))</f>
        <v>347</v>
      </c>
      <c r="K2176" s="1"/>
    </row>
    <row r="2177" spans="2:11" x14ac:dyDescent="0.25">
      <c r="B2177" s="3">
        <v>2284</v>
      </c>
      <c r="C2177" s="3" t="s">
        <v>8</v>
      </c>
      <c r="D2177" s="3" t="s">
        <v>15</v>
      </c>
      <c r="E2177" s="4">
        <v>42697</v>
      </c>
      <c r="F2177" s="4"/>
      <c r="G2177" s="3" t="s">
        <v>29</v>
      </c>
      <c r="H2177" s="5">
        <v>26421</v>
      </c>
      <c r="I2177" s="3" t="str">
        <f>VLOOKUP(Tabela1[[#This Row],[Advogado]],Tabela2[],2,FALSE)</f>
        <v>Renê Amaranto</v>
      </c>
      <c r="J2177" s="17">
        <f>IF(Tabela1[[#This Row],[Data de conclusão]]="",NETWORKDAYS(Tabela1[[#This Row],[Data de entrada]],$J$2),NETWORKDAYS(Tabela1[[#This Row],[Data de entrada]],Tabela1[[#This Row],[Data de conclusão]]))</f>
        <v>385</v>
      </c>
      <c r="K2177" s="1"/>
    </row>
    <row r="2178" spans="2:11" x14ac:dyDescent="0.25">
      <c r="B2178" s="3">
        <v>2285</v>
      </c>
      <c r="C2178" s="3" t="s">
        <v>9</v>
      </c>
      <c r="D2178" s="3" t="s">
        <v>16</v>
      </c>
      <c r="E2178" s="4">
        <v>42409</v>
      </c>
      <c r="F2178" s="4"/>
      <c r="G2178" s="3" t="s">
        <v>29</v>
      </c>
      <c r="H2178" s="5">
        <v>57906</v>
      </c>
      <c r="I2178" s="3" t="str">
        <f>VLOOKUP(Tabela1[[#This Row],[Advogado]],Tabela2[],2,FALSE)</f>
        <v>Renê Amaranto</v>
      </c>
      <c r="J2178" s="17">
        <f>IF(Tabela1[[#This Row],[Data de conclusão]]="",NETWORKDAYS(Tabela1[[#This Row],[Data de entrada]],$J$2),NETWORKDAYS(Tabela1[[#This Row],[Data de entrada]],Tabela1[[#This Row],[Data de conclusão]]))</f>
        <v>591</v>
      </c>
      <c r="K2178" s="1"/>
    </row>
    <row r="2179" spans="2:11" x14ac:dyDescent="0.25">
      <c r="B2179" s="3">
        <v>2286</v>
      </c>
      <c r="C2179" s="3" t="s">
        <v>7</v>
      </c>
      <c r="D2179" s="3" t="s">
        <v>17</v>
      </c>
      <c r="E2179" s="4">
        <v>43062</v>
      </c>
      <c r="F2179" s="4"/>
      <c r="G2179" s="3" t="s">
        <v>29</v>
      </c>
      <c r="H2179" s="5">
        <v>4397</v>
      </c>
      <c r="I2179" s="3" t="str">
        <f>VLOOKUP(Tabela1[[#This Row],[Advogado]],Tabela2[],2,FALSE)</f>
        <v>Renê Amaranto</v>
      </c>
      <c r="J2179" s="17">
        <f>IF(Tabela1[[#This Row],[Data de conclusão]]="",NETWORKDAYS(Tabela1[[#This Row],[Data de entrada]],$J$2),NETWORKDAYS(Tabela1[[#This Row],[Data de entrada]],Tabela1[[#This Row],[Data de conclusão]]))</f>
        <v>124</v>
      </c>
      <c r="K2179" s="1"/>
    </row>
    <row r="2180" spans="2:11" x14ac:dyDescent="0.25">
      <c r="B2180" s="3">
        <v>2287</v>
      </c>
      <c r="C2180" s="3" t="s">
        <v>8</v>
      </c>
      <c r="D2180" s="3" t="s">
        <v>10</v>
      </c>
      <c r="E2180" s="4">
        <v>43061</v>
      </c>
      <c r="F2180" s="4"/>
      <c r="G2180" s="3" t="s">
        <v>29</v>
      </c>
      <c r="H2180" s="5">
        <v>6653</v>
      </c>
      <c r="I2180" s="3" t="str">
        <f>VLOOKUP(Tabela1[[#This Row],[Advogado]],Tabela2[],2,FALSE)</f>
        <v>Caio Brito</v>
      </c>
      <c r="J2180" s="17">
        <f>IF(Tabela1[[#This Row],[Data de conclusão]]="",NETWORKDAYS(Tabela1[[#This Row],[Data de entrada]],$J$2),NETWORKDAYS(Tabela1[[#This Row],[Data de entrada]],Tabela1[[#This Row],[Data de conclusão]]))</f>
        <v>125</v>
      </c>
      <c r="K2180" s="1"/>
    </row>
    <row r="2181" spans="2:11" x14ac:dyDescent="0.25">
      <c r="B2181" s="3">
        <v>2288</v>
      </c>
      <c r="C2181" s="3" t="s">
        <v>9</v>
      </c>
      <c r="D2181" s="3" t="s">
        <v>11</v>
      </c>
      <c r="E2181" s="4">
        <v>42765</v>
      </c>
      <c r="F2181" s="4"/>
      <c r="G2181" s="3" t="s">
        <v>29</v>
      </c>
      <c r="H2181" s="5">
        <v>25473</v>
      </c>
      <c r="I2181" s="3" t="str">
        <f>VLOOKUP(Tabela1[[#This Row],[Advogado]],Tabela2[],2,FALSE)</f>
        <v>Caio Brito</v>
      </c>
      <c r="J2181" s="17">
        <f>IF(Tabela1[[#This Row],[Data de conclusão]]="",NETWORKDAYS(Tabela1[[#This Row],[Data de entrada]],$J$2),NETWORKDAYS(Tabela1[[#This Row],[Data de entrada]],Tabela1[[#This Row],[Data de conclusão]]))</f>
        <v>337</v>
      </c>
      <c r="K2181" s="1"/>
    </row>
    <row r="2182" spans="2:11" x14ac:dyDescent="0.25">
      <c r="B2182" s="3">
        <v>2289</v>
      </c>
      <c r="C2182" s="3" t="s">
        <v>7</v>
      </c>
      <c r="D2182" s="3" t="s">
        <v>12</v>
      </c>
      <c r="E2182" s="4">
        <v>42977</v>
      </c>
      <c r="F2182" s="4"/>
      <c r="G2182" s="3" t="s">
        <v>29</v>
      </c>
      <c r="H2182" s="5">
        <v>47936</v>
      </c>
      <c r="I2182" s="3" t="str">
        <f>VLOOKUP(Tabela1[[#This Row],[Advogado]],Tabela2[],2,FALSE)</f>
        <v>Caio Brito</v>
      </c>
      <c r="J2182" s="17">
        <f>IF(Tabela1[[#This Row],[Data de conclusão]]="",NETWORKDAYS(Tabela1[[#This Row],[Data de entrada]],$J$2),NETWORKDAYS(Tabela1[[#This Row],[Data de entrada]],Tabela1[[#This Row],[Data de conclusão]]))</f>
        <v>185</v>
      </c>
      <c r="K2182" s="1"/>
    </row>
    <row r="2183" spans="2:11" x14ac:dyDescent="0.25">
      <c r="B2183" s="3">
        <v>2290</v>
      </c>
      <c r="C2183" s="3" t="s">
        <v>8</v>
      </c>
      <c r="D2183" s="3" t="s">
        <v>13</v>
      </c>
      <c r="E2183" s="4">
        <v>42789</v>
      </c>
      <c r="F2183" s="4"/>
      <c r="G2183" s="3" t="s">
        <v>29</v>
      </c>
      <c r="H2183" s="5">
        <v>8212</v>
      </c>
      <c r="I2183" s="3" t="str">
        <f>VLOOKUP(Tabela1[[#This Row],[Advogado]],Tabela2[],2,FALSE)</f>
        <v>Caio Brito</v>
      </c>
      <c r="J2183" s="17">
        <f>IF(Tabela1[[#This Row],[Data de conclusão]]="",NETWORKDAYS(Tabela1[[#This Row],[Data de entrada]],$J$2),NETWORKDAYS(Tabela1[[#This Row],[Data de entrada]],Tabela1[[#This Row],[Data de conclusão]]))</f>
        <v>319</v>
      </c>
      <c r="K2183" s="1"/>
    </row>
    <row r="2184" spans="2:11" x14ac:dyDescent="0.25">
      <c r="B2184" s="3">
        <v>2291</v>
      </c>
      <c r="C2184" s="3" t="s">
        <v>9</v>
      </c>
      <c r="D2184" s="3" t="s">
        <v>14</v>
      </c>
      <c r="E2184" s="4">
        <v>42420</v>
      </c>
      <c r="F2184" s="4"/>
      <c r="G2184" s="3" t="s">
        <v>29</v>
      </c>
      <c r="H2184" s="5">
        <v>47946</v>
      </c>
      <c r="I2184" s="3" t="str">
        <f>VLOOKUP(Tabela1[[#This Row],[Advogado]],Tabela2[],2,FALSE)</f>
        <v>Renê Amaranto</v>
      </c>
      <c r="J2184" s="17">
        <f>IF(Tabela1[[#This Row],[Data de conclusão]]="",NETWORKDAYS(Tabela1[[#This Row],[Data de entrada]],$J$2),NETWORKDAYS(Tabela1[[#This Row],[Data de entrada]],Tabela1[[#This Row],[Data de conclusão]]))</f>
        <v>582</v>
      </c>
      <c r="K2184" s="1"/>
    </row>
    <row r="2185" spans="2:11" x14ac:dyDescent="0.25">
      <c r="B2185" s="3">
        <v>2292</v>
      </c>
      <c r="C2185" s="3" t="s">
        <v>7</v>
      </c>
      <c r="D2185" s="3" t="s">
        <v>15</v>
      </c>
      <c r="E2185" s="4">
        <v>42585</v>
      </c>
      <c r="F2185" s="4"/>
      <c r="G2185" s="3" t="s">
        <v>29</v>
      </c>
      <c r="H2185" s="5">
        <v>59707</v>
      </c>
      <c r="I2185" s="3" t="str">
        <f>VLOOKUP(Tabela1[[#This Row],[Advogado]],Tabela2[],2,FALSE)</f>
        <v>Renê Amaranto</v>
      </c>
      <c r="J2185" s="17">
        <f>IF(Tabela1[[#This Row],[Data de conclusão]]="",NETWORKDAYS(Tabela1[[#This Row],[Data de entrada]],$J$2),NETWORKDAYS(Tabela1[[#This Row],[Data de entrada]],Tabela1[[#This Row],[Data de conclusão]]))</f>
        <v>465</v>
      </c>
      <c r="K2185" s="1"/>
    </row>
    <row r="2186" spans="2:11" x14ac:dyDescent="0.25">
      <c r="B2186" s="3">
        <v>2293</v>
      </c>
      <c r="C2186" s="3" t="s">
        <v>8</v>
      </c>
      <c r="D2186" s="3" t="s">
        <v>16</v>
      </c>
      <c r="E2186" s="4">
        <v>43062</v>
      </c>
      <c r="F2186" s="4">
        <v>43140</v>
      </c>
      <c r="G2186" s="3" t="s">
        <v>28</v>
      </c>
      <c r="H2186" s="5">
        <v>8706</v>
      </c>
      <c r="I2186" s="3" t="str">
        <f>VLOOKUP(Tabela1[[#This Row],[Advogado]],Tabela2[],2,FALSE)</f>
        <v>Renê Amaranto</v>
      </c>
      <c r="J2186" s="17">
        <f>IF(Tabela1[[#This Row],[Data de conclusão]]="",NETWORKDAYS(Tabela1[[#This Row],[Data de entrada]],$J$2),NETWORKDAYS(Tabela1[[#This Row],[Data de entrada]],Tabela1[[#This Row],[Data de conclusão]]))</f>
        <v>57</v>
      </c>
      <c r="K2186" s="1"/>
    </row>
    <row r="2187" spans="2:11" x14ac:dyDescent="0.25">
      <c r="B2187" s="3">
        <v>2294</v>
      </c>
      <c r="C2187" s="3" t="s">
        <v>9</v>
      </c>
      <c r="D2187" s="3" t="s">
        <v>17</v>
      </c>
      <c r="E2187" s="4">
        <v>42867</v>
      </c>
      <c r="F2187" s="4"/>
      <c r="G2187" s="3" t="s">
        <v>27</v>
      </c>
      <c r="H2187" s="5">
        <v>40622</v>
      </c>
      <c r="I2187" s="3" t="str">
        <f>VLOOKUP(Tabela1[[#This Row],[Advogado]],Tabela2[],2,FALSE)</f>
        <v>Renê Amaranto</v>
      </c>
      <c r="J2187" s="17">
        <f>IF(Tabela1[[#This Row],[Data de conclusão]]="",NETWORKDAYS(Tabela1[[#This Row],[Data de entrada]],$J$2),NETWORKDAYS(Tabela1[[#This Row],[Data de entrada]],Tabela1[[#This Row],[Data de conclusão]]))</f>
        <v>263</v>
      </c>
      <c r="K2187" s="1"/>
    </row>
    <row r="2188" spans="2:11" x14ac:dyDescent="0.25">
      <c r="B2188" s="3">
        <v>2295</v>
      </c>
      <c r="C2188" s="3" t="s">
        <v>7</v>
      </c>
      <c r="D2188" s="3" t="s">
        <v>10</v>
      </c>
      <c r="E2188" s="4">
        <v>42823</v>
      </c>
      <c r="F2188" s="4"/>
      <c r="G2188" s="3" t="s">
        <v>29</v>
      </c>
      <c r="H2188" s="5">
        <v>39301</v>
      </c>
      <c r="I2188" s="3" t="str">
        <f>VLOOKUP(Tabela1[[#This Row],[Advogado]],Tabela2[],2,FALSE)</f>
        <v>Caio Brito</v>
      </c>
      <c r="J2188" s="17">
        <f>IF(Tabela1[[#This Row],[Data de conclusão]]="",NETWORKDAYS(Tabela1[[#This Row],[Data de entrada]],$J$2),NETWORKDAYS(Tabela1[[#This Row],[Data de entrada]],Tabela1[[#This Row],[Data de conclusão]]))</f>
        <v>295</v>
      </c>
      <c r="K2188" s="1"/>
    </row>
    <row r="2189" spans="2:11" x14ac:dyDescent="0.25">
      <c r="B2189" s="3">
        <v>2296</v>
      </c>
      <c r="C2189" s="3" t="s">
        <v>8</v>
      </c>
      <c r="D2189" s="3" t="s">
        <v>11</v>
      </c>
      <c r="E2189" s="4">
        <v>43028</v>
      </c>
      <c r="F2189" s="4"/>
      <c r="G2189" s="3" t="s">
        <v>29</v>
      </c>
      <c r="H2189" s="5">
        <v>8566</v>
      </c>
      <c r="I2189" s="3" t="str">
        <f>VLOOKUP(Tabela1[[#This Row],[Advogado]],Tabela2[],2,FALSE)</f>
        <v>Caio Brito</v>
      </c>
      <c r="J2189" s="17">
        <f>IF(Tabela1[[#This Row],[Data de conclusão]]="",NETWORKDAYS(Tabela1[[#This Row],[Data de entrada]],$J$2),NETWORKDAYS(Tabela1[[#This Row],[Data de entrada]],Tabela1[[#This Row],[Data de conclusão]]))</f>
        <v>148</v>
      </c>
      <c r="K2189" s="1"/>
    </row>
    <row r="2190" spans="2:11" x14ac:dyDescent="0.25">
      <c r="B2190" s="3">
        <v>2297</v>
      </c>
      <c r="C2190" s="3" t="s">
        <v>9</v>
      </c>
      <c r="D2190" s="3" t="s">
        <v>12</v>
      </c>
      <c r="E2190" s="4">
        <v>42879</v>
      </c>
      <c r="F2190" s="4"/>
      <c r="G2190" s="3" t="s">
        <v>29</v>
      </c>
      <c r="H2190" s="5">
        <v>733</v>
      </c>
      <c r="I2190" s="3" t="str">
        <f>VLOOKUP(Tabela1[[#This Row],[Advogado]],Tabela2[],2,FALSE)</f>
        <v>Caio Brito</v>
      </c>
      <c r="J2190" s="17">
        <f>IF(Tabela1[[#This Row],[Data de conclusão]]="",NETWORKDAYS(Tabela1[[#This Row],[Data de entrada]],$J$2),NETWORKDAYS(Tabela1[[#This Row],[Data de entrada]],Tabela1[[#This Row],[Data de conclusão]]))</f>
        <v>255</v>
      </c>
      <c r="K2190" s="1"/>
    </row>
    <row r="2191" spans="2:11" x14ac:dyDescent="0.25">
      <c r="B2191" s="3">
        <v>2298</v>
      </c>
      <c r="C2191" s="3" t="s">
        <v>7</v>
      </c>
      <c r="D2191" s="3" t="s">
        <v>13</v>
      </c>
      <c r="E2191" s="4">
        <v>42417</v>
      </c>
      <c r="F2191" s="4"/>
      <c r="G2191" s="3" t="s">
        <v>29</v>
      </c>
      <c r="H2191" s="5">
        <v>45009</v>
      </c>
      <c r="I2191" s="3" t="str">
        <f>VLOOKUP(Tabela1[[#This Row],[Advogado]],Tabela2[],2,FALSE)</f>
        <v>Caio Brito</v>
      </c>
      <c r="J2191" s="17">
        <f>IF(Tabela1[[#This Row],[Data de conclusão]]="",NETWORKDAYS(Tabela1[[#This Row],[Data de entrada]],$J$2),NETWORKDAYS(Tabela1[[#This Row],[Data de entrada]],Tabela1[[#This Row],[Data de conclusão]]))</f>
        <v>585</v>
      </c>
      <c r="K2191" s="1"/>
    </row>
    <row r="2192" spans="2:11" x14ac:dyDescent="0.25">
      <c r="B2192" s="3">
        <v>2299</v>
      </c>
      <c r="C2192" s="3" t="s">
        <v>8</v>
      </c>
      <c r="D2192" s="3" t="s">
        <v>14</v>
      </c>
      <c r="E2192" s="4">
        <v>42993</v>
      </c>
      <c r="F2192" s="4"/>
      <c r="G2192" s="3" t="s">
        <v>29</v>
      </c>
      <c r="H2192" s="5">
        <v>31228</v>
      </c>
      <c r="I2192" s="3" t="str">
        <f>VLOOKUP(Tabela1[[#This Row],[Advogado]],Tabela2[],2,FALSE)</f>
        <v>Renê Amaranto</v>
      </c>
      <c r="J2192" s="17">
        <f>IF(Tabela1[[#This Row],[Data de conclusão]]="",NETWORKDAYS(Tabela1[[#This Row],[Data de entrada]],$J$2),NETWORKDAYS(Tabela1[[#This Row],[Data de entrada]],Tabela1[[#This Row],[Data de conclusão]]))</f>
        <v>173</v>
      </c>
      <c r="K2192" s="1"/>
    </row>
    <row r="2193" spans="2:11" x14ac:dyDescent="0.25">
      <c r="B2193" s="3">
        <v>2300</v>
      </c>
      <c r="C2193" s="3" t="s">
        <v>9</v>
      </c>
      <c r="D2193" s="3" t="s">
        <v>15</v>
      </c>
      <c r="E2193" s="4">
        <v>42916</v>
      </c>
      <c r="F2193" s="4"/>
      <c r="G2193" s="3" t="s">
        <v>29</v>
      </c>
      <c r="H2193" s="5">
        <v>39478</v>
      </c>
      <c r="I2193" s="3" t="str">
        <f>VLOOKUP(Tabela1[[#This Row],[Advogado]],Tabela2[],2,FALSE)</f>
        <v>Renê Amaranto</v>
      </c>
      <c r="J2193" s="17">
        <f>IF(Tabela1[[#This Row],[Data de conclusão]]="",NETWORKDAYS(Tabela1[[#This Row],[Data de entrada]],$J$2),NETWORKDAYS(Tabela1[[#This Row],[Data de entrada]],Tabela1[[#This Row],[Data de conclusão]]))</f>
        <v>228</v>
      </c>
      <c r="K2193" s="1"/>
    </row>
    <row r="2194" spans="2:11" x14ac:dyDescent="0.25">
      <c r="B2194" s="3">
        <v>2301</v>
      </c>
      <c r="C2194" s="3" t="s">
        <v>7</v>
      </c>
      <c r="D2194" s="3" t="s">
        <v>16</v>
      </c>
      <c r="E2194" s="4">
        <v>43100</v>
      </c>
      <c r="F2194" s="4"/>
      <c r="G2194" s="3" t="s">
        <v>29</v>
      </c>
      <c r="H2194" s="5">
        <v>57448</v>
      </c>
      <c r="I2194" s="3" t="str">
        <f>VLOOKUP(Tabela1[[#This Row],[Advogado]],Tabela2[],2,FALSE)</f>
        <v>Renê Amaranto</v>
      </c>
      <c r="J2194" s="17">
        <f>IF(Tabela1[[#This Row],[Data de conclusão]]="",NETWORKDAYS(Tabela1[[#This Row],[Data de entrada]],$J$2),NETWORKDAYS(Tabela1[[#This Row],[Data de entrada]],Tabela1[[#This Row],[Data de conclusão]]))</f>
        <v>97</v>
      </c>
      <c r="K2194" s="1"/>
    </row>
    <row r="2195" spans="2:11" x14ac:dyDescent="0.25">
      <c r="B2195" s="3">
        <v>2302</v>
      </c>
      <c r="C2195" s="3" t="s">
        <v>8</v>
      </c>
      <c r="D2195" s="3" t="s">
        <v>17</v>
      </c>
      <c r="E2195" s="4">
        <v>42497</v>
      </c>
      <c r="F2195" s="4"/>
      <c r="G2195" s="3" t="s">
        <v>29</v>
      </c>
      <c r="H2195" s="5">
        <v>59750</v>
      </c>
      <c r="I2195" s="3" t="str">
        <f>VLOOKUP(Tabela1[[#This Row],[Advogado]],Tabela2[],2,FALSE)</f>
        <v>Renê Amaranto</v>
      </c>
      <c r="J2195" s="17">
        <f>IF(Tabela1[[#This Row],[Data de conclusão]]="",NETWORKDAYS(Tabela1[[#This Row],[Data de entrada]],$J$2),NETWORKDAYS(Tabela1[[#This Row],[Data de entrada]],Tabela1[[#This Row],[Data de conclusão]]))</f>
        <v>527</v>
      </c>
      <c r="K2195" s="1"/>
    </row>
    <row r="2196" spans="2:11" x14ac:dyDescent="0.25">
      <c r="B2196" s="3">
        <v>2303</v>
      </c>
      <c r="C2196" s="3" t="s">
        <v>9</v>
      </c>
      <c r="D2196" s="3" t="s">
        <v>10</v>
      </c>
      <c r="E2196" s="4">
        <v>42777</v>
      </c>
      <c r="F2196" s="4"/>
      <c r="G2196" s="3" t="s">
        <v>29</v>
      </c>
      <c r="H2196" s="5">
        <v>51241</v>
      </c>
      <c r="I2196" s="3" t="str">
        <f>VLOOKUP(Tabela1[[#This Row],[Advogado]],Tabela2[],2,FALSE)</f>
        <v>Caio Brito</v>
      </c>
      <c r="J2196" s="17">
        <f>IF(Tabela1[[#This Row],[Data de conclusão]]="",NETWORKDAYS(Tabela1[[#This Row],[Data de entrada]],$J$2),NETWORKDAYS(Tabela1[[#This Row],[Data de entrada]],Tabela1[[#This Row],[Data de conclusão]]))</f>
        <v>327</v>
      </c>
      <c r="K2196" s="1"/>
    </row>
    <row r="2197" spans="2:11" x14ac:dyDescent="0.25">
      <c r="B2197" s="3">
        <v>2304</v>
      </c>
      <c r="C2197" s="3" t="s">
        <v>7</v>
      </c>
      <c r="D2197" s="3" t="s">
        <v>11</v>
      </c>
      <c r="E2197" s="4">
        <v>42856</v>
      </c>
      <c r="F2197" s="4"/>
      <c r="G2197" s="3" t="s">
        <v>29</v>
      </c>
      <c r="H2197" s="5">
        <v>29705</v>
      </c>
      <c r="I2197" s="3" t="str">
        <f>VLOOKUP(Tabela1[[#This Row],[Advogado]],Tabela2[],2,FALSE)</f>
        <v>Caio Brito</v>
      </c>
      <c r="J2197" s="17">
        <f>IF(Tabela1[[#This Row],[Data de conclusão]]="",NETWORKDAYS(Tabela1[[#This Row],[Data de entrada]],$J$2),NETWORKDAYS(Tabela1[[#This Row],[Data de entrada]],Tabela1[[#This Row],[Data de conclusão]]))</f>
        <v>272</v>
      </c>
      <c r="K2197" s="1"/>
    </row>
    <row r="2198" spans="2:11" x14ac:dyDescent="0.25">
      <c r="B2198" s="3">
        <v>2305</v>
      </c>
      <c r="C2198" s="3" t="s">
        <v>8</v>
      </c>
      <c r="D2198" s="3" t="s">
        <v>12</v>
      </c>
      <c r="E2198" s="4">
        <v>42658</v>
      </c>
      <c r="F2198" s="4"/>
      <c r="G2198" s="3" t="s">
        <v>29</v>
      </c>
      <c r="H2198" s="5">
        <v>6567</v>
      </c>
      <c r="I2198" s="3" t="str">
        <f>VLOOKUP(Tabela1[[#This Row],[Advogado]],Tabela2[],2,FALSE)</f>
        <v>Caio Brito</v>
      </c>
      <c r="J2198" s="17">
        <f>IF(Tabela1[[#This Row],[Data de conclusão]]="",NETWORKDAYS(Tabela1[[#This Row],[Data de entrada]],$J$2),NETWORKDAYS(Tabela1[[#This Row],[Data de entrada]],Tabela1[[#This Row],[Data de conclusão]]))</f>
        <v>412</v>
      </c>
      <c r="K2198" s="1"/>
    </row>
    <row r="2199" spans="2:11" x14ac:dyDescent="0.25">
      <c r="B2199" s="3">
        <v>2306</v>
      </c>
      <c r="C2199" s="3" t="s">
        <v>9</v>
      </c>
      <c r="D2199" s="3" t="s">
        <v>13</v>
      </c>
      <c r="E2199" s="4">
        <v>42448</v>
      </c>
      <c r="F2199" s="4">
        <v>42562</v>
      </c>
      <c r="G2199" s="3" t="s">
        <v>28</v>
      </c>
      <c r="H2199" s="5">
        <v>23330</v>
      </c>
      <c r="I2199" s="3" t="str">
        <f>VLOOKUP(Tabela1[[#This Row],[Advogado]],Tabela2[],2,FALSE)</f>
        <v>Caio Brito</v>
      </c>
      <c r="J2199" s="17">
        <f>IF(Tabela1[[#This Row],[Data de conclusão]]="",NETWORKDAYS(Tabela1[[#This Row],[Data de entrada]],$J$2),NETWORKDAYS(Tabela1[[#This Row],[Data de entrada]],Tabela1[[#This Row],[Data de conclusão]]))</f>
        <v>81</v>
      </c>
      <c r="K2199" s="1"/>
    </row>
    <row r="2200" spans="2:11" x14ac:dyDescent="0.25">
      <c r="B2200" s="3">
        <v>2307</v>
      </c>
      <c r="C2200" s="3" t="s">
        <v>7</v>
      </c>
      <c r="D2200" s="3" t="s">
        <v>14</v>
      </c>
      <c r="E2200" s="4">
        <v>42901</v>
      </c>
      <c r="F2200" s="4"/>
      <c r="G2200" s="3" t="s">
        <v>27</v>
      </c>
      <c r="H2200" s="5">
        <v>54106</v>
      </c>
      <c r="I2200" s="3" t="str">
        <f>VLOOKUP(Tabela1[[#This Row],[Advogado]],Tabela2[],2,FALSE)</f>
        <v>Renê Amaranto</v>
      </c>
      <c r="J2200" s="17">
        <f>IF(Tabela1[[#This Row],[Data de conclusão]]="",NETWORKDAYS(Tabela1[[#This Row],[Data de entrada]],$J$2),NETWORKDAYS(Tabela1[[#This Row],[Data de entrada]],Tabela1[[#This Row],[Data de conclusão]]))</f>
        <v>239</v>
      </c>
      <c r="K2200" s="1"/>
    </row>
    <row r="2201" spans="2:11" x14ac:dyDescent="0.25">
      <c r="B2201" s="3">
        <v>2308</v>
      </c>
      <c r="C2201" s="3" t="s">
        <v>8</v>
      </c>
      <c r="D2201" s="3" t="s">
        <v>15</v>
      </c>
      <c r="E2201" s="4">
        <v>42458</v>
      </c>
      <c r="F2201" s="4"/>
      <c r="G2201" s="3" t="s">
        <v>29</v>
      </c>
      <c r="H2201" s="5">
        <v>14960</v>
      </c>
      <c r="I2201" s="3" t="str">
        <f>VLOOKUP(Tabela1[[#This Row],[Advogado]],Tabela2[],2,FALSE)</f>
        <v>Renê Amaranto</v>
      </c>
      <c r="J2201" s="17">
        <f>IF(Tabela1[[#This Row],[Data de conclusão]]="",NETWORKDAYS(Tabela1[[#This Row],[Data de entrada]],$J$2),NETWORKDAYS(Tabela1[[#This Row],[Data de entrada]],Tabela1[[#This Row],[Data de conclusão]]))</f>
        <v>556</v>
      </c>
      <c r="K2201" s="1"/>
    </row>
    <row r="2202" spans="2:11" x14ac:dyDescent="0.25">
      <c r="B2202" s="3">
        <v>2309</v>
      </c>
      <c r="C2202" s="3" t="s">
        <v>9</v>
      </c>
      <c r="D2202" s="3" t="s">
        <v>16</v>
      </c>
      <c r="E2202" s="4">
        <v>42584</v>
      </c>
      <c r="F2202" s="4"/>
      <c r="G2202" s="3" t="s">
        <v>29</v>
      </c>
      <c r="H2202" s="5">
        <v>20846</v>
      </c>
      <c r="I2202" s="3" t="str">
        <f>VLOOKUP(Tabela1[[#This Row],[Advogado]],Tabela2[],2,FALSE)</f>
        <v>Renê Amaranto</v>
      </c>
      <c r="J2202" s="17">
        <f>IF(Tabela1[[#This Row],[Data de conclusão]]="",NETWORKDAYS(Tabela1[[#This Row],[Data de entrada]],$J$2),NETWORKDAYS(Tabela1[[#This Row],[Data de entrada]],Tabela1[[#This Row],[Data de conclusão]]))</f>
        <v>466</v>
      </c>
      <c r="K2202" s="1"/>
    </row>
    <row r="2203" spans="2:11" x14ac:dyDescent="0.25">
      <c r="B2203" s="3">
        <v>2310</v>
      </c>
      <c r="C2203" s="3" t="s">
        <v>7</v>
      </c>
      <c r="D2203" s="3" t="s">
        <v>17</v>
      </c>
      <c r="E2203" s="4">
        <v>42493</v>
      </c>
      <c r="F2203" s="4"/>
      <c r="G2203" s="3" t="s">
        <v>29</v>
      </c>
      <c r="H2203" s="5">
        <v>52551</v>
      </c>
      <c r="I2203" s="3" t="str">
        <f>VLOOKUP(Tabela1[[#This Row],[Advogado]],Tabela2[],2,FALSE)</f>
        <v>Renê Amaranto</v>
      </c>
      <c r="J2203" s="17">
        <f>IF(Tabela1[[#This Row],[Data de conclusão]]="",NETWORKDAYS(Tabela1[[#This Row],[Data de entrada]],$J$2),NETWORKDAYS(Tabela1[[#This Row],[Data de entrada]],Tabela1[[#This Row],[Data de conclusão]]))</f>
        <v>531</v>
      </c>
      <c r="K2203" s="1"/>
    </row>
    <row r="2204" spans="2:11" x14ac:dyDescent="0.25">
      <c r="B2204" s="3">
        <v>2311</v>
      </c>
      <c r="C2204" s="3" t="s">
        <v>8</v>
      </c>
      <c r="D2204" s="3" t="s">
        <v>10</v>
      </c>
      <c r="E2204" s="4">
        <v>42757</v>
      </c>
      <c r="F2204" s="4"/>
      <c r="G2204" s="3" t="s">
        <v>29</v>
      </c>
      <c r="H2204" s="5">
        <v>25592</v>
      </c>
      <c r="I2204" s="3" t="str">
        <f>VLOOKUP(Tabela1[[#This Row],[Advogado]],Tabela2[],2,FALSE)</f>
        <v>Caio Brito</v>
      </c>
      <c r="J2204" s="17">
        <f>IF(Tabela1[[#This Row],[Data de conclusão]]="",NETWORKDAYS(Tabela1[[#This Row],[Data de entrada]],$J$2),NETWORKDAYS(Tabela1[[#This Row],[Data de entrada]],Tabela1[[#This Row],[Data de conclusão]]))</f>
        <v>342</v>
      </c>
      <c r="K2204" s="1"/>
    </row>
    <row r="2205" spans="2:11" x14ac:dyDescent="0.25">
      <c r="B2205" s="3">
        <v>2312</v>
      </c>
      <c r="C2205" s="3" t="s">
        <v>9</v>
      </c>
      <c r="D2205" s="3" t="s">
        <v>11</v>
      </c>
      <c r="E2205" s="4">
        <v>42899</v>
      </c>
      <c r="F2205" s="4"/>
      <c r="G2205" s="3" t="s">
        <v>29</v>
      </c>
      <c r="H2205" s="5">
        <v>43897</v>
      </c>
      <c r="I2205" s="3" t="str">
        <f>VLOOKUP(Tabela1[[#This Row],[Advogado]],Tabela2[],2,FALSE)</f>
        <v>Caio Brito</v>
      </c>
      <c r="J2205" s="17">
        <f>IF(Tabela1[[#This Row],[Data de conclusão]]="",NETWORKDAYS(Tabela1[[#This Row],[Data de entrada]],$J$2),NETWORKDAYS(Tabela1[[#This Row],[Data de entrada]],Tabela1[[#This Row],[Data de conclusão]]))</f>
        <v>241</v>
      </c>
      <c r="K2205" s="1"/>
    </row>
    <row r="2206" spans="2:11" x14ac:dyDescent="0.25">
      <c r="B2206" s="3">
        <v>2313</v>
      </c>
      <c r="C2206" s="3" t="s">
        <v>7</v>
      </c>
      <c r="D2206" s="3" t="s">
        <v>12</v>
      </c>
      <c r="E2206" s="4">
        <v>43051</v>
      </c>
      <c r="F2206" s="4"/>
      <c r="G2206" s="3" t="s">
        <v>29</v>
      </c>
      <c r="H2206" s="5">
        <v>25243</v>
      </c>
      <c r="I2206" s="3" t="str">
        <f>VLOOKUP(Tabela1[[#This Row],[Advogado]],Tabela2[],2,FALSE)</f>
        <v>Caio Brito</v>
      </c>
      <c r="J2206" s="17">
        <f>IF(Tabela1[[#This Row],[Data de conclusão]]="",NETWORKDAYS(Tabela1[[#This Row],[Data de entrada]],$J$2),NETWORKDAYS(Tabela1[[#This Row],[Data de entrada]],Tabela1[[#This Row],[Data de conclusão]]))</f>
        <v>132</v>
      </c>
      <c r="K2206" s="1"/>
    </row>
    <row r="2207" spans="2:11" x14ac:dyDescent="0.25">
      <c r="B2207" s="3">
        <v>2314</v>
      </c>
      <c r="C2207" s="3" t="s">
        <v>8</v>
      </c>
      <c r="D2207" s="3" t="s">
        <v>13</v>
      </c>
      <c r="E2207" s="4">
        <v>42664</v>
      </c>
      <c r="F2207" s="4"/>
      <c r="G2207" s="3" t="s">
        <v>29</v>
      </c>
      <c r="H2207" s="5">
        <v>23966</v>
      </c>
      <c r="I2207" s="3" t="str">
        <f>VLOOKUP(Tabela1[[#This Row],[Advogado]],Tabela2[],2,FALSE)</f>
        <v>Caio Brito</v>
      </c>
      <c r="J2207" s="17">
        <f>IF(Tabela1[[#This Row],[Data de conclusão]]="",NETWORKDAYS(Tabela1[[#This Row],[Data de entrada]],$J$2),NETWORKDAYS(Tabela1[[#This Row],[Data de entrada]],Tabela1[[#This Row],[Data de conclusão]]))</f>
        <v>408</v>
      </c>
      <c r="K2207" s="1"/>
    </row>
    <row r="2208" spans="2:11" x14ac:dyDescent="0.25">
      <c r="B2208" s="3">
        <v>2315</v>
      </c>
      <c r="C2208" s="3" t="s">
        <v>9</v>
      </c>
      <c r="D2208" s="3" t="s">
        <v>14</v>
      </c>
      <c r="E2208" s="4">
        <v>42646</v>
      </c>
      <c r="F2208" s="4"/>
      <c r="G2208" s="3" t="s">
        <v>29</v>
      </c>
      <c r="H2208" s="5">
        <v>41075</v>
      </c>
      <c r="I2208" s="3" t="str">
        <f>VLOOKUP(Tabela1[[#This Row],[Advogado]],Tabela2[],2,FALSE)</f>
        <v>Renê Amaranto</v>
      </c>
      <c r="J2208" s="17">
        <f>IF(Tabela1[[#This Row],[Data de conclusão]]="",NETWORKDAYS(Tabela1[[#This Row],[Data de entrada]],$J$2),NETWORKDAYS(Tabela1[[#This Row],[Data de entrada]],Tabela1[[#This Row],[Data de conclusão]]))</f>
        <v>422</v>
      </c>
      <c r="K2208" s="1"/>
    </row>
    <row r="2209" spans="2:11" x14ac:dyDescent="0.25">
      <c r="B2209" s="3">
        <v>2316</v>
      </c>
      <c r="C2209" s="3" t="s">
        <v>7</v>
      </c>
      <c r="D2209" s="3" t="s">
        <v>15</v>
      </c>
      <c r="E2209" s="4">
        <v>42764</v>
      </c>
      <c r="F2209" s="4"/>
      <c r="G2209" s="3" t="s">
        <v>29</v>
      </c>
      <c r="H2209" s="5">
        <v>34418</v>
      </c>
      <c r="I2209" s="3" t="str">
        <f>VLOOKUP(Tabela1[[#This Row],[Advogado]],Tabela2[],2,FALSE)</f>
        <v>Renê Amaranto</v>
      </c>
      <c r="J2209" s="17">
        <f>IF(Tabela1[[#This Row],[Data de conclusão]]="",NETWORKDAYS(Tabela1[[#This Row],[Data de entrada]],$J$2),NETWORKDAYS(Tabela1[[#This Row],[Data de entrada]],Tabela1[[#This Row],[Data de conclusão]]))</f>
        <v>337</v>
      </c>
      <c r="K2209" s="1"/>
    </row>
    <row r="2210" spans="2:11" x14ac:dyDescent="0.25">
      <c r="B2210" s="3">
        <v>2317</v>
      </c>
      <c r="C2210" s="3" t="s">
        <v>8</v>
      </c>
      <c r="D2210" s="3" t="s">
        <v>16</v>
      </c>
      <c r="E2210" s="4">
        <v>42370</v>
      </c>
      <c r="F2210" s="4"/>
      <c r="G2210" s="3" t="s">
        <v>29</v>
      </c>
      <c r="H2210" s="5">
        <v>17913</v>
      </c>
      <c r="I2210" s="3" t="str">
        <f>VLOOKUP(Tabela1[[#This Row],[Advogado]],Tabela2[],2,FALSE)</f>
        <v>Renê Amaranto</v>
      </c>
      <c r="J2210" s="17">
        <f>IF(Tabela1[[#This Row],[Data de conclusão]]="",NETWORKDAYS(Tabela1[[#This Row],[Data de entrada]],$J$2),NETWORKDAYS(Tabela1[[#This Row],[Data de entrada]],Tabela1[[#This Row],[Data de conclusão]]))</f>
        <v>618</v>
      </c>
      <c r="K2210" s="1"/>
    </row>
    <row r="2211" spans="2:11" x14ac:dyDescent="0.25">
      <c r="B2211" s="3">
        <v>2318</v>
      </c>
      <c r="C2211" s="3" t="s">
        <v>9</v>
      </c>
      <c r="D2211" s="3" t="s">
        <v>17</v>
      </c>
      <c r="E2211" s="4">
        <v>42375</v>
      </c>
      <c r="F2211" s="4"/>
      <c r="G2211" s="3" t="s">
        <v>29</v>
      </c>
      <c r="H2211" s="5">
        <v>56084</v>
      </c>
      <c r="I2211" s="3" t="str">
        <f>VLOOKUP(Tabela1[[#This Row],[Advogado]],Tabela2[],2,FALSE)</f>
        <v>Renê Amaranto</v>
      </c>
      <c r="J2211" s="17">
        <f>IF(Tabela1[[#This Row],[Data de conclusão]]="",NETWORKDAYS(Tabela1[[#This Row],[Data de entrada]],$J$2),NETWORKDAYS(Tabela1[[#This Row],[Data de entrada]],Tabela1[[#This Row],[Data de conclusão]]))</f>
        <v>615</v>
      </c>
      <c r="K2211" s="1"/>
    </row>
    <row r="2212" spans="2:11" x14ac:dyDescent="0.25">
      <c r="B2212" s="3">
        <v>2319</v>
      </c>
      <c r="C2212" s="3" t="s">
        <v>7</v>
      </c>
      <c r="D2212" s="3" t="s">
        <v>10</v>
      </c>
      <c r="E2212" s="4">
        <v>42870</v>
      </c>
      <c r="F2212" s="4">
        <v>42946</v>
      </c>
      <c r="G2212" s="3" t="s">
        <v>28</v>
      </c>
      <c r="H2212" s="5">
        <v>26451</v>
      </c>
      <c r="I2212" s="3" t="str">
        <f>VLOOKUP(Tabela1[[#This Row],[Advogado]],Tabela2[],2,FALSE)</f>
        <v>Caio Brito</v>
      </c>
      <c r="J2212" s="17">
        <f>IF(Tabela1[[#This Row],[Data de conclusão]]="",NETWORKDAYS(Tabela1[[#This Row],[Data de entrada]],$J$2),NETWORKDAYS(Tabela1[[#This Row],[Data de entrada]],Tabela1[[#This Row],[Data de conclusão]]))</f>
        <v>55</v>
      </c>
      <c r="K2212" s="1"/>
    </row>
    <row r="2213" spans="2:11" x14ac:dyDescent="0.25">
      <c r="B2213" s="3">
        <v>2320</v>
      </c>
      <c r="C2213" s="3" t="s">
        <v>8</v>
      </c>
      <c r="D2213" s="3" t="s">
        <v>11</v>
      </c>
      <c r="E2213" s="4">
        <v>42826</v>
      </c>
      <c r="F2213" s="4"/>
      <c r="G2213" s="3" t="s">
        <v>27</v>
      </c>
      <c r="H2213" s="5">
        <v>21149</v>
      </c>
      <c r="I2213" s="3" t="str">
        <f>VLOOKUP(Tabela1[[#This Row],[Advogado]],Tabela2[],2,FALSE)</f>
        <v>Caio Brito</v>
      </c>
      <c r="J2213" s="17">
        <f>IF(Tabela1[[#This Row],[Data de conclusão]]="",NETWORKDAYS(Tabela1[[#This Row],[Data de entrada]],$J$2),NETWORKDAYS(Tabela1[[#This Row],[Data de entrada]],Tabela1[[#This Row],[Data de conclusão]]))</f>
        <v>292</v>
      </c>
      <c r="K2213" s="1"/>
    </row>
    <row r="2214" spans="2:11" x14ac:dyDescent="0.25">
      <c r="B2214" s="3">
        <v>2321</v>
      </c>
      <c r="C2214" s="3" t="s">
        <v>9</v>
      </c>
      <c r="D2214" s="3" t="s">
        <v>12</v>
      </c>
      <c r="E2214" s="4">
        <v>42568</v>
      </c>
      <c r="F2214" s="4"/>
      <c r="G2214" s="3" t="s">
        <v>29</v>
      </c>
      <c r="H2214" s="5">
        <v>22648</v>
      </c>
      <c r="I2214" s="3" t="str">
        <f>VLOOKUP(Tabela1[[#This Row],[Advogado]],Tabela2[],2,FALSE)</f>
        <v>Caio Brito</v>
      </c>
      <c r="J2214" s="17">
        <f>IF(Tabela1[[#This Row],[Data de conclusão]]="",NETWORKDAYS(Tabela1[[#This Row],[Data de entrada]],$J$2),NETWORKDAYS(Tabela1[[#This Row],[Data de entrada]],Tabela1[[#This Row],[Data de conclusão]]))</f>
        <v>477</v>
      </c>
      <c r="K2214" s="1"/>
    </row>
    <row r="2215" spans="2:11" x14ac:dyDescent="0.25">
      <c r="B2215" s="3">
        <v>2322</v>
      </c>
      <c r="C2215" s="3" t="s">
        <v>7</v>
      </c>
      <c r="D2215" s="3" t="s">
        <v>13</v>
      </c>
      <c r="E2215" s="4">
        <v>42390</v>
      </c>
      <c r="F2215" s="4"/>
      <c r="G2215" s="3" t="s">
        <v>29</v>
      </c>
      <c r="H2215" s="5">
        <v>7216</v>
      </c>
      <c r="I2215" s="3" t="str">
        <f>VLOOKUP(Tabela1[[#This Row],[Advogado]],Tabela2[],2,FALSE)</f>
        <v>Caio Brito</v>
      </c>
      <c r="J2215" s="17">
        <f>IF(Tabela1[[#This Row],[Data de conclusão]]="",NETWORKDAYS(Tabela1[[#This Row],[Data de entrada]],$J$2),NETWORKDAYS(Tabela1[[#This Row],[Data de entrada]],Tabela1[[#This Row],[Data de conclusão]]))</f>
        <v>604</v>
      </c>
      <c r="K2215" s="1"/>
    </row>
    <row r="2216" spans="2:11" x14ac:dyDescent="0.25">
      <c r="B2216" s="3">
        <v>2323</v>
      </c>
      <c r="C2216" s="3" t="s">
        <v>8</v>
      </c>
      <c r="D2216" s="3" t="s">
        <v>14</v>
      </c>
      <c r="E2216" s="4">
        <v>42522</v>
      </c>
      <c r="F2216" s="4"/>
      <c r="G2216" s="3" t="s">
        <v>29</v>
      </c>
      <c r="H2216" s="5">
        <v>24844</v>
      </c>
      <c r="I2216" s="3" t="str">
        <f>VLOOKUP(Tabela1[[#This Row],[Advogado]],Tabela2[],2,FALSE)</f>
        <v>Renê Amaranto</v>
      </c>
      <c r="J2216" s="17">
        <f>IF(Tabela1[[#This Row],[Data de conclusão]]="",NETWORKDAYS(Tabela1[[#This Row],[Data de entrada]],$J$2),NETWORKDAYS(Tabela1[[#This Row],[Data de entrada]],Tabela1[[#This Row],[Data de conclusão]]))</f>
        <v>510</v>
      </c>
      <c r="K2216" s="1"/>
    </row>
    <row r="2217" spans="2:11" x14ac:dyDescent="0.25">
      <c r="B2217" s="3">
        <v>2324</v>
      </c>
      <c r="C2217" s="3" t="s">
        <v>9</v>
      </c>
      <c r="D2217" s="3" t="s">
        <v>15</v>
      </c>
      <c r="E2217" s="4">
        <v>42625</v>
      </c>
      <c r="F2217" s="4"/>
      <c r="G2217" s="3" t="s">
        <v>29</v>
      </c>
      <c r="H2217" s="5">
        <v>56471</v>
      </c>
      <c r="I2217" s="3" t="str">
        <f>VLOOKUP(Tabela1[[#This Row],[Advogado]],Tabela2[],2,FALSE)</f>
        <v>Renê Amaranto</v>
      </c>
      <c r="J2217" s="17">
        <f>IF(Tabela1[[#This Row],[Data de conclusão]]="",NETWORKDAYS(Tabela1[[#This Row],[Data de entrada]],$J$2),NETWORKDAYS(Tabela1[[#This Row],[Data de entrada]],Tabela1[[#This Row],[Data de conclusão]]))</f>
        <v>437</v>
      </c>
      <c r="K2217" s="1"/>
    </row>
    <row r="2218" spans="2:11" x14ac:dyDescent="0.25">
      <c r="B2218" s="3">
        <v>2325</v>
      </c>
      <c r="C2218" s="3" t="s">
        <v>7</v>
      </c>
      <c r="D2218" s="3" t="s">
        <v>16</v>
      </c>
      <c r="E2218" s="4">
        <v>43100</v>
      </c>
      <c r="F2218" s="4"/>
      <c r="G2218" s="3" t="s">
        <v>29</v>
      </c>
      <c r="H2218" s="5">
        <v>46286</v>
      </c>
      <c r="I2218" s="3" t="str">
        <f>VLOOKUP(Tabela1[[#This Row],[Advogado]],Tabela2[],2,FALSE)</f>
        <v>Renê Amaranto</v>
      </c>
      <c r="J2218" s="17">
        <f>IF(Tabela1[[#This Row],[Data de conclusão]]="",NETWORKDAYS(Tabela1[[#This Row],[Data de entrada]],$J$2),NETWORKDAYS(Tabela1[[#This Row],[Data de entrada]],Tabela1[[#This Row],[Data de conclusão]]))</f>
        <v>97</v>
      </c>
      <c r="K2218" s="1"/>
    </row>
    <row r="2219" spans="2:11" x14ac:dyDescent="0.25">
      <c r="B2219" s="3">
        <v>2326</v>
      </c>
      <c r="C2219" s="3" t="s">
        <v>8</v>
      </c>
      <c r="D2219" s="3" t="s">
        <v>17</v>
      </c>
      <c r="E2219" s="4">
        <v>42893</v>
      </c>
      <c r="F2219" s="4"/>
      <c r="G2219" s="3" t="s">
        <v>29</v>
      </c>
      <c r="H2219" s="5">
        <v>37928</v>
      </c>
      <c r="I2219" s="3" t="str">
        <f>VLOOKUP(Tabela1[[#This Row],[Advogado]],Tabela2[],2,FALSE)</f>
        <v>Renê Amaranto</v>
      </c>
      <c r="J2219" s="17">
        <f>IF(Tabela1[[#This Row],[Data de conclusão]]="",NETWORKDAYS(Tabela1[[#This Row],[Data de entrada]],$J$2),NETWORKDAYS(Tabela1[[#This Row],[Data de entrada]],Tabela1[[#This Row],[Data de conclusão]]))</f>
        <v>245</v>
      </c>
      <c r="K2219" s="1"/>
    </row>
    <row r="2220" spans="2:11" x14ac:dyDescent="0.25">
      <c r="B2220" s="3">
        <v>2327</v>
      </c>
      <c r="C2220" s="3" t="s">
        <v>9</v>
      </c>
      <c r="D2220" s="3" t="s">
        <v>10</v>
      </c>
      <c r="E2220" s="4">
        <v>42639</v>
      </c>
      <c r="F2220" s="4"/>
      <c r="G2220" s="3" t="s">
        <v>29</v>
      </c>
      <c r="H2220" s="5">
        <v>18727</v>
      </c>
      <c r="I2220" s="3" t="str">
        <f>VLOOKUP(Tabela1[[#This Row],[Advogado]],Tabela2[],2,FALSE)</f>
        <v>Caio Brito</v>
      </c>
      <c r="J2220" s="17">
        <f>IF(Tabela1[[#This Row],[Data de conclusão]]="",NETWORKDAYS(Tabela1[[#This Row],[Data de entrada]],$J$2),NETWORKDAYS(Tabela1[[#This Row],[Data de entrada]],Tabela1[[#This Row],[Data de conclusão]]))</f>
        <v>427</v>
      </c>
      <c r="K2220" s="1"/>
    </row>
    <row r="2221" spans="2:11" x14ac:dyDescent="0.25">
      <c r="B2221" s="3">
        <v>2328</v>
      </c>
      <c r="C2221" s="3" t="s">
        <v>7</v>
      </c>
      <c r="D2221" s="3" t="s">
        <v>11</v>
      </c>
      <c r="E2221" s="4">
        <v>42386</v>
      </c>
      <c r="F2221" s="4"/>
      <c r="G2221" s="3" t="s">
        <v>29</v>
      </c>
      <c r="H2221" s="5">
        <v>50200</v>
      </c>
      <c r="I2221" s="3" t="str">
        <f>VLOOKUP(Tabela1[[#This Row],[Advogado]],Tabela2[],2,FALSE)</f>
        <v>Caio Brito</v>
      </c>
      <c r="J2221" s="17">
        <f>IF(Tabela1[[#This Row],[Data de conclusão]]="",NETWORKDAYS(Tabela1[[#This Row],[Data de entrada]],$J$2),NETWORKDAYS(Tabela1[[#This Row],[Data de entrada]],Tabela1[[#This Row],[Data de conclusão]]))</f>
        <v>607</v>
      </c>
      <c r="K2221" s="1"/>
    </row>
    <row r="2222" spans="2:11" x14ac:dyDescent="0.25">
      <c r="B2222" s="3">
        <v>2329</v>
      </c>
      <c r="C2222" s="3" t="s">
        <v>8</v>
      </c>
      <c r="D2222" s="3" t="s">
        <v>12</v>
      </c>
      <c r="E2222" s="4">
        <v>42493</v>
      </c>
      <c r="F2222" s="4"/>
      <c r="G2222" s="3" t="s">
        <v>29</v>
      </c>
      <c r="H2222" s="5">
        <v>14662</v>
      </c>
      <c r="I2222" s="3" t="str">
        <f>VLOOKUP(Tabela1[[#This Row],[Advogado]],Tabela2[],2,FALSE)</f>
        <v>Caio Brito</v>
      </c>
      <c r="J2222" s="17">
        <f>IF(Tabela1[[#This Row],[Data de conclusão]]="",NETWORKDAYS(Tabela1[[#This Row],[Data de entrada]],$J$2),NETWORKDAYS(Tabela1[[#This Row],[Data de entrada]],Tabela1[[#This Row],[Data de conclusão]]))</f>
        <v>531</v>
      </c>
      <c r="K2222" s="1"/>
    </row>
    <row r="2223" spans="2:11" x14ac:dyDescent="0.25">
      <c r="B2223" s="3">
        <v>2330</v>
      </c>
      <c r="C2223" s="3" t="s">
        <v>9</v>
      </c>
      <c r="D2223" s="3" t="s">
        <v>13</v>
      </c>
      <c r="E2223" s="4">
        <v>42694</v>
      </c>
      <c r="F2223" s="4"/>
      <c r="G2223" s="3" t="s">
        <v>29</v>
      </c>
      <c r="H2223" s="5">
        <v>40365</v>
      </c>
      <c r="I2223" s="3" t="str">
        <f>VLOOKUP(Tabela1[[#This Row],[Advogado]],Tabela2[],2,FALSE)</f>
        <v>Caio Brito</v>
      </c>
      <c r="J2223" s="17">
        <f>IF(Tabela1[[#This Row],[Data de conclusão]]="",NETWORKDAYS(Tabela1[[#This Row],[Data de entrada]],$J$2),NETWORKDAYS(Tabela1[[#This Row],[Data de entrada]],Tabela1[[#This Row],[Data de conclusão]]))</f>
        <v>387</v>
      </c>
      <c r="K2223" s="1"/>
    </row>
    <row r="2224" spans="2:11" x14ac:dyDescent="0.25">
      <c r="B2224" s="3">
        <v>2331</v>
      </c>
      <c r="C2224" s="3" t="s">
        <v>7</v>
      </c>
      <c r="D2224" s="3" t="s">
        <v>14</v>
      </c>
      <c r="E2224" s="4">
        <v>42501</v>
      </c>
      <c r="F2224" s="4"/>
      <c r="G2224" s="3" t="s">
        <v>29</v>
      </c>
      <c r="H2224" s="5">
        <v>35936</v>
      </c>
      <c r="I2224" s="3" t="str">
        <f>VLOOKUP(Tabela1[[#This Row],[Advogado]],Tabela2[],2,FALSE)</f>
        <v>Renê Amaranto</v>
      </c>
      <c r="J2224" s="17">
        <f>IF(Tabela1[[#This Row],[Data de conclusão]]="",NETWORKDAYS(Tabela1[[#This Row],[Data de entrada]],$J$2),NETWORKDAYS(Tabela1[[#This Row],[Data de entrada]],Tabela1[[#This Row],[Data de conclusão]]))</f>
        <v>525</v>
      </c>
      <c r="K2224" s="1"/>
    </row>
    <row r="2225" spans="2:11" x14ac:dyDescent="0.25">
      <c r="B2225" s="3">
        <v>2332</v>
      </c>
      <c r="C2225" s="3" t="s">
        <v>8</v>
      </c>
      <c r="D2225" s="3" t="s">
        <v>15</v>
      </c>
      <c r="E2225" s="4">
        <v>42433</v>
      </c>
      <c r="F2225" s="4">
        <v>42494</v>
      </c>
      <c r="G2225" s="3" t="s">
        <v>28</v>
      </c>
      <c r="H2225" s="5">
        <v>47994</v>
      </c>
      <c r="I2225" s="3" t="str">
        <f>VLOOKUP(Tabela1[[#This Row],[Advogado]],Tabela2[],2,FALSE)</f>
        <v>Renê Amaranto</v>
      </c>
      <c r="J2225" s="17">
        <f>IF(Tabela1[[#This Row],[Data de conclusão]]="",NETWORKDAYS(Tabela1[[#This Row],[Data de entrada]],$J$2),NETWORKDAYS(Tabela1[[#This Row],[Data de entrada]],Tabela1[[#This Row],[Data de conclusão]]))</f>
        <v>44</v>
      </c>
      <c r="K2225" s="1"/>
    </row>
    <row r="2226" spans="2:11" x14ac:dyDescent="0.25">
      <c r="B2226" s="3">
        <v>2333</v>
      </c>
      <c r="C2226" s="3" t="s">
        <v>9</v>
      </c>
      <c r="D2226" s="3" t="s">
        <v>16</v>
      </c>
      <c r="E2226" s="4">
        <v>42888</v>
      </c>
      <c r="F2226" s="4"/>
      <c r="G2226" s="3" t="s">
        <v>27</v>
      </c>
      <c r="H2226" s="5">
        <v>16559</v>
      </c>
      <c r="I2226" s="3" t="str">
        <f>VLOOKUP(Tabela1[[#This Row],[Advogado]],Tabela2[],2,FALSE)</f>
        <v>Renê Amaranto</v>
      </c>
      <c r="J2226" s="17">
        <f>IF(Tabela1[[#This Row],[Data de conclusão]]="",NETWORKDAYS(Tabela1[[#This Row],[Data de entrada]],$J$2),NETWORKDAYS(Tabela1[[#This Row],[Data de entrada]],Tabela1[[#This Row],[Data de conclusão]]))</f>
        <v>248</v>
      </c>
      <c r="K2226" s="1"/>
    </row>
    <row r="2227" spans="2:11" x14ac:dyDescent="0.25">
      <c r="B2227" s="3">
        <v>2334</v>
      </c>
      <c r="C2227" s="3" t="s">
        <v>7</v>
      </c>
      <c r="D2227" s="3" t="s">
        <v>17</v>
      </c>
      <c r="E2227" s="4">
        <v>42476</v>
      </c>
      <c r="F2227" s="4"/>
      <c r="G2227" s="3" t="s">
        <v>29</v>
      </c>
      <c r="H2227" s="5">
        <v>52033</v>
      </c>
      <c r="I2227" s="3" t="str">
        <f>VLOOKUP(Tabela1[[#This Row],[Advogado]],Tabela2[],2,FALSE)</f>
        <v>Renê Amaranto</v>
      </c>
      <c r="J2227" s="17">
        <f>IF(Tabela1[[#This Row],[Data de conclusão]]="",NETWORKDAYS(Tabela1[[#This Row],[Data de entrada]],$J$2),NETWORKDAYS(Tabela1[[#This Row],[Data de entrada]],Tabela1[[#This Row],[Data de conclusão]]))</f>
        <v>542</v>
      </c>
      <c r="K2227" s="1"/>
    </row>
    <row r="2228" spans="2:11" x14ac:dyDescent="0.25">
      <c r="B2228" s="3">
        <v>2335</v>
      </c>
      <c r="C2228" s="3" t="s">
        <v>8</v>
      </c>
      <c r="D2228" s="3" t="s">
        <v>10</v>
      </c>
      <c r="E2228" s="4">
        <v>42622</v>
      </c>
      <c r="F2228" s="4"/>
      <c r="G2228" s="3" t="s">
        <v>29</v>
      </c>
      <c r="H2228" s="5">
        <v>51738</v>
      </c>
      <c r="I2228" s="3" t="str">
        <f>VLOOKUP(Tabela1[[#This Row],[Advogado]],Tabela2[],2,FALSE)</f>
        <v>Caio Brito</v>
      </c>
      <c r="J2228" s="17">
        <f>IF(Tabela1[[#This Row],[Data de conclusão]]="",NETWORKDAYS(Tabela1[[#This Row],[Data de entrada]],$J$2),NETWORKDAYS(Tabela1[[#This Row],[Data de entrada]],Tabela1[[#This Row],[Data de conclusão]]))</f>
        <v>438</v>
      </c>
      <c r="K2228" s="1"/>
    </row>
    <row r="2229" spans="2:11" x14ac:dyDescent="0.25">
      <c r="B2229" s="3">
        <v>2336</v>
      </c>
      <c r="C2229" s="3" t="s">
        <v>9</v>
      </c>
      <c r="D2229" s="3" t="s">
        <v>11</v>
      </c>
      <c r="E2229" s="4">
        <v>42383</v>
      </c>
      <c r="F2229" s="4"/>
      <c r="G2229" s="3" t="s">
        <v>29</v>
      </c>
      <c r="H2229" s="5">
        <v>54104</v>
      </c>
      <c r="I2229" s="3" t="str">
        <f>VLOOKUP(Tabela1[[#This Row],[Advogado]],Tabela2[],2,FALSE)</f>
        <v>Caio Brito</v>
      </c>
      <c r="J2229" s="17">
        <f>IF(Tabela1[[#This Row],[Data de conclusão]]="",NETWORKDAYS(Tabela1[[#This Row],[Data de entrada]],$J$2),NETWORKDAYS(Tabela1[[#This Row],[Data de entrada]],Tabela1[[#This Row],[Data de conclusão]]))</f>
        <v>609</v>
      </c>
      <c r="K2229" s="1"/>
    </row>
    <row r="2230" spans="2:11" x14ac:dyDescent="0.25">
      <c r="B2230" s="3">
        <v>2337</v>
      </c>
      <c r="C2230" s="3" t="s">
        <v>7</v>
      </c>
      <c r="D2230" s="3" t="s">
        <v>12</v>
      </c>
      <c r="E2230" s="4">
        <v>42416</v>
      </c>
      <c r="F2230" s="4"/>
      <c r="G2230" s="3" t="s">
        <v>29</v>
      </c>
      <c r="H2230" s="5">
        <v>49591</v>
      </c>
      <c r="I2230" s="3" t="str">
        <f>VLOOKUP(Tabela1[[#This Row],[Advogado]],Tabela2[],2,FALSE)</f>
        <v>Caio Brito</v>
      </c>
      <c r="J2230" s="17">
        <f>IF(Tabela1[[#This Row],[Data de conclusão]]="",NETWORKDAYS(Tabela1[[#This Row],[Data de entrada]],$J$2),NETWORKDAYS(Tabela1[[#This Row],[Data de entrada]],Tabela1[[#This Row],[Data de conclusão]]))</f>
        <v>586</v>
      </c>
      <c r="K2230" s="1"/>
    </row>
    <row r="2231" spans="2:11" x14ac:dyDescent="0.25">
      <c r="B2231" s="3">
        <v>2338</v>
      </c>
      <c r="C2231" s="3" t="s">
        <v>8</v>
      </c>
      <c r="D2231" s="3" t="s">
        <v>13</v>
      </c>
      <c r="E2231" s="4">
        <v>42758</v>
      </c>
      <c r="F2231" s="4"/>
      <c r="G2231" s="3" t="s">
        <v>29</v>
      </c>
      <c r="H2231" s="5">
        <v>57088</v>
      </c>
      <c r="I2231" s="3" t="str">
        <f>VLOOKUP(Tabela1[[#This Row],[Advogado]],Tabela2[],2,FALSE)</f>
        <v>Caio Brito</v>
      </c>
      <c r="J2231" s="17">
        <f>IF(Tabela1[[#This Row],[Data de conclusão]]="",NETWORKDAYS(Tabela1[[#This Row],[Data de entrada]],$J$2),NETWORKDAYS(Tabela1[[#This Row],[Data de entrada]],Tabela1[[#This Row],[Data de conclusão]]))</f>
        <v>342</v>
      </c>
      <c r="K2231" s="1"/>
    </row>
    <row r="2232" spans="2:11" x14ac:dyDescent="0.25">
      <c r="B2232" s="3">
        <v>2339</v>
      </c>
      <c r="C2232" s="3" t="s">
        <v>9</v>
      </c>
      <c r="D2232" s="3" t="s">
        <v>14</v>
      </c>
      <c r="E2232" s="4">
        <v>42611</v>
      </c>
      <c r="F2232" s="4"/>
      <c r="G2232" s="3" t="s">
        <v>29</v>
      </c>
      <c r="H2232" s="5">
        <v>45175</v>
      </c>
      <c r="I2232" s="3" t="str">
        <f>VLOOKUP(Tabela1[[#This Row],[Advogado]],Tabela2[],2,FALSE)</f>
        <v>Renê Amaranto</v>
      </c>
      <c r="J2232" s="17">
        <f>IF(Tabela1[[#This Row],[Data de conclusão]]="",NETWORKDAYS(Tabela1[[#This Row],[Data de entrada]],$J$2),NETWORKDAYS(Tabela1[[#This Row],[Data de entrada]],Tabela1[[#This Row],[Data de conclusão]]))</f>
        <v>447</v>
      </c>
      <c r="K2232" s="1"/>
    </row>
    <row r="2233" spans="2:11" x14ac:dyDescent="0.25">
      <c r="B2233" s="3">
        <v>2340</v>
      </c>
      <c r="C2233" s="3" t="s">
        <v>7</v>
      </c>
      <c r="D2233" s="3" t="s">
        <v>15</v>
      </c>
      <c r="E2233" s="4">
        <v>42992</v>
      </c>
      <c r="F2233" s="4"/>
      <c r="G2233" s="3" t="s">
        <v>29</v>
      </c>
      <c r="H2233" s="5">
        <v>39515</v>
      </c>
      <c r="I2233" s="3" t="str">
        <f>VLOOKUP(Tabela1[[#This Row],[Advogado]],Tabela2[],2,FALSE)</f>
        <v>Renê Amaranto</v>
      </c>
      <c r="J2233" s="17">
        <f>IF(Tabela1[[#This Row],[Data de conclusão]]="",NETWORKDAYS(Tabela1[[#This Row],[Data de entrada]],$J$2),NETWORKDAYS(Tabela1[[#This Row],[Data de entrada]],Tabela1[[#This Row],[Data de conclusão]]))</f>
        <v>174</v>
      </c>
      <c r="K2233" s="1"/>
    </row>
    <row r="2234" spans="2:11" x14ac:dyDescent="0.25">
      <c r="B2234" s="3">
        <v>2341</v>
      </c>
      <c r="C2234" s="3" t="s">
        <v>8</v>
      </c>
      <c r="D2234" s="3" t="s">
        <v>16</v>
      </c>
      <c r="E2234" s="4">
        <v>42527</v>
      </c>
      <c r="F2234" s="4"/>
      <c r="G2234" s="3" t="s">
        <v>29</v>
      </c>
      <c r="H2234" s="5">
        <v>44793</v>
      </c>
      <c r="I2234" s="3" t="str">
        <f>VLOOKUP(Tabela1[[#This Row],[Advogado]],Tabela2[],2,FALSE)</f>
        <v>Renê Amaranto</v>
      </c>
      <c r="J2234" s="17">
        <f>IF(Tabela1[[#This Row],[Data de conclusão]]="",NETWORKDAYS(Tabela1[[#This Row],[Data de entrada]],$J$2),NETWORKDAYS(Tabela1[[#This Row],[Data de entrada]],Tabela1[[#This Row],[Data de conclusão]]))</f>
        <v>507</v>
      </c>
      <c r="K2234" s="1"/>
    </row>
    <row r="2235" spans="2:11" x14ac:dyDescent="0.25">
      <c r="B2235" s="3">
        <v>2342</v>
      </c>
      <c r="C2235" s="3" t="s">
        <v>9</v>
      </c>
      <c r="D2235" s="3" t="s">
        <v>17</v>
      </c>
      <c r="E2235" s="4">
        <v>42848</v>
      </c>
      <c r="F2235" s="4"/>
      <c r="G2235" s="3" t="s">
        <v>29</v>
      </c>
      <c r="H2235" s="5">
        <v>55768</v>
      </c>
      <c r="I2235" s="3" t="str">
        <f>VLOOKUP(Tabela1[[#This Row],[Advogado]],Tabela2[],2,FALSE)</f>
        <v>Renê Amaranto</v>
      </c>
      <c r="J2235" s="17">
        <f>IF(Tabela1[[#This Row],[Data de conclusão]]="",NETWORKDAYS(Tabela1[[#This Row],[Data de entrada]],$J$2),NETWORKDAYS(Tabela1[[#This Row],[Data de entrada]],Tabela1[[#This Row],[Data de conclusão]]))</f>
        <v>277</v>
      </c>
      <c r="K2235" s="1"/>
    </row>
    <row r="2236" spans="2:11" x14ac:dyDescent="0.25">
      <c r="B2236" s="3">
        <v>2343</v>
      </c>
      <c r="C2236" s="3" t="s">
        <v>7</v>
      </c>
      <c r="D2236" s="3" t="s">
        <v>10</v>
      </c>
      <c r="E2236" s="4">
        <v>42911</v>
      </c>
      <c r="F2236" s="4"/>
      <c r="G2236" s="3" t="s">
        <v>29</v>
      </c>
      <c r="H2236" s="5">
        <v>21660</v>
      </c>
      <c r="I2236" s="3" t="str">
        <f>VLOOKUP(Tabela1[[#This Row],[Advogado]],Tabela2[],2,FALSE)</f>
        <v>Caio Brito</v>
      </c>
      <c r="J2236" s="17">
        <f>IF(Tabela1[[#This Row],[Data de conclusão]]="",NETWORKDAYS(Tabela1[[#This Row],[Data de entrada]],$J$2),NETWORKDAYS(Tabela1[[#This Row],[Data de entrada]],Tabela1[[#This Row],[Data de conclusão]]))</f>
        <v>232</v>
      </c>
      <c r="K2236" s="1"/>
    </row>
    <row r="2237" spans="2:11" x14ac:dyDescent="0.25">
      <c r="B2237" s="3">
        <v>2344</v>
      </c>
      <c r="C2237" s="3" t="s">
        <v>8</v>
      </c>
      <c r="D2237" s="3" t="s">
        <v>11</v>
      </c>
      <c r="E2237" s="4">
        <v>42689</v>
      </c>
      <c r="F2237" s="4"/>
      <c r="G2237" s="3" t="s">
        <v>29</v>
      </c>
      <c r="H2237" s="5">
        <v>29289</v>
      </c>
      <c r="I2237" s="3" t="str">
        <f>VLOOKUP(Tabela1[[#This Row],[Advogado]],Tabela2[],2,FALSE)</f>
        <v>Caio Brito</v>
      </c>
      <c r="J2237" s="17">
        <f>IF(Tabela1[[#This Row],[Data de conclusão]]="",NETWORKDAYS(Tabela1[[#This Row],[Data de entrada]],$J$2),NETWORKDAYS(Tabela1[[#This Row],[Data de entrada]],Tabela1[[#This Row],[Data de conclusão]]))</f>
        <v>391</v>
      </c>
      <c r="K2237" s="1"/>
    </row>
    <row r="2238" spans="2:11" x14ac:dyDescent="0.25">
      <c r="B2238" s="3">
        <v>2345</v>
      </c>
      <c r="C2238" s="3" t="s">
        <v>9</v>
      </c>
      <c r="D2238" s="3" t="s">
        <v>12</v>
      </c>
      <c r="E2238" s="4">
        <v>42776</v>
      </c>
      <c r="F2238" s="4">
        <v>42913</v>
      </c>
      <c r="G2238" s="3" t="s">
        <v>28</v>
      </c>
      <c r="H2238" s="5">
        <v>45820</v>
      </c>
      <c r="I2238" s="3" t="str">
        <f>VLOOKUP(Tabela1[[#This Row],[Advogado]],Tabela2[],2,FALSE)</f>
        <v>Caio Brito</v>
      </c>
      <c r="J2238" s="17">
        <f>IF(Tabela1[[#This Row],[Data de conclusão]]="",NETWORKDAYS(Tabela1[[#This Row],[Data de entrada]],$J$2),NETWORKDAYS(Tabela1[[#This Row],[Data de entrada]],Tabela1[[#This Row],[Data de conclusão]]))</f>
        <v>98</v>
      </c>
      <c r="K2238" s="1"/>
    </row>
    <row r="2239" spans="2:11" x14ac:dyDescent="0.25">
      <c r="B2239" s="3">
        <v>2346</v>
      </c>
      <c r="C2239" s="3" t="s">
        <v>7</v>
      </c>
      <c r="D2239" s="3" t="s">
        <v>13</v>
      </c>
      <c r="E2239" s="4">
        <v>42585</v>
      </c>
      <c r="F2239" s="4"/>
      <c r="G2239" s="3" t="s">
        <v>27</v>
      </c>
      <c r="H2239" s="5">
        <v>7627</v>
      </c>
      <c r="I2239" s="3" t="str">
        <f>VLOOKUP(Tabela1[[#This Row],[Advogado]],Tabela2[],2,FALSE)</f>
        <v>Caio Brito</v>
      </c>
      <c r="J2239" s="17">
        <f>IF(Tabela1[[#This Row],[Data de conclusão]]="",NETWORKDAYS(Tabela1[[#This Row],[Data de entrada]],$J$2),NETWORKDAYS(Tabela1[[#This Row],[Data de entrada]],Tabela1[[#This Row],[Data de conclusão]]))</f>
        <v>465</v>
      </c>
      <c r="K2239" s="1"/>
    </row>
    <row r="2240" spans="2:11" x14ac:dyDescent="0.25">
      <c r="B2240" s="3">
        <v>2347</v>
      </c>
      <c r="C2240" s="3" t="s">
        <v>8</v>
      </c>
      <c r="D2240" s="3" t="s">
        <v>14</v>
      </c>
      <c r="E2240" s="4">
        <v>42967</v>
      </c>
      <c r="F2240" s="4"/>
      <c r="G2240" s="3" t="s">
        <v>29</v>
      </c>
      <c r="H2240" s="5">
        <v>42346</v>
      </c>
      <c r="I2240" s="3" t="str">
        <f>VLOOKUP(Tabela1[[#This Row],[Advogado]],Tabela2[],2,FALSE)</f>
        <v>Renê Amaranto</v>
      </c>
      <c r="J2240" s="17">
        <f>IF(Tabela1[[#This Row],[Data de conclusão]]="",NETWORKDAYS(Tabela1[[#This Row],[Data de entrada]],$J$2),NETWORKDAYS(Tabela1[[#This Row],[Data de entrada]],Tabela1[[#This Row],[Data de conclusão]]))</f>
        <v>192</v>
      </c>
      <c r="K2240" s="1"/>
    </row>
    <row r="2241" spans="2:11" x14ac:dyDescent="0.25">
      <c r="B2241" s="3">
        <v>2348</v>
      </c>
      <c r="C2241" s="3" t="s">
        <v>9</v>
      </c>
      <c r="D2241" s="3" t="s">
        <v>15</v>
      </c>
      <c r="E2241" s="4">
        <v>42669</v>
      </c>
      <c r="F2241" s="4"/>
      <c r="G2241" s="3" t="s">
        <v>29</v>
      </c>
      <c r="H2241" s="5">
        <v>29953</v>
      </c>
      <c r="I2241" s="3" t="str">
        <f>VLOOKUP(Tabela1[[#This Row],[Advogado]],Tabela2[],2,FALSE)</f>
        <v>Renê Amaranto</v>
      </c>
      <c r="J2241" s="17">
        <f>IF(Tabela1[[#This Row],[Data de conclusão]]="",NETWORKDAYS(Tabela1[[#This Row],[Data de entrada]],$J$2),NETWORKDAYS(Tabela1[[#This Row],[Data de entrada]],Tabela1[[#This Row],[Data de conclusão]]))</f>
        <v>405</v>
      </c>
      <c r="K2241" s="1"/>
    </row>
    <row r="2242" spans="2:11" x14ac:dyDescent="0.25">
      <c r="B2242" s="3">
        <v>2349</v>
      </c>
      <c r="C2242" s="3" t="s">
        <v>7</v>
      </c>
      <c r="D2242" s="3" t="s">
        <v>16</v>
      </c>
      <c r="E2242" s="4">
        <v>42999</v>
      </c>
      <c r="F2242" s="4"/>
      <c r="G2242" s="3" t="s">
        <v>29</v>
      </c>
      <c r="H2242" s="5">
        <v>41315</v>
      </c>
      <c r="I2242" s="3" t="str">
        <f>VLOOKUP(Tabela1[[#This Row],[Advogado]],Tabela2[],2,FALSE)</f>
        <v>Renê Amaranto</v>
      </c>
      <c r="J2242" s="17">
        <f>IF(Tabela1[[#This Row],[Data de conclusão]]="",NETWORKDAYS(Tabela1[[#This Row],[Data de entrada]],$J$2),NETWORKDAYS(Tabela1[[#This Row],[Data de entrada]],Tabela1[[#This Row],[Data de conclusão]]))</f>
        <v>169</v>
      </c>
      <c r="K2242" s="1"/>
    </row>
    <row r="2243" spans="2:11" x14ac:dyDescent="0.25">
      <c r="B2243" s="3">
        <v>2350</v>
      </c>
      <c r="C2243" s="3" t="s">
        <v>8</v>
      </c>
      <c r="D2243" s="3" t="s">
        <v>17</v>
      </c>
      <c r="E2243" s="4">
        <v>42438</v>
      </c>
      <c r="F2243" s="4"/>
      <c r="G2243" s="3" t="s">
        <v>29</v>
      </c>
      <c r="H2243" s="5">
        <v>6848</v>
      </c>
      <c r="I2243" s="3" t="str">
        <f>VLOOKUP(Tabela1[[#This Row],[Advogado]],Tabela2[],2,FALSE)</f>
        <v>Renê Amaranto</v>
      </c>
      <c r="J2243" s="17">
        <f>IF(Tabela1[[#This Row],[Data de conclusão]]="",NETWORKDAYS(Tabela1[[#This Row],[Data de entrada]],$J$2),NETWORKDAYS(Tabela1[[#This Row],[Data de entrada]],Tabela1[[#This Row],[Data de conclusão]]))</f>
        <v>570</v>
      </c>
      <c r="K2243" s="1"/>
    </row>
    <row r="2244" spans="2:11" x14ac:dyDescent="0.25">
      <c r="B2244" s="3">
        <v>2351</v>
      </c>
      <c r="C2244" s="3" t="s">
        <v>9</v>
      </c>
      <c r="D2244" s="3" t="s">
        <v>10</v>
      </c>
      <c r="E2244" s="4">
        <v>42462</v>
      </c>
      <c r="F2244" s="4"/>
      <c r="G2244" s="3" t="s">
        <v>29</v>
      </c>
      <c r="H2244" s="5">
        <v>28544</v>
      </c>
      <c r="I2244" s="3" t="str">
        <f>VLOOKUP(Tabela1[[#This Row],[Advogado]],Tabela2[],2,FALSE)</f>
        <v>Caio Brito</v>
      </c>
      <c r="J2244" s="17">
        <f>IF(Tabela1[[#This Row],[Data de conclusão]]="",NETWORKDAYS(Tabela1[[#This Row],[Data de entrada]],$J$2),NETWORKDAYS(Tabela1[[#This Row],[Data de entrada]],Tabela1[[#This Row],[Data de conclusão]]))</f>
        <v>552</v>
      </c>
      <c r="K2244" s="1"/>
    </row>
    <row r="2245" spans="2:11" x14ac:dyDescent="0.25">
      <c r="B2245" s="3">
        <v>2352</v>
      </c>
      <c r="C2245" s="3" t="s">
        <v>7</v>
      </c>
      <c r="D2245" s="3" t="s">
        <v>11</v>
      </c>
      <c r="E2245" s="4">
        <v>42412</v>
      </c>
      <c r="F2245" s="4"/>
      <c r="G2245" s="3" t="s">
        <v>29</v>
      </c>
      <c r="H2245" s="5">
        <v>6179</v>
      </c>
      <c r="I2245" s="3" t="str">
        <f>VLOOKUP(Tabela1[[#This Row],[Advogado]],Tabela2[],2,FALSE)</f>
        <v>Caio Brito</v>
      </c>
      <c r="J2245" s="17">
        <f>IF(Tabela1[[#This Row],[Data de conclusão]]="",NETWORKDAYS(Tabela1[[#This Row],[Data de entrada]],$J$2),NETWORKDAYS(Tabela1[[#This Row],[Data de entrada]],Tabela1[[#This Row],[Data de conclusão]]))</f>
        <v>588</v>
      </c>
      <c r="K2245" s="1"/>
    </row>
    <row r="2246" spans="2:11" x14ac:dyDescent="0.25">
      <c r="B2246" s="3">
        <v>2353</v>
      </c>
      <c r="C2246" s="3" t="s">
        <v>8</v>
      </c>
      <c r="D2246" s="3" t="s">
        <v>12</v>
      </c>
      <c r="E2246" s="4">
        <v>42501</v>
      </c>
      <c r="F2246" s="4"/>
      <c r="G2246" s="3" t="s">
        <v>29</v>
      </c>
      <c r="H2246" s="5">
        <v>55477</v>
      </c>
      <c r="I2246" s="3" t="str">
        <f>VLOOKUP(Tabela1[[#This Row],[Advogado]],Tabela2[],2,FALSE)</f>
        <v>Caio Brito</v>
      </c>
      <c r="J2246" s="17">
        <f>IF(Tabela1[[#This Row],[Data de conclusão]]="",NETWORKDAYS(Tabela1[[#This Row],[Data de entrada]],$J$2),NETWORKDAYS(Tabela1[[#This Row],[Data de entrada]],Tabela1[[#This Row],[Data de conclusão]]))</f>
        <v>525</v>
      </c>
      <c r="K2246" s="1"/>
    </row>
    <row r="2247" spans="2:11" x14ac:dyDescent="0.25">
      <c r="B2247" s="3">
        <v>2354</v>
      </c>
      <c r="C2247" s="3" t="s">
        <v>9</v>
      </c>
      <c r="D2247" s="3" t="s">
        <v>13</v>
      </c>
      <c r="E2247" s="4">
        <v>42707</v>
      </c>
      <c r="F2247" s="4"/>
      <c r="G2247" s="3" t="s">
        <v>29</v>
      </c>
      <c r="H2247" s="5">
        <v>30978</v>
      </c>
      <c r="I2247" s="3" t="str">
        <f>VLOOKUP(Tabela1[[#This Row],[Advogado]],Tabela2[],2,FALSE)</f>
        <v>Caio Brito</v>
      </c>
      <c r="J2247" s="17">
        <f>IF(Tabela1[[#This Row],[Data de conclusão]]="",NETWORKDAYS(Tabela1[[#This Row],[Data de entrada]],$J$2),NETWORKDAYS(Tabela1[[#This Row],[Data de entrada]],Tabela1[[#This Row],[Data de conclusão]]))</f>
        <v>377</v>
      </c>
      <c r="K2247" s="1"/>
    </row>
    <row r="2248" spans="2:11" x14ac:dyDescent="0.25">
      <c r="B2248" s="3">
        <v>2355</v>
      </c>
      <c r="C2248" s="3" t="s">
        <v>7</v>
      </c>
      <c r="D2248" s="3" t="s">
        <v>14</v>
      </c>
      <c r="E2248" s="4">
        <v>42785</v>
      </c>
      <c r="F2248" s="4"/>
      <c r="G2248" s="3" t="s">
        <v>29</v>
      </c>
      <c r="H2248" s="5">
        <v>38410</v>
      </c>
      <c r="I2248" s="3" t="str">
        <f>VLOOKUP(Tabela1[[#This Row],[Advogado]],Tabela2[],2,FALSE)</f>
        <v>Renê Amaranto</v>
      </c>
      <c r="J2248" s="17">
        <f>IF(Tabela1[[#This Row],[Data de conclusão]]="",NETWORKDAYS(Tabela1[[#This Row],[Data de entrada]],$J$2),NETWORKDAYS(Tabela1[[#This Row],[Data de entrada]],Tabela1[[#This Row],[Data de conclusão]]))</f>
        <v>322</v>
      </c>
      <c r="K2248" s="1"/>
    </row>
    <row r="2249" spans="2:11" x14ac:dyDescent="0.25">
      <c r="B2249" s="3">
        <v>2356</v>
      </c>
      <c r="C2249" s="3" t="s">
        <v>8</v>
      </c>
      <c r="D2249" s="3" t="s">
        <v>15</v>
      </c>
      <c r="E2249" s="4">
        <v>42946</v>
      </c>
      <c r="F2249" s="4"/>
      <c r="G2249" s="3" t="s">
        <v>29</v>
      </c>
      <c r="H2249" s="5">
        <v>55635</v>
      </c>
      <c r="I2249" s="3" t="str">
        <f>VLOOKUP(Tabela1[[#This Row],[Advogado]],Tabela2[],2,FALSE)</f>
        <v>Renê Amaranto</v>
      </c>
      <c r="J2249" s="17">
        <f>IF(Tabela1[[#This Row],[Data de conclusão]]="",NETWORKDAYS(Tabela1[[#This Row],[Data de entrada]],$J$2),NETWORKDAYS(Tabela1[[#This Row],[Data de entrada]],Tabela1[[#This Row],[Data de conclusão]]))</f>
        <v>207</v>
      </c>
      <c r="K2249" s="1"/>
    </row>
    <row r="2250" spans="2:11" x14ac:dyDescent="0.25">
      <c r="B2250" s="3">
        <v>2357</v>
      </c>
      <c r="C2250" s="3" t="s">
        <v>9</v>
      </c>
      <c r="D2250" s="3" t="s">
        <v>16</v>
      </c>
      <c r="E2250" s="4">
        <v>42647</v>
      </c>
      <c r="F2250" s="4"/>
      <c r="G2250" s="3" t="s">
        <v>29</v>
      </c>
      <c r="H2250" s="5">
        <v>49739</v>
      </c>
      <c r="I2250" s="3" t="str">
        <f>VLOOKUP(Tabela1[[#This Row],[Advogado]],Tabela2[],2,FALSE)</f>
        <v>Renê Amaranto</v>
      </c>
      <c r="J2250" s="17">
        <f>IF(Tabela1[[#This Row],[Data de conclusão]]="",NETWORKDAYS(Tabela1[[#This Row],[Data de entrada]],$J$2),NETWORKDAYS(Tabela1[[#This Row],[Data de entrada]],Tabela1[[#This Row],[Data de conclusão]]))</f>
        <v>421</v>
      </c>
      <c r="K2250" s="1"/>
    </row>
    <row r="2251" spans="2:11" x14ac:dyDescent="0.25">
      <c r="B2251" s="3">
        <v>2358</v>
      </c>
      <c r="C2251" s="3" t="s">
        <v>7</v>
      </c>
      <c r="D2251" s="3" t="s">
        <v>17</v>
      </c>
      <c r="E2251" s="4">
        <v>42604</v>
      </c>
      <c r="F2251" s="4">
        <v>42669</v>
      </c>
      <c r="G2251" s="3" t="s">
        <v>28</v>
      </c>
      <c r="H2251" s="5">
        <v>10138</v>
      </c>
      <c r="I2251" s="3" t="str">
        <f>VLOOKUP(Tabela1[[#This Row],[Advogado]],Tabela2[],2,FALSE)</f>
        <v>Renê Amaranto</v>
      </c>
      <c r="J2251" s="17">
        <f>IF(Tabela1[[#This Row],[Data de conclusão]]="",NETWORKDAYS(Tabela1[[#This Row],[Data de entrada]],$J$2),NETWORKDAYS(Tabela1[[#This Row],[Data de entrada]],Tabela1[[#This Row],[Data de conclusão]]))</f>
        <v>48</v>
      </c>
      <c r="K2251" s="1"/>
    </row>
    <row r="2252" spans="2:11" x14ac:dyDescent="0.25">
      <c r="B2252" s="3">
        <v>2359</v>
      </c>
      <c r="C2252" s="3" t="s">
        <v>8</v>
      </c>
      <c r="D2252" s="3" t="s">
        <v>10</v>
      </c>
      <c r="E2252" s="4">
        <v>42600</v>
      </c>
      <c r="F2252" s="4"/>
      <c r="G2252" s="3" t="s">
        <v>27</v>
      </c>
      <c r="H2252" s="5">
        <v>45714</v>
      </c>
      <c r="I2252" s="3" t="str">
        <f>VLOOKUP(Tabela1[[#This Row],[Advogado]],Tabela2[],2,FALSE)</f>
        <v>Caio Brito</v>
      </c>
      <c r="J2252" s="17">
        <f>IF(Tabela1[[#This Row],[Data de conclusão]]="",NETWORKDAYS(Tabela1[[#This Row],[Data de entrada]],$J$2),NETWORKDAYS(Tabela1[[#This Row],[Data de entrada]],Tabela1[[#This Row],[Data de conclusão]]))</f>
        <v>454</v>
      </c>
      <c r="K2252" s="1"/>
    </row>
    <row r="2253" spans="2:11" x14ac:dyDescent="0.25">
      <c r="B2253" s="3">
        <v>2360</v>
      </c>
      <c r="C2253" s="3" t="s">
        <v>9</v>
      </c>
      <c r="D2253" s="3" t="s">
        <v>11</v>
      </c>
      <c r="E2253" s="4">
        <v>42427</v>
      </c>
      <c r="F2253" s="4"/>
      <c r="G2253" s="3" t="s">
        <v>29</v>
      </c>
      <c r="H2253" s="5">
        <v>41908</v>
      </c>
      <c r="I2253" s="3" t="str">
        <f>VLOOKUP(Tabela1[[#This Row],[Advogado]],Tabela2[],2,FALSE)</f>
        <v>Caio Brito</v>
      </c>
      <c r="J2253" s="17">
        <f>IF(Tabela1[[#This Row],[Data de conclusão]]="",NETWORKDAYS(Tabela1[[#This Row],[Data de entrada]],$J$2),NETWORKDAYS(Tabela1[[#This Row],[Data de entrada]],Tabela1[[#This Row],[Data de conclusão]]))</f>
        <v>577</v>
      </c>
      <c r="K2253" s="1"/>
    </row>
    <row r="2254" spans="2:11" x14ac:dyDescent="0.25">
      <c r="B2254" s="3">
        <v>2361</v>
      </c>
      <c r="C2254" s="3" t="s">
        <v>7</v>
      </c>
      <c r="D2254" s="3" t="s">
        <v>12</v>
      </c>
      <c r="E2254" s="4">
        <v>43017</v>
      </c>
      <c r="F2254" s="4"/>
      <c r="G2254" s="3" t="s">
        <v>29</v>
      </c>
      <c r="H2254" s="5">
        <v>16242</v>
      </c>
      <c r="I2254" s="3" t="str">
        <f>VLOOKUP(Tabela1[[#This Row],[Advogado]],Tabela2[],2,FALSE)</f>
        <v>Caio Brito</v>
      </c>
      <c r="J2254" s="17">
        <f>IF(Tabela1[[#This Row],[Data de conclusão]]="",NETWORKDAYS(Tabela1[[#This Row],[Data de entrada]],$J$2),NETWORKDAYS(Tabela1[[#This Row],[Data de entrada]],Tabela1[[#This Row],[Data de conclusão]]))</f>
        <v>157</v>
      </c>
      <c r="K2254" s="1"/>
    </row>
    <row r="2255" spans="2:11" x14ac:dyDescent="0.25">
      <c r="B2255" s="3">
        <v>2362</v>
      </c>
      <c r="C2255" s="3" t="s">
        <v>8</v>
      </c>
      <c r="D2255" s="3" t="s">
        <v>13</v>
      </c>
      <c r="E2255" s="4">
        <v>42950</v>
      </c>
      <c r="F2255" s="4"/>
      <c r="G2255" s="3" t="s">
        <v>29</v>
      </c>
      <c r="H2255" s="5">
        <v>42548</v>
      </c>
      <c r="I2255" s="3" t="str">
        <f>VLOOKUP(Tabela1[[#This Row],[Advogado]],Tabela2[],2,FALSE)</f>
        <v>Caio Brito</v>
      </c>
      <c r="J2255" s="17">
        <f>IF(Tabela1[[#This Row],[Data de conclusão]]="",NETWORKDAYS(Tabela1[[#This Row],[Data de entrada]],$J$2),NETWORKDAYS(Tabela1[[#This Row],[Data de entrada]],Tabela1[[#This Row],[Data de conclusão]]))</f>
        <v>204</v>
      </c>
      <c r="K2255" s="1"/>
    </row>
    <row r="2256" spans="2:11" x14ac:dyDescent="0.25">
      <c r="B2256" s="3">
        <v>2363</v>
      </c>
      <c r="C2256" s="3" t="s">
        <v>9</v>
      </c>
      <c r="D2256" s="3" t="s">
        <v>14</v>
      </c>
      <c r="E2256" s="4">
        <v>42832</v>
      </c>
      <c r="F2256" s="4"/>
      <c r="G2256" s="3" t="s">
        <v>29</v>
      </c>
      <c r="H2256" s="5">
        <v>20530</v>
      </c>
      <c r="I2256" s="3" t="str">
        <f>VLOOKUP(Tabela1[[#This Row],[Advogado]],Tabela2[],2,FALSE)</f>
        <v>Renê Amaranto</v>
      </c>
      <c r="J2256" s="17">
        <f>IF(Tabela1[[#This Row],[Data de conclusão]]="",NETWORKDAYS(Tabela1[[#This Row],[Data de entrada]],$J$2),NETWORKDAYS(Tabela1[[#This Row],[Data de entrada]],Tabela1[[#This Row],[Data de conclusão]]))</f>
        <v>288</v>
      </c>
      <c r="K2256" s="1"/>
    </row>
    <row r="2257" spans="2:11" x14ac:dyDescent="0.25">
      <c r="B2257" s="3">
        <v>2364</v>
      </c>
      <c r="C2257" s="3" t="s">
        <v>7</v>
      </c>
      <c r="D2257" s="3" t="s">
        <v>15</v>
      </c>
      <c r="E2257" s="4">
        <v>42657</v>
      </c>
      <c r="F2257" s="4"/>
      <c r="G2257" s="3" t="s">
        <v>29</v>
      </c>
      <c r="H2257" s="5">
        <v>47507</v>
      </c>
      <c r="I2257" s="3" t="str">
        <f>VLOOKUP(Tabela1[[#This Row],[Advogado]],Tabela2[],2,FALSE)</f>
        <v>Renê Amaranto</v>
      </c>
      <c r="J2257" s="17">
        <f>IF(Tabela1[[#This Row],[Data de conclusão]]="",NETWORKDAYS(Tabela1[[#This Row],[Data de entrada]],$J$2),NETWORKDAYS(Tabela1[[#This Row],[Data de entrada]],Tabela1[[#This Row],[Data de conclusão]]))</f>
        <v>413</v>
      </c>
      <c r="K2257" s="1"/>
    </row>
    <row r="2258" spans="2:11" x14ac:dyDescent="0.25">
      <c r="B2258" s="3">
        <v>2365</v>
      </c>
      <c r="C2258" s="3" t="s">
        <v>8</v>
      </c>
      <c r="D2258" s="3" t="s">
        <v>16</v>
      </c>
      <c r="E2258" s="4">
        <v>42494</v>
      </c>
      <c r="F2258" s="4"/>
      <c r="G2258" s="3" t="s">
        <v>29</v>
      </c>
      <c r="H2258" s="5">
        <v>26535</v>
      </c>
      <c r="I2258" s="3" t="str">
        <f>VLOOKUP(Tabela1[[#This Row],[Advogado]],Tabela2[],2,FALSE)</f>
        <v>Renê Amaranto</v>
      </c>
      <c r="J2258" s="17">
        <f>IF(Tabela1[[#This Row],[Data de conclusão]]="",NETWORKDAYS(Tabela1[[#This Row],[Data de entrada]],$J$2),NETWORKDAYS(Tabela1[[#This Row],[Data de entrada]],Tabela1[[#This Row],[Data de conclusão]]))</f>
        <v>530</v>
      </c>
      <c r="K2258" s="1"/>
    </row>
    <row r="2259" spans="2:11" x14ac:dyDescent="0.25">
      <c r="B2259" s="3">
        <v>2366</v>
      </c>
      <c r="C2259" s="3" t="s">
        <v>9</v>
      </c>
      <c r="D2259" s="3" t="s">
        <v>17</v>
      </c>
      <c r="E2259" s="4">
        <v>43004</v>
      </c>
      <c r="F2259" s="4"/>
      <c r="G2259" s="3" t="s">
        <v>29</v>
      </c>
      <c r="H2259" s="5">
        <v>32731</v>
      </c>
      <c r="I2259" s="3" t="str">
        <f>VLOOKUP(Tabela1[[#This Row],[Advogado]],Tabela2[],2,FALSE)</f>
        <v>Renê Amaranto</v>
      </c>
      <c r="J2259" s="17">
        <f>IF(Tabela1[[#This Row],[Data de conclusão]]="",NETWORKDAYS(Tabela1[[#This Row],[Data de entrada]],$J$2),NETWORKDAYS(Tabela1[[#This Row],[Data de entrada]],Tabela1[[#This Row],[Data de conclusão]]))</f>
        <v>166</v>
      </c>
      <c r="K2259" s="1"/>
    </row>
    <row r="2260" spans="2:11" x14ac:dyDescent="0.25">
      <c r="B2260" s="3">
        <v>2367</v>
      </c>
      <c r="C2260" s="3" t="s">
        <v>7</v>
      </c>
      <c r="D2260" s="3" t="s">
        <v>10</v>
      </c>
      <c r="E2260" s="4">
        <v>42441</v>
      </c>
      <c r="F2260" s="4"/>
      <c r="G2260" s="3" t="s">
        <v>29</v>
      </c>
      <c r="H2260" s="5">
        <v>1073</v>
      </c>
      <c r="I2260" s="3" t="str">
        <f>VLOOKUP(Tabela1[[#This Row],[Advogado]],Tabela2[],2,FALSE)</f>
        <v>Caio Brito</v>
      </c>
      <c r="J2260" s="17">
        <f>IF(Tabela1[[#This Row],[Data de conclusão]]="",NETWORKDAYS(Tabela1[[#This Row],[Data de entrada]],$J$2),NETWORKDAYS(Tabela1[[#This Row],[Data de entrada]],Tabela1[[#This Row],[Data de conclusão]]))</f>
        <v>567</v>
      </c>
      <c r="K2260" s="1"/>
    </row>
    <row r="2261" spans="2:11" x14ac:dyDescent="0.25">
      <c r="B2261" s="3">
        <v>2368</v>
      </c>
      <c r="C2261" s="3" t="s">
        <v>8</v>
      </c>
      <c r="D2261" s="3" t="s">
        <v>11</v>
      </c>
      <c r="E2261" s="4">
        <v>42908</v>
      </c>
      <c r="F2261" s="4"/>
      <c r="G2261" s="3" t="s">
        <v>29</v>
      </c>
      <c r="H2261" s="5">
        <v>25418</v>
      </c>
      <c r="I2261" s="3" t="str">
        <f>VLOOKUP(Tabela1[[#This Row],[Advogado]],Tabela2[],2,FALSE)</f>
        <v>Caio Brito</v>
      </c>
      <c r="J2261" s="17">
        <f>IF(Tabela1[[#This Row],[Data de conclusão]]="",NETWORKDAYS(Tabela1[[#This Row],[Data de entrada]],$J$2),NETWORKDAYS(Tabela1[[#This Row],[Data de entrada]],Tabela1[[#This Row],[Data de conclusão]]))</f>
        <v>234</v>
      </c>
      <c r="K2261" s="1"/>
    </row>
    <row r="2262" spans="2:11" x14ac:dyDescent="0.25">
      <c r="B2262" s="3">
        <v>2369</v>
      </c>
      <c r="C2262" s="3" t="s">
        <v>9</v>
      </c>
      <c r="D2262" s="3" t="s">
        <v>12</v>
      </c>
      <c r="E2262" s="4">
        <v>42874</v>
      </c>
      <c r="F2262" s="4"/>
      <c r="G2262" s="3" t="s">
        <v>29</v>
      </c>
      <c r="H2262" s="5">
        <v>50519</v>
      </c>
      <c r="I2262" s="3" t="str">
        <f>VLOOKUP(Tabela1[[#This Row],[Advogado]],Tabela2[],2,FALSE)</f>
        <v>Caio Brito</v>
      </c>
      <c r="J2262" s="17">
        <f>IF(Tabela1[[#This Row],[Data de conclusão]]="",NETWORKDAYS(Tabela1[[#This Row],[Data de entrada]],$J$2),NETWORKDAYS(Tabela1[[#This Row],[Data de entrada]],Tabela1[[#This Row],[Data de conclusão]]))</f>
        <v>258</v>
      </c>
      <c r="K2262" s="1"/>
    </row>
    <row r="2263" spans="2:11" x14ac:dyDescent="0.25">
      <c r="B2263" s="3">
        <v>2370</v>
      </c>
      <c r="C2263" s="3" t="s">
        <v>7</v>
      </c>
      <c r="D2263" s="3" t="s">
        <v>13</v>
      </c>
      <c r="E2263" s="4">
        <v>42844</v>
      </c>
      <c r="F2263" s="4"/>
      <c r="G2263" s="3" t="s">
        <v>29</v>
      </c>
      <c r="H2263" s="5">
        <v>46393</v>
      </c>
      <c r="I2263" s="3" t="str">
        <f>VLOOKUP(Tabela1[[#This Row],[Advogado]],Tabela2[],2,FALSE)</f>
        <v>Caio Brito</v>
      </c>
      <c r="J2263" s="17">
        <f>IF(Tabela1[[#This Row],[Data de conclusão]]="",NETWORKDAYS(Tabela1[[#This Row],[Data de entrada]],$J$2),NETWORKDAYS(Tabela1[[#This Row],[Data de entrada]],Tabela1[[#This Row],[Data de conclusão]]))</f>
        <v>280</v>
      </c>
      <c r="K2263" s="1"/>
    </row>
    <row r="2264" spans="2:11" x14ac:dyDescent="0.25">
      <c r="B2264" s="3">
        <v>2371</v>
      </c>
      <c r="C2264" s="3" t="s">
        <v>8</v>
      </c>
      <c r="D2264" s="3" t="s">
        <v>14</v>
      </c>
      <c r="E2264" s="4">
        <v>42489</v>
      </c>
      <c r="F2264" s="4">
        <v>42564</v>
      </c>
      <c r="G2264" s="3" t="s">
        <v>28</v>
      </c>
      <c r="H2264" s="5">
        <v>26686</v>
      </c>
      <c r="I2264" s="3" t="str">
        <f>VLOOKUP(Tabela1[[#This Row],[Advogado]],Tabela2[],2,FALSE)</f>
        <v>Renê Amaranto</v>
      </c>
      <c r="J2264" s="17">
        <f>IF(Tabela1[[#This Row],[Data de conclusão]]="",NETWORKDAYS(Tabela1[[#This Row],[Data de entrada]],$J$2),NETWORKDAYS(Tabela1[[#This Row],[Data de entrada]],Tabela1[[#This Row],[Data de conclusão]]))</f>
        <v>54</v>
      </c>
      <c r="K2264" s="1"/>
    </row>
    <row r="2265" spans="2:11" x14ac:dyDescent="0.25">
      <c r="B2265" s="3">
        <v>2372</v>
      </c>
      <c r="C2265" s="3" t="s">
        <v>9</v>
      </c>
      <c r="D2265" s="3" t="s">
        <v>15</v>
      </c>
      <c r="E2265" s="4">
        <v>42930</v>
      </c>
      <c r="F2265" s="4"/>
      <c r="G2265" s="3" t="s">
        <v>27</v>
      </c>
      <c r="H2265" s="5">
        <v>18359</v>
      </c>
      <c r="I2265" s="3" t="str">
        <f>VLOOKUP(Tabela1[[#This Row],[Advogado]],Tabela2[],2,FALSE)</f>
        <v>Renê Amaranto</v>
      </c>
      <c r="J2265" s="17">
        <f>IF(Tabela1[[#This Row],[Data de conclusão]]="",NETWORKDAYS(Tabela1[[#This Row],[Data de entrada]],$J$2),NETWORKDAYS(Tabela1[[#This Row],[Data de entrada]],Tabela1[[#This Row],[Data de conclusão]]))</f>
        <v>218</v>
      </c>
      <c r="K2265" s="1"/>
    </row>
    <row r="2266" spans="2:11" x14ac:dyDescent="0.25">
      <c r="B2266" s="3">
        <v>2373</v>
      </c>
      <c r="C2266" s="3" t="s">
        <v>7</v>
      </c>
      <c r="D2266" s="3" t="s">
        <v>16</v>
      </c>
      <c r="E2266" s="4">
        <v>42573</v>
      </c>
      <c r="F2266" s="4"/>
      <c r="G2266" s="3" t="s">
        <v>29</v>
      </c>
      <c r="H2266" s="5">
        <v>7445</v>
      </c>
      <c r="I2266" s="3" t="str">
        <f>VLOOKUP(Tabela1[[#This Row],[Advogado]],Tabela2[],2,FALSE)</f>
        <v>Renê Amaranto</v>
      </c>
      <c r="J2266" s="17">
        <f>IF(Tabela1[[#This Row],[Data de conclusão]]="",NETWORKDAYS(Tabela1[[#This Row],[Data de entrada]],$J$2),NETWORKDAYS(Tabela1[[#This Row],[Data de entrada]],Tabela1[[#This Row],[Data de conclusão]]))</f>
        <v>473</v>
      </c>
      <c r="K2266" s="1"/>
    </row>
    <row r="2267" spans="2:11" x14ac:dyDescent="0.25">
      <c r="B2267" s="3">
        <v>2374</v>
      </c>
      <c r="C2267" s="3" t="s">
        <v>8</v>
      </c>
      <c r="D2267" s="3" t="s">
        <v>17</v>
      </c>
      <c r="E2267" s="4">
        <v>43013</v>
      </c>
      <c r="F2267" s="4"/>
      <c r="G2267" s="3" t="s">
        <v>29</v>
      </c>
      <c r="H2267" s="5">
        <v>55330</v>
      </c>
      <c r="I2267" s="3" t="str">
        <f>VLOOKUP(Tabela1[[#This Row],[Advogado]],Tabela2[],2,FALSE)</f>
        <v>Renê Amaranto</v>
      </c>
      <c r="J2267" s="17">
        <f>IF(Tabela1[[#This Row],[Data de conclusão]]="",NETWORKDAYS(Tabela1[[#This Row],[Data de entrada]],$J$2),NETWORKDAYS(Tabela1[[#This Row],[Data de entrada]],Tabela1[[#This Row],[Data de conclusão]]))</f>
        <v>159</v>
      </c>
      <c r="K2267" s="1"/>
    </row>
    <row r="2268" spans="2:11" x14ac:dyDescent="0.25">
      <c r="B2268" s="3">
        <v>2375</v>
      </c>
      <c r="C2268" s="3" t="s">
        <v>9</v>
      </c>
      <c r="D2268" s="3" t="s">
        <v>10</v>
      </c>
      <c r="E2268" s="4">
        <v>42471</v>
      </c>
      <c r="F2268" s="4"/>
      <c r="G2268" s="3" t="s">
        <v>29</v>
      </c>
      <c r="H2268" s="5">
        <v>35994</v>
      </c>
      <c r="I2268" s="3" t="str">
        <f>VLOOKUP(Tabela1[[#This Row],[Advogado]],Tabela2[],2,FALSE)</f>
        <v>Caio Brito</v>
      </c>
      <c r="J2268" s="17">
        <f>IF(Tabela1[[#This Row],[Data de conclusão]]="",NETWORKDAYS(Tabela1[[#This Row],[Data de entrada]],$J$2),NETWORKDAYS(Tabela1[[#This Row],[Data de entrada]],Tabela1[[#This Row],[Data de conclusão]]))</f>
        <v>547</v>
      </c>
      <c r="K2268" s="1"/>
    </row>
    <row r="2269" spans="2:11" x14ac:dyDescent="0.25">
      <c r="B2269" s="3">
        <v>2376</v>
      </c>
      <c r="C2269" s="3" t="s">
        <v>7</v>
      </c>
      <c r="D2269" s="3" t="s">
        <v>11</v>
      </c>
      <c r="E2269" s="4">
        <v>42555</v>
      </c>
      <c r="F2269" s="4"/>
      <c r="G2269" s="3" t="s">
        <v>29</v>
      </c>
      <c r="H2269" s="5">
        <v>17939</v>
      </c>
      <c r="I2269" s="3" t="str">
        <f>VLOOKUP(Tabela1[[#This Row],[Advogado]],Tabela2[],2,FALSE)</f>
        <v>Caio Brito</v>
      </c>
      <c r="J2269" s="17">
        <f>IF(Tabela1[[#This Row],[Data de conclusão]]="",NETWORKDAYS(Tabela1[[#This Row],[Data de entrada]],$J$2),NETWORKDAYS(Tabela1[[#This Row],[Data de entrada]],Tabela1[[#This Row],[Data de conclusão]]))</f>
        <v>487</v>
      </c>
      <c r="K2269" s="1"/>
    </row>
    <row r="2270" spans="2:11" x14ac:dyDescent="0.25">
      <c r="B2270" s="3">
        <v>2377</v>
      </c>
      <c r="C2270" s="3" t="s">
        <v>8</v>
      </c>
      <c r="D2270" s="3" t="s">
        <v>12</v>
      </c>
      <c r="E2270" s="4">
        <v>42481</v>
      </c>
      <c r="F2270" s="4"/>
      <c r="G2270" s="3" t="s">
        <v>29</v>
      </c>
      <c r="H2270" s="5">
        <v>59539</v>
      </c>
      <c r="I2270" s="3" t="str">
        <f>VLOOKUP(Tabela1[[#This Row],[Advogado]],Tabela2[],2,FALSE)</f>
        <v>Caio Brito</v>
      </c>
      <c r="J2270" s="17">
        <f>IF(Tabela1[[#This Row],[Data de conclusão]]="",NETWORKDAYS(Tabela1[[#This Row],[Data de entrada]],$J$2),NETWORKDAYS(Tabela1[[#This Row],[Data de entrada]],Tabela1[[#This Row],[Data de conclusão]]))</f>
        <v>539</v>
      </c>
      <c r="K2270" s="1"/>
    </row>
    <row r="2271" spans="2:11" x14ac:dyDescent="0.25">
      <c r="B2271" s="3">
        <v>2378</v>
      </c>
      <c r="C2271" s="3" t="s">
        <v>9</v>
      </c>
      <c r="D2271" s="3" t="s">
        <v>13</v>
      </c>
      <c r="E2271" s="4">
        <v>42450</v>
      </c>
      <c r="F2271" s="4"/>
      <c r="G2271" s="3" t="s">
        <v>29</v>
      </c>
      <c r="H2271" s="5">
        <v>58355</v>
      </c>
      <c r="I2271" s="3" t="str">
        <f>VLOOKUP(Tabela1[[#This Row],[Advogado]],Tabela2[],2,FALSE)</f>
        <v>Caio Brito</v>
      </c>
      <c r="J2271" s="17">
        <f>IF(Tabela1[[#This Row],[Data de conclusão]]="",NETWORKDAYS(Tabela1[[#This Row],[Data de entrada]],$J$2),NETWORKDAYS(Tabela1[[#This Row],[Data de entrada]],Tabela1[[#This Row],[Data de conclusão]]))</f>
        <v>562</v>
      </c>
      <c r="K2271" s="1"/>
    </row>
    <row r="2272" spans="2:11" x14ac:dyDescent="0.25">
      <c r="B2272" s="3">
        <v>2379</v>
      </c>
      <c r="C2272" s="3" t="s">
        <v>7</v>
      </c>
      <c r="D2272" s="3" t="s">
        <v>14</v>
      </c>
      <c r="E2272" s="4">
        <v>42738</v>
      </c>
      <c r="F2272" s="4"/>
      <c r="G2272" s="3" t="s">
        <v>29</v>
      </c>
      <c r="H2272" s="5">
        <v>33348</v>
      </c>
      <c r="I2272" s="3" t="str">
        <f>VLOOKUP(Tabela1[[#This Row],[Advogado]],Tabela2[],2,FALSE)</f>
        <v>Renê Amaranto</v>
      </c>
      <c r="J2272" s="17">
        <f>IF(Tabela1[[#This Row],[Data de conclusão]]="",NETWORKDAYS(Tabela1[[#This Row],[Data de entrada]],$J$2),NETWORKDAYS(Tabela1[[#This Row],[Data de entrada]],Tabela1[[#This Row],[Data de conclusão]]))</f>
        <v>356</v>
      </c>
      <c r="K2272" s="1"/>
    </row>
    <row r="2273" spans="2:11" x14ac:dyDescent="0.25">
      <c r="B2273" s="3">
        <v>2380</v>
      </c>
      <c r="C2273" s="3" t="s">
        <v>8</v>
      </c>
      <c r="D2273" s="3" t="s">
        <v>15</v>
      </c>
      <c r="E2273" s="4">
        <v>42721</v>
      </c>
      <c r="F2273" s="4"/>
      <c r="G2273" s="3" t="s">
        <v>29</v>
      </c>
      <c r="H2273" s="5">
        <v>48262</v>
      </c>
      <c r="I2273" s="3" t="str">
        <f>VLOOKUP(Tabela1[[#This Row],[Advogado]],Tabela2[],2,FALSE)</f>
        <v>Renê Amaranto</v>
      </c>
      <c r="J2273" s="17">
        <f>IF(Tabela1[[#This Row],[Data de conclusão]]="",NETWORKDAYS(Tabela1[[#This Row],[Data de entrada]],$J$2),NETWORKDAYS(Tabela1[[#This Row],[Data de entrada]],Tabela1[[#This Row],[Data de conclusão]]))</f>
        <v>367</v>
      </c>
      <c r="K2273" s="1"/>
    </row>
    <row r="2274" spans="2:11" x14ac:dyDescent="0.25">
      <c r="B2274" s="3">
        <v>2381</v>
      </c>
      <c r="C2274" s="3" t="s">
        <v>9</v>
      </c>
      <c r="D2274" s="3" t="s">
        <v>16</v>
      </c>
      <c r="E2274" s="4">
        <v>42926</v>
      </c>
      <c r="F2274" s="4"/>
      <c r="G2274" s="3" t="s">
        <v>29</v>
      </c>
      <c r="H2274" s="5">
        <v>17145</v>
      </c>
      <c r="I2274" s="3" t="str">
        <f>VLOOKUP(Tabela1[[#This Row],[Advogado]],Tabela2[],2,FALSE)</f>
        <v>Renê Amaranto</v>
      </c>
      <c r="J2274" s="17">
        <f>IF(Tabela1[[#This Row],[Data de conclusão]]="",NETWORKDAYS(Tabela1[[#This Row],[Data de entrada]],$J$2),NETWORKDAYS(Tabela1[[#This Row],[Data de entrada]],Tabela1[[#This Row],[Data de conclusão]]))</f>
        <v>222</v>
      </c>
      <c r="K2274" s="1"/>
    </row>
    <row r="2275" spans="2:11" x14ac:dyDescent="0.25">
      <c r="B2275" s="3">
        <v>2382</v>
      </c>
      <c r="C2275" s="3" t="s">
        <v>7</v>
      </c>
      <c r="D2275" s="3" t="s">
        <v>17</v>
      </c>
      <c r="E2275" s="4">
        <v>42742</v>
      </c>
      <c r="F2275" s="4"/>
      <c r="G2275" s="3" t="s">
        <v>29</v>
      </c>
      <c r="H2275" s="5">
        <v>9614</v>
      </c>
      <c r="I2275" s="3" t="str">
        <f>VLOOKUP(Tabela1[[#This Row],[Advogado]],Tabela2[],2,FALSE)</f>
        <v>Renê Amaranto</v>
      </c>
      <c r="J2275" s="17">
        <f>IF(Tabela1[[#This Row],[Data de conclusão]]="",NETWORKDAYS(Tabela1[[#This Row],[Data de entrada]],$J$2),NETWORKDAYS(Tabela1[[#This Row],[Data de entrada]],Tabela1[[#This Row],[Data de conclusão]]))</f>
        <v>352</v>
      </c>
      <c r="K2275" s="1"/>
    </row>
    <row r="2276" spans="2:11" x14ac:dyDescent="0.25">
      <c r="B2276" s="3">
        <v>2383</v>
      </c>
      <c r="C2276" s="3" t="s">
        <v>8</v>
      </c>
      <c r="D2276" s="3" t="s">
        <v>10</v>
      </c>
      <c r="E2276" s="4">
        <v>43029</v>
      </c>
      <c r="F2276" s="4"/>
      <c r="G2276" s="3" t="s">
        <v>29</v>
      </c>
      <c r="H2276" s="5">
        <v>56061</v>
      </c>
      <c r="I2276" s="3" t="str">
        <f>VLOOKUP(Tabela1[[#This Row],[Advogado]],Tabela2[],2,FALSE)</f>
        <v>Caio Brito</v>
      </c>
      <c r="J2276" s="17">
        <f>IF(Tabela1[[#This Row],[Data de conclusão]]="",NETWORKDAYS(Tabela1[[#This Row],[Data de entrada]],$J$2),NETWORKDAYS(Tabela1[[#This Row],[Data de entrada]],Tabela1[[#This Row],[Data de conclusão]]))</f>
        <v>147</v>
      </c>
      <c r="K2276" s="1"/>
    </row>
    <row r="2277" spans="2:11" x14ac:dyDescent="0.25">
      <c r="B2277" s="3">
        <v>2384</v>
      </c>
      <c r="C2277" s="3" t="s">
        <v>9</v>
      </c>
      <c r="D2277" s="3" t="s">
        <v>11</v>
      </c>
      <c r="E2277" s="4">
        <v>42684</v>
      </c>
      <c r="F2277" s="4">
        <v>42758</v>
      </c>
      <c r="G2277" s="3" t="s">
        <v>28</v>
      </c>
      <c r="H2277" s="5">
        <v>5415</v>
      </c>
      <c r="I2277" s="3" t="str">
        <f>VLOOKUP(Tabela1[[#This Row],[Advogado]],Tabela2[],2,FALSE)</f>
        <v>Caio Brito</v>
      </c>
      <c r="J2277" s="17">
        <f>IF(Tabela1[[#This Row],[Data de conclusão]]="",NETWORKDAYS(Tabela1[[#This Row],[Data de entrada]],$J$2),NETWORKDAYS(Tabela1[[#This Row],[Data de entrada]],Tabela1[[#This Row],[Data de conclusão]]))</f>
        <v>53</v>
      </c>
      <c r="K2277" s="1"/>
    </row>
    <row r="2278" spans="2:11" x14ac:dyDescent="0.25">
      <c r="B2278" s="3">
        <v>2385</v>
      </c>
      <c r="C2278" s="3" t="s">
        <v>7</v>
      </c>
      <c r="D2278" s="3" t="s">
        <v>12</v>
      </c>
      <c r="E2278" s="4">
        <v>42715</v>
      </c>
      <c r="F2278" s="4"/>
      <c r="G2278" s="3" t="s">
        <v>27</v>
      </c>
      <c r="H2278" s="5">
        <v>42455</v>
      </c>
      <c r="I2278" s="3" t="str">
        <f>VLOOKUP(Tabela1[[#This Row],[Advogado]],Tabela2[],2,FALSE)</f>
        <v>Caio Brito</v>
      </c>
      <c r="J2278" s="17">
        <f>IF(Tabela1[[#This Row],[Data de conclusão]]="",NETWORKDAYS(Tabela1[[#This Row],[Data de entrada]],$J$2),NETWORKDAYS(Tabela1[[#This Row],[Data de entrada]],Tabela1[[#This Row],[Data de conclusão]]))</f>
        <v>372</v>
      </c>
      <c r="K2278" s="1"/>
    </row>
    <row r="2279" spans="2:11" x14ac:dyDescent="0.25">
      <c r="B2279" s="3">
        <v>2386</v>
      </c>
      <c r="C2279" s="3" t="s">
        <v>8</v>
      </c>
      <c r="D2279" s="3" t="s">
        <v>13</v>
      </c>
      <c r="E2279" s="4">
        <v>42979</v>
      </c>
      <c r="F2279" s="4"/>
      <c r="G2279" s="3" t="s">
        <v>29</v>
      </c>
      <c r="H2279" s="5">
        <v>57291</v>
      </c>
      <c r="I2279" s="3" t="str">
        <f>VLOOKUP(Tabela1[[#This Row],[Advogado]],Tabela2[],2,FALSE)</f>
        <v>Caio Brito</v>
      </c>
      <c r="J2279" s="17">
        <f>IF(Tabela1[[#This Row],[Data de conclusão]]="",NETWORKDAYS(Tabela1[[#This Row],[Data de entrada]],$J$2),NETWORKDAYS(Tabela1[[#This Row],[Data de entrada]],Tabela1[[#This Row],[Data de conclusão]]))</f>
        <v>183</v>
      </c>
      <c r="K2279" s="1"/>
    </row>
    <row r="2280" spans="2:11" x14ac:dyDescent="0.25">
      <c r="B2280" s="3">
        <v>2387</v>
      </c>
      <c r="C2280" s="3" t="s">
        <v>9</v>
      </c>
      <c r="D2280" s="3" t="s">
        <v>14</v>
      </c>
      <c r="E2280" s="4">
        <v>42425</v>
      </c>
      <c r="F2280" s="4"/>
      <c r="G2280" s="3" t="s">
        <v>29</v>
      </c>
      <c r="H2280" s="5">
        <v>10205</v>
      </c>
      <c r="I2280" s="3" t="str">
        <f>VLOOKUP(Tabela1[[#This Row],[Advogado]],Tabela2[],2,FALSE)</f>
        <v>Renê Amaranto</v>
      </c>
      <c r="J2280" s="17">
        <f>IF(Tabela1[[#This Row],[Data de conclusão]]="",NETWORKDAYS(Tabela1[[#This Row],[Data de entrada]],$J$2),NETWORKDAYS(Tabela1[[#This Row],[Data de entrada]],Tabela1[[#This Row],[Data de conclusão]]))</f>
        <v>579</v>
      </c>
      <c r="K2280" s="1"/>
    </row>
    <row r="2281" spans="2:11" x14ac:dyDescent="0.25">
      <c r="B2281" s="3">
        <v>2388</v>
      </c>
      <c r="C2281" s="3" t="s">
        <v>7</v>
      </c>
      <c r="D2281" s="3" t="s">
        <v>15</v>
      </c>
      <c r="E2281" s="4">
        <v>42889</v>
      </c>
      <c r="F2281" s="4"/>
      <c r="G2281" s="3" t="s">
        <v>29</v>
      </c>
      <c r="H2281" s="5">
        <v>35091</v>
      </c>
      <c r="I2281" s="3" t="str">
        <f>VLOOKUP(Tabela1[[#This Row],[Advogado]],Tabela2[],2,FALSE)</f>
        <v>Renê Amaranto</v>
      </c>
      <c r="J2281" s="17">
        <f>IF(Tabela1[[#This Row],[Data de conclusão]]="",NETWORKDAYS(Tabela1[[#This Row],[Data de entrada]],$J$2),NETWORKDAYS(Tabela1[[#This Row],[Data de entrada]],Tabela1[[#This Row],[Data de conclusão]]))</f>
        <v>247</v>
      </c>
      <c r="K2281" s="1"/>
    </row>
    <row r="2282" spans="2:11" x14ac:dyDescent="0.25">
      <c r="B2282" s="3">
        <v>2389</v>
      </c>
      <c r="C2282" s="3" t="s">
        <v>8</v>
      </c>
      <c r="D2282" s="3" t="s">
        <v>16</v>
      </c>
      <c r="E2282" s="4">
        <v>42489</v>
      </c>
      <c r="F2282" s="4"/>
      <c r="G2282" s="3" t="s">
        <v>29</v>
      </c>
      <c r="H2282" s="5">
        <v>33189</v>
      </c>
      <c r="I2282" s="3" t="str">
        <f>VLOOKUP(Tabela1[[#This Row],[Advogado]],Tabela2[],2,FALSE)</f>
        <v>Renê Amaranto</v>
      </c>
      <c r="J2282" s="17">
        <f>IF(Tabela1[[#This Row],[Data de conclusão]]="",NETWORKDAYS(Tabela1[[#This Row],[Data de entrada]],$J$2),NETWORKDAYS(Tabela1[[#This Row],[Data de entrada]],Tabela1[[#This Row],[Data de conclusão]]))</f>
        <v>533</v>
      </c>
      <c r="K2282" s="1"/>
    </row>
    <row r="2283" spans="2:11" x14ac:dyDescent="0.25">
      <c r="B2283" s="3">
        <v>2390</v>
      </c>
      <c r="C2283" s="3" t="s">
        <v>9</v>
      </c>
      <c r="D2283" s="3" t="s">
        <v>17</v>
      </c>
      <c r="E2283" s="4">
        <v>43092</v>
      </c>
      <c r="F2283" s="4"/>
      <c r="G2283" s="3" t="s">
        <v>29</v>
      </c>
      <c r="H2283" s="5">
        <v>24515</v>
      </c>
      <c r="I2283" s="3" t="str">
        <f>VLOOKUP(Tabela1[[#This Row],[Advogado]],Tabela2[],2,FALSE)</f>
        <v>Renê Amaranto</v>
      </c>
      <c r="J2283" s="17">
        <f>IF(Tabela1[[#This Row],[Data de conclusão]]="",NETWORKDAYS(Tabela1[[#This Row],[Data de entrada]],$J$2),NETWORKDAYS(Tabela1[[#This Row],[Data de entrada]],Tabela1[[#This Row],[Data de conclusão]]))</f>
        <v>102</v>
      </c>
      <c r="K2283" s="1"/>
    </row>
    <row r="2284" spans="2:11" x14ac:dyDescent="0.25">
      <c r="B2284" s="3">
        <v>2391</v>
      </c>
      <c r="C2284" s="3" t="s">
        <v>7</v>
      </c>
      <c r="D2284" s="3" t="s">
        <v>10</v>
      </c>
      <c r="E2284" s="4">
        <v>42952</v>
      </c>
      <c r="F2284" s="4"/>
      <c r="G2284" s="3" t="s">
        <v>29</v>
      </c>
      <c r="H2284" s="5">
        <v>24982</v>
      </c>
      <c r="I2284" s="3" t="str">
        <f>VLOOKUP(Tabela1[[#This Row],[Advogado]],Tabela2[],2,FALSE)</f>
        <v>Caio Brito</v>
      </c>
      <c r="J2284" s="17">
        <f>IF(Tabela1[[#This Row],[Data de conclusão]]="",NETWORKDAYS(Tabela1[[#This Row],[Data de entrada]],$J$2),NETWORKDAYS(Tabela1[[#This Row],[Data de entrada]],Tabela1[[#This Row],[Data de conclusão]]))</f>
        <v>202</v>
      </c>
      <c r="K2284" s="1"/>
    </row>
    <row r="2285" spans="2:11" x14ac:dyDescent="0.25">
      <c r="B2285" s="3">
        <v>2392</v>
      </c>
      <c r="C2285" s="3" t="s">
        <v>8</v>
      </c>
      <c r="D2285" s="3" t="s">
        <v>11</v>
      </c>
      <c r="E2285" s="4">
        <v>42627</v>
      </c>
      <c r="F2285" s="4"/>
      <c r="G2285" s="3" t="s">
        <v>29</v>
      </c>
      <c r="H2285" s="5">
        <v>13944</v>
      </c>
      <c r="I2285" s="3" t="str">
        <f>VLOOKUP(Tabela1[[#This Row],[Advogado]],Tabela2[],2,FALSE)</f>
        <v>Caio Brito</v>
      </c>
      <c r="J2285" s="17">
        <f>IF(Tabela1[[#This Row],[Data de conclusão]]="",NETWORKDAYS(Tabela1[[#This Row],[Data de entrada]],$J$2),NETWORKDAYS(Tabela1[[#This Row],[Data de entrada]],Tabela1[[#This Row],[Data de conclusão]]))</f>
        <v>435</v>
      </c>
      <c r="K2285" s="1"/>
    </row>
    <row r="2286" spans="2:11" x14ac:dyDescent="0.25">
      <c r="B2286" s="3">
        <v>2393</v>
      </c>
      <c r="C2286" s="3" t="s">
        <v>9</v>
      </c>
      <c r="D2286" s="3" t="s">
        <v>12</v>
      </c>
      <c r="E2286" s="4">
        <v>42536</v>
      </c>
      <c r="F2286" s="4"/>
      <c r="G2286" s="3" t="s">
        <v>29</v>
      </c>
      <c r="H2286" s="5">
        <v>41293</v>
      </c>
      <c r="I2286" s="3" t="str">
        <f>VLOOKUP(Tabela1[[#This Row],[Advogado]],Tabela2[],2,FALSE)</f>
        <v>Caio Brito</v>
      </c>
      <c r="J2286" s="17">
        <f>IF(Tabela1[[#This Row],[Data de conclusão]]="",NETWORKDAYS(Tabela1[[#This Row],[Data de entrada]],$J$2),NETWORKDAYS(Tabela1[[#This Row],[Data de entrada]],Tabela1[[#This Row],[Data de conclusão]]))</f>
        <v>500</v>
      </c>
      <c r="K2286" s="1"/>
    </row>
    <row r="2287" spans="2:11" x14ac:dyDescent="0.25">
      <c r="B2287" s="3">
        <v>2394</v>
      </c>
      <c r="C2287" s="3" t="s">
        <v>7</v>
      </c>
      <c r="D2287" s="3" t="s">
        <v>13</v>
      </c>
      <c r="E2287" s="4">
        <v>42702</v>
      </c>
      <c r="F2287" s="4"/>
      <c r="G2287" s="3" t="s">
        <v>29</v>
      </c>
      <c r="H2287" s="5">
        <v>39031</v>
      </c>
      <c r="I2287" s="3" t="str">
        <f>VLOOKUP(Tabela1[[#This Row],[Advogado]],Tabela2[],2,FALSE)</f>
        <v>Caio Brito</v>
      </c>
      <c r="J2287" s="17">
        <f>IF(Tabela1[[#This Row],[Data de conclusão]]="",NETWORKDAYS(Tabela1[[#This Row],[Data de entrada]],$J$2),NETWORKDAYS(Tabela1[[#This Row],[Data de entrada]],Tabela1[[#This Row],[Data de conclusão]]))</f>
        <v>382</v>
      </c>
      <c r="K2287" s="1"/>
    </row>
    <row r="2288" spans="2:11" x14ac:dyDescent="0.25">
      <c r="B2288" s="3">
        <v>2395</v>
      </c>
      <c r="C2288" s="3" t="s">
        <v>8</v>
      </c>
      <c r="D2288" s="3" t="s">
        <v>14</v>
      </c>
      <c r="E2288" s="4">
        <v>42805</v>
      </c>
      <c r="F2288" s="4"/>
      <c r="G2288" s="3" t="s">
        <v>29</v>
      </c>
      <c r="H2288" s="5">
        <v>1066</v>
      </c>
      <c r="I2288" s="3" t="str">
        <f>VLOOKUP(Tabela1[[#This Row],[Advogado]],Tabela2[],2,FALSE)</f>
        <v>Renê Amaranto</v>
      </c>
      <c r="J2288" s="17">
        <f>IF(Tabela1[[#This Row],[Data de conclusão]]="",NETWORKDAYS(Tabela1[[#This Row],[Data de entrada]],$J$2),NETWORKDAYS(Tabela1[[#This Row],[Data de entrada]],Tabela1[[#This Row],[Data de conclusão]]))</f>
        <v>307</v>
      </c>
      <c r="K2288" s="1"/>
    </row>
    <row r="2289" spans="2:11" x14ac:dyDescent="0.25">
      <c r="B2289" s="3">
        <v>2396</v>
      </c>
      <c r="C2289" s="3" t="s">
        <v>9</v>
      </c>
      <c r="D2289" s="3" t="s">
        <v>15</v>
      </c>
      <c r="E2289" s="4">
        <v>43076</v>
      </c>
      <c r="F2289" s="4"/>
      <c r="G2289" s="3" t="s">
        <v>29</v>
      </c>
      <c r="H2289" s="5">
        <v>25572</v>
      </c>
      <c r="I2289" s="3" t="str">
        <f>VLOOKUP(Tabela1[[#This Row],[Advogado]],Tabela2[],2,FALSE)</f>
        <v>Renê Amaranto</v>
      </c>
      <c r="J2289" s="17">
        <f>IF(Tabela1[[#This Row],[Data de conclusão]]="",NETWORKDAYS(Tabela1[[#This Row],[Data de entrada]],$J$2),NETWORKDAYS(Tabela1[[#This Row],[Data de entrada]],Tabela1[[#This Row],[Data de conclusão]]))</f>
        <v>114</v>
      </c>
      <c r="K2289" s="1"/>
    </row>
    <row r="2290" spans="2:11" x14ac:dyDescent="0.25">
      <c r="B2290" s="3">
        <v>2397</v>
      </c>
      <c r="C2290" s="3" t="s">
        <v>7</v>
      </c>
      <c r="D2290" s="3" t="s">
        <v>16</v>
      </c>
      <c r="E2290" s="4">
        <v>42799</v>
      </c>
      <c r="F2290" s="4">
        <v>42845</v>
      </c>
      <c r="G2290" s="3" t="s">
        <v>28</v>
      </c>
      <c r="H2290" s="5">
        <v>2525</v>
      </c>
      <c r="I2290" s="3" t="str">
        <f>VLOOKUP(Tabela1[[#This Row],[Advogado]],Tabela2[],2,FALSE)</f>
        <v>Renê Amaranto</v>
      </c>
      <c r="J2290" s="17">
        <f>IF(Tabela1[[#This Row],[Data de conclusão]]="",NETWORKDAYS(Tabela1[[#This Row],[Data de entrada]],$J$2),NETWORKDAYS(Tabela1[[#This Row],[Data de entrada]],Tabela1[[#This Row],[Data de conclusão]]))</f>
        <v>34</v>
      </c>
      <c r="K2290" s="1"/>
    </row>
    <row r="2291" spans="2:11" x14ac:dyDescent="0.25">
      <c r="B2291" s="3">
        <v>2398</v>
      </c>
      <c r="C2291" s="3" t="s">
        <v>8</v>
      </c>
      <c r="D2291" s="3" t="s">
        <v>17</v>
      </c>
      <c r="E2291" s="4">
        <v>42738</v>
      </c>
      <c r="F2291" s="4"/>
      <c r="G2291" s="3" t="s">
        <v>27</v>
      </c>
      <c r="H2291" s="5">
        <v>20857</v>
      </c>
      <c r="I2291" s="3" t="str">
        <f>VLOOKUP(Tabela1[[#This Row],[Advogado]],Tabela2[],2,FALSE)</f>
        <v>Renê Amaranto</v>
      </c>
      <c r="J2291" s="17">
        <f>IF(Tabela1[[#This Row],[Data de conclusão]]="",NETWORKDAYS(Tabela1[[#This Row],[Data de entrada]],$J$2),NETWORKDAYS(Tabela1[[#This Row],[Data de entrada]],Tabela1[[#This Row],[Data de conclusão]]))</f>
        <v>356</v>
      </c>
      <c r="K2291" s="1"/>
    </row>
    <row r="2292" spans="2:11" x14ac:dyDescent="0.25">
      <c r="B2292" s="3">
        <v>2399</v>
      </c>
      <c r="C2292" s="3" t="s">
        <v>9</v>
      </c>
      <c r="D2292" s="3" t="s">
        <v>10</v>
      </c>
      <c r="E2292" s="4">
        <v>42717</v>
      </c>
      <c r="F2292" s="4"/>
      <c r="G2292" s="3" t="s">
        <v>29</v>
      </c>
      <c r="H2292" s="5">
        <v>11631</v>
      </c>
      <c r="I2292" s="3" t="str">
        <f>VLOOKUP(Tabela1[[#This Row],[Advogado]],Tabela2[],2,FALSE)</f>
        <v>Caio Brito</v>
      </c>
      <c r="J2292" s="17">
        <f>IF(Tabela1[[#This Row],[Data de conclusão]]="",NETWORKDAYS(Tabela1[[#This Row],[Data de entrada]],$J$2),NETWORKDAYS(Tabela1[[#This Row],[Data de entrada]],Tabela1[[#This Row],[Data de conclusão]]))</f>
        <v>371</v>
      </c>
      <c r="K2292" s="1"/>
    </row>
    <row r="2293" spans="2:11" x14ac:dyDescent="0.25">
      <c r="B2293" s="3">
        <v>2400</v>
      </c>
      <c r="C2293" s="3" t="s">
        <v>7</v>
      </c>
      <c r="D2293" s="3" t="s">
        <v>11</v>
      </c>
      <c r="E2293" s="4">
        <v>42908</v>
      </c>
      <c r="F2293" s="4"/>
      <c r="G2293" s="3" t="s">
        <v>29</v>
      </c>
      <c r="H2293" s="5">
        <v>36060</v>
      </c>
      <c r="I2293" s="3" t="str">
        <f>VLOOKUP(Tabela1[[#This Row],[Advogado]],Tabela2[],2,FALSE)</f>
        <v>Caio Brito</v>
      </c>
      <c r="J2293" s="17">
        <f>IF(Tabela1[[#This Row],[Data de conclusão]]="",NETWORKDAYS(Tabela1[[#This Row],[Data de entrada]],$J$2),NETWORKDAYS(Tabela1[[#This Row],[Data de entrada]],Tabela1[[#This Row],[Data de conclusão]]))</f>
        <v>234</v>
      </c>
      <c r="K2293" s="1"/>
    </row>
    <row r="2294" spans="2:11" x14ac:dyDescent="0.25">
      <c r="B2294" s="3">
        <v>2401</v>
      </c>
      <c r="C2294" s="3" t="s">
        <v>8</v>
      </c>
      <c r="D2294" s="3" t="s">
        <v>12</v>
      </c>
      <c r="E2294" s="4">
        <v>42689</v>
      </c>
      <c r="F2294" s="4"/>
      <c r="G2294" s="3" t="s">
        <v>29</v>
      </c>
      <c r="H2294" s="5">
        <v>39737</v>
      </c>
      <c r="I2294" s="3" t="str">
        <f>VLOOKUP(Tabela1[[#This Row],[Advogado]],Tabela2[],2,FALSE)</f>
        <v>Caio Brito</v>
      </c>
      <c r="J2294" s="17">
        <f>IF(Tabela1[[#This Row],[Data de conclusão]]="",NETWORKDAYS(Tabela1[[#This Row],[Data de entrada]],$J$2),NETWORKDAYS(Tabela1[[#This Row],[Data de entrada]],Tabela1[[#This Row],[Data de conclusão]]))</f>
        <v>391</v>
      </c>
      <c r="K2294" s="1"/>
    </row>
    <row r="2295" spans="2:11" x14ac:dyDescent="0.25">
      <c r="B2295" s="3">
        <v>2402</v>
      </c>
      <c r="C2295" s="3" t="s">
        <v>9</v>
      </c>
      <c r="D2295" s="3" t="s">
        <v>13</v>
      </c>
      <c r="E2295" s="4">
        <v>42575</v>
      </c>
      <c r="F2295" s="4"/>
      <c r="G2295" s="3" t="s">
        <v>29</v>
      </c>
      <c r="H2295" s="5">
        <v>50825</v>
      </c>
      <c r="I2295" s="3" t="str">
        <f>VLOOKUP(Tabela1[[#This Row],[Advogado]],Tabela2[],2,FALSE)</f>
        <v>Caio Brito</v>
      </c>
      <c r="J2295" s="17">
        <f>IF(Tabela1[[#This Row],[Data de conclusão]]="",NETWORKDAYS(Tabela1[[#This Row],[Data de entrada]],$J$2),NETWORKDAYS(Tabela1[[#This Row],[Data de entrada]],Tabela1[[#This Row],[Data de conclusão]]))</f>
        <v>472</v>
      </c>
      <c r="K2295" s="1"/>
    </row>
    <row r="2296" spans="2:11" x14ac:dyDescent="0.25">
      <c r="B2296" s="3">
        <v>2403</v>
      </c>
      <c r="C2296" s="3" t="s">
        <v>7</v>
      </c>
      <c r="D2296" s="3" t="s">
        <v>14</v>
      </c>
      <c r="E2296" s="4">
        <v>42622</v>
      </c>
      <c r="F2296" s="4"/>
      <c r="G2296" s="3" t="s">
        <v>29</v>
      </c>
      <c r="H2296" s="5">
        <v>40708</v>
      </c>
      <c r="I2296" s="3" t="str">
        <f>VLOOKUP(Tabela1[[#This Row],[Advogado]],Tabela2[],2,FALSE)</f>
        <v>Renê Amaranto</v>
      </c>
      <c r="J2296" s="17">
        <f>IF(Tabela1[[#This Row],[Data de conclusão]]="",NETWORKDAYS(Tabela1[[#This Row],[Data de entrada]],$J$2),NETWORKDAYS(Tabela1[[#This Row],[Data de entrada]],Tabela1[[#This Row],[Data de conclusão]]))</f>
        <v>438</v>
      </c>
      <c r="K2296" s="1"/>
    </row>
    <row r="2297" spans="2:11" x14ac:dyDescent="0.25">
      <c r="B2297" s="3">
        <v>2404</v>
      </c>
      <c r="C2297" s="3" t="s">
        <v>8</v>
      </c>
      <c r="D2297" s="3" t="s">
        <v>15</v>
      </c>
      <c r="E2297" s="4">
        <v>43072</v>
      </c>
      <c r="F2297" s="4"/>
      <c r="G2297" s="3" t="s">
        <v>29</v>
      </c>
      <c r="H2297" s="5">
        <v>14793</v>
      </c>
      <c r="I2297" s="3" t="str">
        <f>VLOOKUP(Tabela1[[#This Row],[Advogado]],Tabela2[],2,FALSE)</f>
        <v>Renê Amaranto</v>
      </c>
      <c r="J2297" s="17">
        <f>IF(Tabela1[[#This Row],[Data de conclusão]]="",NETWORKDAYS(Tabela1[[#This Row],[Data de entrada]],$J$2),NETWORKDAYS(Tabela1[[#This Row],[Data de entrada]],Tabela1[[#This Row],[Data de conclusão]]))</f>
        <v>117</v>
      </c>
      <c r="K2297" s="1"/>
    </row>
    <row r="2298" spans="2:11" x14ac:dyDescent="0.25">
      <c r="B2298" s="3">
        <v>2405</v>
      </c>
      <c r="C2298" s="3" t="s">
        <v>9</v>
      </c>
      <c r="D2298" s="3" t="s">
        <v>16</v>
      </c>
      <c r="E2298" s="4">
        <v>42987</v>
      </c>
      <c r="F2298" s="4"/>
      <c r="G2298" s="3" t="s">
        <v>29</v>
      </c>
      <c r="H2298" s="5">
        <v>42765</v>
      </c>
      <c r="I2298" s="3" t="str">
        <f>VLOOKUP(Tabela1[[#This Row],[Advogado]],Tabela2[],2,FALSE)</f>
        <v>Renê Amaranto</v>
      </c>
      <c r="J2298" s="17">
        <f>IF(Tabela1[[#This Row],[Data de conclusão]]="",NETWORKDAYS(Tabela1[[#This Row],[Data de entrada]],$J$2),NETWORKDAYS(Tabela1[[#This Row],[Data de entrada]],Tabela1[[#This Row],[Data de conclusão]]))</f>
        <v>177</v>
      </c>
      <c r="K2298" s="1"/>
    </row>
    <row r="2299" spans="2:11" x14ac:dyDescent="0.25">
      <c r="B2299" s="3">
        <v>2406</v>
      </c>
      <c r="C2299" s="3" t="s">
        <v>7</v>
      </c>
      <c r="D2299" s="3" t="s">
        <v>17</v>
      </c>
      <c r="E2299" s="4">
        <v>42390</v>
      </c>
      <c r="F2299" s="4"/>
      <c r="G2299" s="3" t="s">
        <v>29</v>
      </c>
      <c r="H2299" s="5">
        <v>32916</v>
      </c>
      <c r="I2299" s="3" t="str">
        <f>VLOOKUP(Tabela1[[#This Row],[Advogado]],Tabela2[],2,FALSE)</f>
        <v>Renê Amaranto</v>
      </c>
      <c r="J2299" s="17">
        <f>IF(Tabela1[[#This Row],[Data de conclusão]]="",NETWORKDAYS(Tabela1[[#This Row],[Data de entrada]],$J$2),NETWORKDAYS(Tabela1[[#This Row],[Data de entrada]],Tabela1[[#This Row],[Data de conclusão]]))</f>
        <v>604</v>
      </c>
      <c r="K2299" s="1"/>
    </row>
    <row r="2300" spans="2:11" x14ac:dyDescent="0.25">
      <c r="B2300" s="3">
        <v>2407</v>
      </c>
      <c r="C2300" s="3" t="s">
        <v>8</v>
      </c>
      <c r="D2300" s="3" t="s">
        <v>10</v>
      </c>
      <c r="E2300" s="4">
        <v>42986</v>
      </c>
      <c r="F2300" s="4"/>
      <c r="G2300" s="3" t="s">
        <v>29</v>
      </c>
      <c r="H2300" s="5">
        <v>37004</v>
      </c>
      <c r="I2300" s="3" t="str">
        <f>VLOOKUP(Tabela1[[#This Row],[Advogado]],Tabela2[],2,FALSE)</f>
        <v>Caio Brito</v>
      </c>
      <c r="J2300" s="17">
        <f>IF(Tabela1[[#This Row],[Data de conclusão]]="",NETWORKDAYS(Tabela1[[#This Row],[Data de entrada]],$J$2),NETWORKDAYS(Tabela1[[#This Row],[Data de entrada]],Tabela1[[#This Row],[Data de conclusão]]))</f>
        <v>178</v>
      </c>
      <c r="K2300" s="1"/>
    </row>
    <row r="2301" spans="2:11" x14ac:dyDescent="0.25">
      <c r="B2301" s="3">
        <v>2408</v>
      </c>
      <c r="C2301" s="3" t="s">
        <v>9</v>
      </c>
      <c r="D2301" s="3" t="s">
        <v>11</v>
      </c>
      <c r="E2301" s="4">
        <v>42370</v>
      </c>
      <c r="F2301" s="4"/>
      <c r="G2301" s="3" t="s">
        <v>29</v>
      </c>
      <c r="H2301" s="5">
        <v>23306</v>
      </c>
      <c r="I2301" s="3" t="str">
        <f>VLOOKUP(Tabela1[[#This Row],[Advogado]],Tabela2[],2,FALSE)</f>
        <v>Caio Brito</v>
      </c>
      <c r="J2301" s="17">
        <f>IF(Tabela1[[#This Row],[Data de conclusão]]="",NETWORKDAYS(Tabela1[[#This Row],[Data de entrada]],$J$2),NETWORKDAYS(Tabela1[[#This Row],[Data de entrada]],Tabela1[[#This Row],[Data de conclusão]]))</f>
        <v>618</v>
      </c>
      <c r="K2301" s="1"/>
    </row>
    <row r="2302" spans="2:11" x14ac:dyDescent="0.25">
      <c r="B2302" s="3">
        <v>2409</v>
      </c>
      <c r="C2302" s="3" t="s">
        <v>7</v>
      </c>
      <c r="D2302" s="3" t="s">
        <v>12</v>
      </c>
      <c r="E2302" s="4">
        <v>42829</v>
      </c>
      <c r="F2302" s="4"/>
      <c r="G2302" s="3" t="s">
        <v>29</v>
      </c>
      <c r="H2302" s="5">
        <v>37645</v>
      </c>
      <c r="I2302" s="3" t="str">
        <f>VLOOKUP(Tabela1[[#This Row],[Advogado]],Tabela2[],2,FALSE)</f>
        <v>Caio Brito</v>
      </c>
      <c r="J2302" s="17">
        <f>IF(Tabela1[[#This Row],[Data de conclusão]]="",NETWORKDAYS(Tabela1[[#This Row],[Data de entrada]],$J$2),NETWORKDAYS(Tabela1[[#This Row],[Data de entrada]],Tabela1[[#This Row],[Data de conclusão]]))</f>
        <v>291</v>
      </c>
      <c r="K2302" s="1"/>
    </row>
    <row r="2303" spans="2:11" x14ac:dyDescent="0.25">
      <c r="B2303" s="3">
        <v>2410</v>
      </c>
      <c r="C2303" s="3" t="s">
        <v>8</v>
      </c>
      <c r="D2303" s="3" t="s">
        <v>13</v>
      </c>
      <c r="E2303" s="4">
        <v>42527</v>
      </c>
      <c r="F2303" s="4">
        <v>42575</v>
      </c>
      <c r="G2303" s="3" t="s">
        <v>28</v>
      </c>
      <c r="H2303" s="5">
        <v>54732</v>
      </c>
      <c r="I2303" s="3" t="str">
        <f>VLOOKUP(Tabela1[[#This Row],[Advogado]],Tabela2[],2,FALSE)</f>
        <v>Caio Brito</v>
      </c>
      <c r="J2303" s="17">
        <f>IF(Tabela1[[#This Row],[Data de conclusão]]="",NETWORKDAYS(Tabela1[[#This Row],[Data de entrada]],$J$2),NETWORKDAYS(Tabela1[[#This Row],[Data de entrada]],Tabela1[[#This Row],[Data de conclusão]]))</f>
        <v>35</v>
      </c>
      <c r="K2303" s="1"/>
    </row>
    <row r="2304" spans="2:11" x14ac:dyDescent="0.25">
      <c r="B2304" s="3">
        <v>2411</v>
      </c>
      <c r="C2304" s="3" t="s">
        <v>9</v>
      </c>
      <c r="D2304" s="3" t="s">
        <v>14</v>
      </c>
      <c r="E2304" s="4">
        <v>42798</v>
      </c>
      <c r="F2304" s="4"/>
      <c r="G2304" s="3" t="s">
        <v>27</v>
      </c>
      <c r="H2304" s="5">
        <v>39387</v>
      </c>
      <c r="I2304" s="3" t="str">
        <f>VLOOKUP(Tabela1[[#This Row],[Advogado]],Tabela2[],2,FALSE)</f>
        <v>Renê Amaranto</v>
      </c>
      <c r="J2304" s="17">
        <f>IF(Tabela1[[#This Row],[Data de conclusão]]="",NETWORKDAYS(Tabela1[[#This Row],[Data de entrada]],$J$2),NETWORKDAYS(Tabela1[[#This Row],[Data de entrada]],Tabela1[[#This Row],[Data de conclusão]]))</f>
        <v>312</v>
      </c>
      <c r="K2304" s="1"/>
    </row>
    <row r="2305" spans="2:11" x14ac:dyDescent="0.25">
      <c r="B2305" s="3">
        <v>2412</v>
      </c>
      <c r="C2305" s="3" t="s">
        <v>7</v>
      </c>
      <c r="D2305" s="3" t="s">
        <v>15</v>
      </c>
      <c r="E2305" s="4">
        <v>42970</v>
      </c>
      <c r="F2305" s="4"/>
      <c r="G2305" s="3" t="s">
        <v>29</v>
      </c>
      <c r="H2305" s="5">
        <v>4561</v>
      </c>
      <c r="I2305" s="3" t="str">
        <f>VLOOKUP(Tabela1[[#This Row],[Advogado]],Tabela2[],2,FALSE)</f>
        <v>Renê Amaranto</v>
      </c>
      <c r="J2305" s="17">
        <f>IF(Tabela1[[#This Row],[Data de conclusão]]="",NETWORKDAYS(Tabela1[[#This Row],[Data de entrada]],$J$2),NETWORKDAYS(Tabela1[[#This Row],[Data de entrada]],Tabela1[[#This Row],[Data de conclusão]]))</f>
        <v>190</v>
      </c>
      <c r="K2305" s="1"/>
    </row>
    <row r="2306" spans="2:11" x14ac:dyDescent="0.25">
      <c r="B2306" s="3">
        <v>2413</v>
      </c>
      <c r="C2306" s="3" t="s">
        <v>8</v>
      </c>
      <c r="D2306" s="3" t="s">
        <v>16</v>
      </c>
      <c r="E2306" s="4">
        <v>42413</v>
      </c>
      <c r="F2306" s="4"/>
      <c r="G2306" s="3" t="s">
        <v>29</v>
      </c>
      <c r="H2306" s="5">
        <v>35638</v>
      </c>
      <c r="I2306" s="3" t="str">
        <f>VLOOKUP(Tabela1[[#This Row],[Advogado]],Tabela2[],2,FALSE)</f>
        <v>Renê Amaranto</v>
      </c>
      <c r="J2306" s="17">
        <f>IF(Tabela1[[#This Row],[Data de conclusão]]="",NETWORKDAYS(Tabela1[[#This Row],[Data de entrada]],$J$2),NETWORKDAYS(Tabela1[[#This Row],[Data de entrada]],Tabela1[[#This Row],[Data de conclusão]]))</f>
        <v>587</v>
      </c>
      <c r="K2306" s="1"/>
    </row>
    <row r="2307" spans="2:11" x14ac:dyDescent="0.25">
      <c r="B2307" s="3">
        <v>2414</v>
      </c>
      <c r="C2307" s="3" t="s">
        <v>9</v>
      </c>
      <c r="D2307" s="3" t="s">
        <v>17</v>
      </c>
      <c r="E2307" s="4">
        <v>43024</v>
      </c>
      <c r="F2307" s="4"/>
      <c r="G2307" s="3" t="s">
        <v>29</v>
      </c>
      <c r="H2307" s="5">
        <v>6223</v>
      </c>
      <c r="I2307" s="3" t="str">
        <f>VLOOKUP(Tabela1[[#This Row],[Advogado]],Tabela2[],2,FALSE)</f>
        <v>Renê Amaranto</v>
      </c>
      <c r="J2307" s="17">
        <f>IF(Tabela1[[#This Row],[Data de conclusão]]="",NETWORKDAYS(Tabela1[[#This Row],[Data de entrada]],$J$2),NETWORKDAYS(Tabela1[[#This Row],[Data de entrada]],Tabela1[[#This Row],[Data de conclusão]]))</f>
        <v>152</v>
      </c>
      <c r="K2307" s="1"/>
    </row>
    <row r="2308" spans="2:11" x14ac:dyDescent="0.25">
      <c r="B2308" s="3">
        <v>2415</v>
      </c>
      <c r="C2308" s="3" t="s">
        <v>7</v>
      </c>
      <c r="D2308" s="3" t="s">
        <v>10</v>
      </c>
      <c r="E2308" s="4">
        <v>42633</v>
      </c>
      <c r="F2308" s="4"/>
      <c r="G2308" s="3" t="s">
        <v>29</v>
      </c>
      <c r="H2308" s="5">
        <v>50426</v>
      </c>
      <c r="I2308" s="3" t="str">
        <f>VLOOKUP(Tabela1[[#This Row],[Advogado]],Tabela2[],2,FALSE)</f>
        <v>Caio Brito</v>
      </c>
      <c r="J2308" s="17">
        <f>IF(Tabela1[[#This Row],[Data de conclusão]]="",NETWORKDAYS(Tabela1[[#This Row],[Data de entrada]],$J$2),NETWORKDAYS(Tabela1[[#This Row],[Data de entrada]],Tabela1[[#This Row],[Data de conclusão]]))</f>
        <v>431</v>
      </c>
      <c r="K2308" s="1"/>
    </row>
    <row r="2309" spans="2:11" x14ac:dyDescent="0.25">
      <c r="B2309" s="3">
        <v>2416</v>
      </c>
      <c r="C2309" s="3" t="s">
        <v>8</v>
      </c>
      <c r="D2309" s="3" t="s">
        <v>11</v>
      </c>
      <c r="E2309" s="4">
        <v>42782</v>
      </c>
      <c r="F2309" s="4"/>
      <c r="G2309" s="3" t="s">
        <v>29</v>
      </c>
      <c r="H2309" s="5">
        <v>47586</v>
      </c>
      <c r="I2309" s="3" t="str">
        <f>VLOOKUP(Tabela1[[#This Row],[Advogado]],Tabela2[],2,FALSE)</f>
        <v>Caio Brito</v>
      </c>
      <c r="J2309" s="17">
        <f>IF(Tabela1[[#This Row],[Data de conclusão]]="",NETWORKDAYS(Tabela1[[#This Row],[Data de entrada]],$J$2),NETWORKDAYS(Tabela1[[#This Row],[Data de entrada]],Tabela1[[#This Row],[Data de conclusão]]))</f>
        <v>324</v>
      </c>
      <c r="K2309" s="1"/>
    </row>
    <row r="2310" spans="2:11" x14ac:dyDescent="0.25">
      <c r="B2310" s="3">
        <v>2417</v>
      </c>
      <c r="C2310" s="3" t="s">
        <v>9</v>
      </c>
      <c r="D2310" s="3" t="s">
        <v>12</v>
      </c>
      <c r="E2310" s="4">
        <v>42649</v>
      </c>
      <c r="F2310" s="4"/>
      <c r="G2310" s="3" t="s">
        <v>29</v>
      </c>
      <c r="H2310" s="5">
        <v>16854</v>
      </c>
      <c r="I2310" s="3" t="str">
        <f>VLOOKUP(Tabela1[[#This Row],[Advogado]],Tabela2[],2,FALSE)</f>
        <v>Caio Brito</v>
      </c>
      <c r="J2310" s="17">
        <f>IF(Tabela1[[#This Row],[Data de conclusão]]="",NETWORKDAYS(Tabela1[[#This Row],[Data de entrada]],$J$2),NETWORKDAYS(Tabela1[[#This Row],[Data de entrada]],Tabela1[[#This Row],[Data de conclusão]]))</f>
        <v>419</v>
      </c>
      <c r="K2310" s="1"/>
    </row>
    <row r="2311" spans="2:11" x14ac:dyDescent="0.25">
      <c r="B2311" s="3">
        <v>2418</v>
      </c>
      <c r="C2311" s="3" t="s">
        <v>7</v>
      </c>
      <c r="D2311" s="3" t="s">
        <v>13</v>
      </c>
      <c r="E2311" s="4">
        <v>42777</v>
      </c>
      <c r="F2311" s="4"/>
      <c r="G2311" s="3" t="s">
        <v>29</v>
      </c>
      <c r="H2311" s="5">
        <v>59750</v>
      </c>
      <c r="I2311" s="3" t="str">
        <f>VLOOKUP(Tabela1[[#This Row],[Advogado]],Tabela2[],2,FALSE)</f>
        <v>Caio Brito</v>
      </c>
      <c r="J2311" s="17">
        <f>IF(Tabela1[[#This Row],[Data de conclusão]]="",NETWORKDAYS(Tabela1[[#This Row],[Data de entrada]],$J$2),NETWORKDAYS(Tabela1[[#This Row],[Data de entrada]],Tabela1[[#This Row],[Data de conclusão]]))</f>
        <v>327</v>
      </c>
      <c r="K2311" s="1"/>
    </row>
    <row r="2312" spans="2:11" x14ac:dyDescent="0.25">
      <c r="B2312" s="3">
        <v>2419</v>
      </c>
      <c r="C2312" s="3" t="s">
        <v>8</v>
      </c>
      <c r="D2312" s="3" t="s">
        <v>14</v>
      </c>
      <c r="E2312" s="4">
        <v>42691</v>
      </c>
      <c r="F2312" s="4"/>
      <c r="G2312" s="3" t="s">
        <v>29</v>
      </c>
      <c r="H2312" s="5">
        <v>32529</v>
      </c>
      <c r="I2312" s="3" t="str">
        <f>VLOOKUP(Tabela1[[#This Row],[Advogado]],Tabela2[],2,FALSE)</f>
        <v>Renê Amaranto</v>
      </c>
      <c r="J2312" s="17">
        <f>IF(Tabela1[[#This Row],[Data de conclusão]]="",NETWORKDAYS(Tabela1[[#This Row],[Data de entrada]],$J$2),NETWORKDAYS(Tabela1[[#This Row],[Data de entrada]],Tabela1[[#This Row],[Data de conclusão]]))</f>
        <v>389</v>
      </c>
      <c r="K2312" s="1"/>
    </row>
    <row r="2313" spans="2:11" x14ac:dyDescent="0.25">
      <c r="B2313" s="3">
        <v>2420</v>
      </c>
      <c r="C2313" s="3" t="s">
        <v>9</v>
      </c>
      <c r="D2313" s="3" t="s">
        <v>15</v>
      </c>
      <c r="E2313" s="4">
        <v>43003</v>
      </c>
      <c r="F2313" s="4"/>
      <c r="G2313" s="3" t="s">
        <v>29</v>
      </c>
      <c r="H2313" s="5">
        <v>49200</v>
      </c>
      <c r="I2313" s="3" t="str">
        <f>VLOOKUP(Tabela1[[#This Row],[Advogado]],Tabela2[],2,FALSE)</f>
        <v>Renê Amaranto</v>
      </c>
      <c r="J2313" s="17">
        <f>IF(Tabela1[[#This Row],[Data de conclusão]]="",NETWORKDAYS(Tabela1[[#This Row],[Data de entrada]],$J$2),NETWORKDAYS(Tabela1[[#This Row],[Data de entrada]],Tabela1[[#This Row],[Data de conclusão]]))</f>
        <v>167</v>
      </c>
      <c r="K2313" s="1"/>
    </row>
    <row r="2314" spans="2:11" x14ac:dyDescent="0.25">
      <c r="B2314" s="3">
        <v>2421</v>
      </c>
      <c r="C2314" s="3" t="s">
        <v>7</v>
      </c>
      <c r="D2314" s="3" t="s">
        <v>16</v>
      </c>
      <c r="E2314" s="4">
        <v>42879</v>
      </c>
      <c r="F2314" s="4"/>
      <c r="G2314" s="3" t="s">
        <v>29</v>
      </c>
      <c r="H2314" s="5">
        <v>49627</v>
      </c>
      <c r="I2314" s="3" t="str">
        <f>VLOOKUP(Tabela1[[#This Row],[Advogado]],Tabela2[],2,FALSE)</f>
        <v>Renê Amaranto</v>
      </c>
      <c r="J2314" s="17">
        <f>IF(Tabela1[[#This Row],[Data de conclusão]]="",NETWORKDAYS(Tabela1[[#This Row],[Data de entrada]],$J$2),NETWORKDAYS(Tabela1[[#This Row],[Data de entrada]],Tabela1[[#This Row],[Data de conclusão]]))</f>
        <v>255</v>
      </c>
      <c r="K2314" s="1"/>
    </row>
    <row r="2315" spans="2:11" x14ac:dyDescent="0.25">
      <c r="B2315" s="3">
        <v>2422</v>
      </c>
      <c r="C2315" s="3" t="s">
        <v>8</v>
      </c>
      <c r="D2315" s="3" t="s">
        <v>17</v>
      </c>
      <c r="E2315" s="4">
        <v>42580</v>
      </c>
      <c r="F2315" s="4"/>
      <c r="G2315" s="3" t="s">
        <v>29</v>
      </c>
      <c r="H2315" s="5">
        <v>31284</v>
      </c>
      <c r="I2315" s="3" t="str">
        <f>VLOOKUP(Tabela1[[#This Row],[Advogado]],Tabela2[],2,FALSE)</f>
        <v>Renê Amaranto</v>
      </c>
      <c r="J2315" s="17">
        <f>IF(Tabela1[[#This Row],[Data de conclusão]]="",NETWORKDAYS(Tabela1[[#This Row],[Data de entrada]],$J$2),NETWORKDAYS(Tabela1[[#This Row],[Data de entrada]],Tabela1[[#This Row],[Data de conclusão]]))</f>
        <v>468</v>
      </c>
      <c r="K2315" s="1"/>
    </row>
    <row r="2316" spans="2:11" x14ac:dyDescent="0.25">
      <c r="B2316" s="3">
        <v>2423</v>
      </c>
      <c r="C2316" s="3" t="s">
        <v>9</v>
      </c>
      <c r="D2316" s="3" t="s">
        <v>10</v>
      </c>
      <c r="E2316" s="4">
        <v>42442</v>
      </c>
      <c r="F2316" s="4">
        <v>42496</v>
      </c>
      <c r="G2316" s="3" t="s">
        <v>28</v>
      </c>
      <c r="H2316" s="5">
        <v>4368</v>
      </c>
      <c r="I2316" s="3" t="str">
        <f>VLOOKUP(Tabela1[[#This Row],[Advogado]],Tabela2[],2,FALSE)</f>
        <v>Caio Brito</v>
      </c>
      <c r="J2316" s="17">
        <f>IF(Tabela1[[#This Row],[Data de conclusão]]="",NETWORKDAYS(Tabela1[[#This Row],[Data de entrada]],$J$2),NETWORKDAYS(Tabela1[[#This Row],[Data de entrada]],Tabela1[[#This Row],[Data de conclusão]]))</f>
        <v>40</v>
      </c>
      <c r="K2316" s="1"/>
    </row>
    <row r="2317" spans="2:11" x14ac:dyDescent="0.25">
      <c r="B2317" s="3">
        <v>2424</v>
      </c>
      <c r="C2317" s="3" t="s">
        <v>7</v>
      </c>
      <c r="D2317" s="3" t="s">
        <v>11</v>
      </c>
      <c r="E2317" s="4">
        <v>42513</v>
      </c>
      <c r="F2317" s="4"/>
      <c r="G2317" s="3" t="s">
        <v>27</v>
      </c>
      <c r="H2317" s="5">
        <v>39361</v>
      </c>
      <c r="I2317" s="3" t="str">
        <f>VLOOKUP(Tabela1[[#This Row],[Advogado]],Tabela2[],2,FALSE)</f>
        <v>Caio Brito</v>
      </c>
      <c r="J2317" s="17">
        <f>IF(Tabela1[[#This Row],[Data de conclusão]]="",NETWORKDAYS(Tabela1[[#This Row],[Data de entrada]],$J$2),NETWORKDAYS(Tabela1[[#This Row],[Data de entrada]],Tabela1[[#This Row],[Data de conclusão]]))</f>
        <v>517</v>
      </c>
      <c r="K2317" s="1"/>
    </row>
    <row r="2318" spans="2:11" x14ac:dyDescent="0.25">
      <c r="B2318" s="3">
        <v>2425</v>
      </c>
      <c r="C2318" s="3" t="s">
        <v>8</v>
      </c>
      <c r="D2318" s="3" t="s">
        <v>12</v>
      </c>
      <c r="E2318" s="4">
        <v>42440</v>
      </c>
      <c r="F2318" s="4"/>
      <c r="G2318" s="3" t="s">
        <v>29</v>
      </c>
      <c r="H2318" s="5">
        <v>49211</v>
      </c>
      <c r="I2318" s="3" t="str">
        <f>VLOOKUP(Tabela1[[#This Row],[Advogado]],Tabela2[],2,FALSE)</f>
        <v>Caio Brito</v>
      </c>
      <c r="J2318" s="17">
        <f>IF(Tabela1[[#This Row],[Data de conclusão]]="",NETWORKDAYS(Tabela1[[#This Row],[Data de entrada]],$J$2),NETWORKDAYS(Tabela1[[#This Row],[Data de entrada]],Tabela1[[#This Row],[Data de conclusão]]))</f>
        <v>568</v>
      </c>
      <c r="K2318" s="1"/>
    </row>
    <row r="2319" spans="2:11" x14ac:dyDescent="0.25">
      <c r="B2319" s="3">
        <v>2426</v>
      </c>
      <c r="C2319" s="3" t="s">
        <v>9</v>
      </c>
      <c r="D2319" s="3" t="s">
        <v>13</v>
      </c>
      <c r="E2319" s="4">
        <v>42768</v>
      </c>
      <c r="F2319" s="4"/>
      <c r="G2319" s="3" t="s">
        <v>29</v>
      </c>
      <c r="H2319" s="5">
        <v>29725</v>
      </c>
      <c r="I2319" s="3" t="str">
        <f>VLOOKUP(Tabela1[[#This Row],[Advogado]],Tabela2[],2,FALSE)</f>
        <v>Caio Brito</v>
      </c>
      <c r="J2319" s="17">
        <f>IF(Tabela1[[#This Row],[Data de conclusão]]="",NETWORKDAYS(Tabela1[[#This Row],[Data de entrada]],$J$2),NETWORKDAYS(Tabela1[[#This Row],[Data de entrada]],Tabela1[[#This Row],[Data de conclusão]]))</f>
        <v>334</v>
      </c>
      <c r="K2319" s="1"/>
    </row>
    <row r="2320" spans="2:11" x14ac:dyDescent="0.25">
      <c r="B2320" s="3">
        <v>2427</v>
      </c>
      <c r="C2320" s="3" t="s">
        <v>7</v>
      </c>
      <c r="D2320" s="3" t="s">
        <v>14</v>
      </c>
      <c r="E2320" s="4">
        <v>42477</v>
      </c>
      <c r="F2320" s="4"/>
      <c r="G2320" s="3" t="s">
        <v>29</v>
      </c>
      <c r="H2320" s="5">
        <v>43293</v>
      </c>
      <c r="I2320" s="3" t="str">
        <f>VLOOKUP(Tabela1[[#This Row],[Advogado]],Tabela2[],2,FALSE)</f>
        <v>Renê Amaranto</v>
      </c>
      <c r="J2320" s="17">
        <f>IF(Tabela1[[#This Row],[Data de conclusão]]="",NETWORKDAYS(Tabela1[[#This Row],[Data de entrada]],$J$2),NETWORKDAYS(Tabela1[[#This Row],[Data de entrada]],Tabela1[[#This Row],[Data de conclusão]]))</f>
        <v>542</v>
      </c>
      <c r="K2320" s="1"/>
    </row>
    <row r="2321" spans="2:11" x14ac:dyDescent="0.25">
      <c r="B2321" s="3">
        <v>2428</v>
      </c>
      <c r="C2321" s="3" t="s">
        <v>8</v>
      </c>
      <c r="D2321" s="3" t="s">
        <v>15</v>
      </c>
      <c r="E2321" s="4">
        <v>42371</v>
      </c>
      <c r="F2321" s="4"/>
      <c r="G2321" s="3" t="s">
        <v>29</v>
      </c>
      <c r="H2321" s="5">
        <v>37208</v>
      </c>
      <c r="I2321" s="3" t="str">
        <f>VLOOKUP(Tabela1[[#This Row],[Advogado]],Tabela2[],2,FALSE)</f>
        <v>Renê Amaranto</v>
      </c>
      <c r="J2321" s="17">
        <f>IF(Tabela1[[#This Row],[Data de conclusão]]="",NETWORKDAYS(Tabela1[[#This Row],[Data de entrada]],$J$2),NETWORKDAYS(Tabela1[[#This Row],[Data de entrada]],Tabela1[[#This Row],[Data de conclusão]]))</f>
        <v>617</v>
      </c>
      <c r="K2321" s="1"/>
    </row>
    <row r="2322" spans="2:11" x14ac:dyDescent="0.25">
      <c r="B2322" s="3">
        <v>2429</v>
      </c>
      <c r="C2322" s="3" t="s">
        <v>9</v>
      </c>
      <c r="D2322" s="3" t="s">
        <v>16</v>
      </c>
      <c r="E2322" s="4">
        <v>42795</v>
      </c>
      <c r="F2322" s="4"/>
      <c r="G2322" s="3" t="s">
        <v>29</v>
      </c>
      <c r="H2322" s="5">
        <v>7267</v>
      </c>
      <c r="I2322" s="3" t="str">
        <f>VLOOKUP(Tabela1[[#This Row],[Advogado]],Tabela2[],2,FALSE)</f>
        <v>Renê Amaranto</v>
      </c>
      <c r="J2322" s="17">
        <f>IF(Tabela1[[#This Row],[Data de conclusão]]="",NETWORKDAYS(Tabela1[[#This Row],[Data de entrada]],$J$2),NETWORKDAYS(Tabela1[[#This Row],[Data de entrada]],Tabela1[[#This Row],[Data de conclusão]]))</f>
        <v>315</v>
      </c>
      <c r="K2322" s="1"/>
    </row>
    <row r="2323" spans="2:11" x14ac:dyDescent="0.25">
      <c r="B2323" s="3">
        <v>2430</v>
      </c>
      <c r="C2323" s="3" t="s">
        <v>7</v>
      </c>
      <c r="D2323" s="3" t="s">
        <v>17</v>
      </c>
      <c r="E2323" s="4">
        <v>43057</v>
      </c>
      <c r="F2323" s="4"/>
      <c r="G2323" s="3" t="s">
        <v>29</v>
      </c>
      <c r="H2323" s="5">
        <v>16473</v>
      </c>
      <c r="I2323" s="3" t="str">
        <f>VLOOKUP(Tabela1[[#This Row],[Advogado]],Tabela2[],2,FALSE)</f>
        <v>Renê Amaranto</v>
      </c>
      <c r="J2323" s="17">
        <f>IF(Tabela1[[#This Row],[Data de conclusão]]="",NETWORKDAYS(Tabela1[[#This Row],[Data de entrada]],$J$2),NETWORKDAYS(Tabela1[[#This Row],[Data de entrada]],Tabela1[[#This Row],[Data de conclusão]]))</f>
        <v>127</v>
      </c>
      <c r="K2323" s="1"/>
    </row>
    <row r="2324" spans="2:11" x14ac:dyDescent="0.25">
      <c r="B2324" s="3">
        <v>2431</v>
      </c>
      <c r="C2324" s="3" t="s">
        <v>8</v>
      </c>
      <c r="D2324" s="3" t="s">
        <v>10</v>
      </c>
      <c r="E2324" s="4">
        <v>42722</v>
      </c>
      <c r="F2324" s="4"/>
      <c r="G2324" s="3" t="s">
        <v>29</v>
      </c>
      <c r="H2324" s="5">
        <v>32970</v>
      </c>
      <c r="I2324" s="3" t="str">
        <f>VLOOKUP(Tabela1[[#This Row],[Advogado]],Tabela2[],2,FALSE)</f>
        <v>Caio Brito</v>
      </c>
      <c r="J2324" s="17">
        <f>IF(Tabela1[[#This Row],[Data de conclusão]]="",NETWORKDAYS(Tabela1[[#This Row],[Data de entrada]],$J$2),NETWORKDAYS(Tabela1[[#This Row],[Data de entrada]],Tabela1[[#This Row],[Data de conclusão]]))</f>
        <v>367</v>
      </c>
      <c r="K2324" s="1"/>
    </row>
    <row r="2325" spans="2:11" x14ac:dyDescent="0.25">
      <c r="B2325" s="3">
        <v>2432</v>
      </c>
      <c r="C2325" s="3" t="s">
        <v>9</v>
      </c>
      <c r="D2325" s="3" t="s">
        <v>11</v>
      </c>
      <c r="E2325" s="4">
        <v>43036</v>
      </c>
      <c r="F2325" s="4"/>
      <c r="G2325" s="3" t="s">
        <v>29</v>
      </c>
      <c r="H2325" s="5">
        <v>56850</v>
      </c>
      <c r="I2325" s="3" t="str">
        <f>VLOOKUP(Tabela1[[#This Row],[Advogado]],Tabela2[],2,FALSE)</f>
        <v>Caio Brito</v>
      </c>
      <c r="J2325" s="17">
        <f>IF(Tabela1[[#This Row],[Data de conclusão]]="",NETWORKDAYS(Tabela1[[#This Row],[Data de entrada]],$J$2),NETWORKDAYS(Tabela1[[#This Row],[Data de entrada]],Tabela1[[#This Row],[Data de conclusão]]))</f>
        <v>142</v>
      </c>
      <c r="K2325" s="1"/>
    </row>
    <row r="2326" spans="2:11" x14ac:dyDescent="0.25">
      <c r="B2326" s="3">
        <v>2433</v>
      </c>
      <c r="C2326" s="3" t="s">
        <v>7</v>
      </c>
      <c r="D2326" s="3" t="s">
        <v>12</v>
      </c>
      <c r="E2326" s="4">
        <v>42594</v>
      </c>
      <c r="F2326" s="4"/>
      <c r="G2326" s="3" t="s">
        <v>29</v>
      </c>
      <c r="H2326" s="5">
        <v>13387</v>
      </c>
      <c r="I2326" s="3" t="str">
        <f>VLOOKUP(Tabela1[[#This Row],[Advogado]],Tabela2[],2,FALSE)</f>
        <v>Caio Brito</v>
      </c>
      <c r="J2326" s="17">
        <f>IF(Tabela1[[#This Row],[Data de conclusão]]="",NETWORKDAYS(Tabela1[[#This Row],[Data de entrada]],$J$2),NETWORKDAYS(Tabela1[[#This Row],[Data de entrada]],Tabela1[[#This Row],[Data de conclusão]]))</f>
        <v>458</v>
      </c>
      <c r="K2326" s="1"/>
    </row>
    <row r="2327" spans="2:11" x14ac:dyDescent="0.25">
      <c r="B2327" s="3">
        <v>2434</v>
      </c>
      <c r="C2327" s="3" t="s">
        <v>8</v>
      </c>
      <c r="D2327" s="3" t="s">
        <v>13</v>
      </c>
      <c r="E2327" s="4">
        <v>42798</v>
      </c>
      <c r="F2327" s="4"/>
      <c r="G2327" s="3" t="s">
        <v>29</v>
      </c>
      <c r="H2327" s="5">
        <v>34655</v>
      </c>
      <c r="I2327" s="3" t="str">
        <f>VLOOKUP(Tabela1[[#This Row],[Advogado]],Tabela2[],2,FALSE)</f>
        <v>Caio Brito</v>
      </c>
      <c r="J2327" s="17">
        <f>IF(Tabela1[[#This Row],[Data de conclusão]]="",NETWORKDAYS(Tabela1[[#This Row],[Data de entrada]],$J$2),NETWORKDAYS(Tabela1[[#This Row],[Data de entrada]],Tabela1[[#This Row],[Data de conclusão]]))</f>
        <v>312</v>
      </c>
      <c r="K2327" s="1"/>
    </row>
    <row r="2328" spans="2:11" x14ac:dyDescent="0.25">
      <c r="B2328" s="3">
        <v>2435</v>
      </c>
      <c r="C2328" s="3" t="s">
        <v>9</v>
      </c>
      <c r="D2328" s="3" t="s">
        <v>14</v>
      </c>
      <c r="E2328" s="4">
        <v>42605</v>
      </c>
      <c r="F2328" s="4"/>
      <c r="G2328" s="3" t="s">
        <v>29</v>
      </c>
      <c r="H2328" s="5">
        <v>10577</v>
      </c>
      <c r="I2328" s="3" t="str">
        <f>VLOOKUP(Tabela1[[#This Row],[Advogado]],Tabela2[],2,FALSE)</f>
        <v>Renê Amaranto</v>
      </c>
      <c r="J2328" s="17">
        <f>IF(Tabela1[[#This Row],[Data de conclusão]]="",NETWORKDAYS(Tabela1[[#This Row],[Data de entrada]],$J$2),NETWORKDAYS(Tabela1[[#This Row],[Data de entrada]],Tabela1[[#This Row],[Data de conclusão]]))</f>
        <v>451</v>
      </c>
      <c r="K2328" s="1"/>
    </row>
    <row r="2329" spans="2:11" x14ac:dyDescent="0.25">
      <c r="B2329" s="3">
        <v>2436</v>
      </c>
      <c r="C2329" s="3" t="s">
        <v>7</v>
      </c>
      <c r="D2329" s="3" t="s">
        <v>15</v>
      </c>
      <c r="E2329" s="4">
        <v>42870</v>
      </c>
      <c r="F2329" s="4">
        <v>42959</v>
      </c>
      <c r="G2329" s="3" t="s">
        <v>28</v>
      </c>
      <c r="H2329" s="5">
        <v>42583</v>
      </c>
      <c r="I2329" s="3" t="str">
        <f>VLOOKUP(Tabela1[[#This Row],[Advogado]],Tabela2[],2,FALSE)</f>
        <v>Renê Amaranto</v>
      </c>
      <c r="J2329" s="17">
        <f>IF(Tabela1[[#This Row],[Data de conclusão]]="",NETWORKDAYS(Tabela1[[#This Row],[Data de entrada]],$J$2),NETWORKDAYS(Tabela1[[#This Row],[Data de entrada]],Tabela1[[#This Row],[Data de conclusão]]))</f>
        <v>65</v>
      </c>
      <c r="K2329" s="1"/>
    </row>
    <row r="2330" spans="2:11" x14ac:dyDescent="0.25">
      <c r="B2330" s="3">
        <v>2437</v>
      </c>
      <c r="C2330" s="3" t="s">
        <v>8</v>
      </c>
      <c r="D2330" s="3" t="s">
        <v>16</v>
      </c>
      <c r="E2330" s="4">
        <v>42646</v>
      </c>
      <c r="F2330" s="4"/>
      <c r="G2330" s="3" t="s">
        <v>27</v>
      </c>
      <c r="H2330" s="5">
        <v>40257</v>
      </c>
      <c r="I2330" s="3" t="str">
        <f>VLOOKUP(Tabela1[[#This Row],[Advogado]],Tabela2[],2,FALSE)</f>
        <v>Renê Amaranto</v>
      </c>
      <c r="J2330" s="17">
        <f>IF(Tabela1[[#This Row],[Data de conclusão]]="",NETWORKDAYS(Tabela1[[#This Row],[Data de entrada]],$J$2),NETWORKDAYS(Tabela1[[#This Row],[Data de entrada]],Tabela1[[#This Row],[Data de conclusão]]))</f>
        <v>422</v>
      </c>
      <c r="K2330" s="1"/>
    </row>
    <row r="2331" spans="2:11" x14ac:dyDescent="0.25">
      <c r="B2331" s="3">
        <v>2438</v>
      </c>
      <c r="C2331" s="3" t="s">
        <v>9</v>
      </c>
      <c r="D2331" s="3" t="s">
        <v>17</v>
      </c>
      <c r="E2331" s="4">
        <v>42928</v>
      </c>
      <c r="F2331" s="4"/>
      <c r="G2331" s="3" t="s">
        <v>29</v>
      </c>
      <c r="H2331" s="5">
        <v>34274</v>
      </c>
      <c r="I2331" s="3" t="str">
        <f>VLOOKUP(Tabela1[[#This Row],[Advogado]],Tabela2[],2,FALSE)</f>
        <v>Renê Amaranto</v>
      </c>
      <c r="J2331" s="17">
        <f>IF(Tabela1[[#This Row],[Data de conclusão]]="",NETWORKDAYS(Tabela1[[#This Row],[Data de entrada]],$J$2),NETWORKDAYS(Tabela1[[#This Row],[Data de entrada]],Tabela1[[#This Row],[Data de conclusão]]))</f>
        <v>220</v>
      </c>
      <c r="K2331" s="1"/>
    </row>
    <row r="2332" spans="2:11" x14ac:dyDescent="0.25">
      <c r="B2332" s="3">
        <v>2439</v>
      </c>
      <c r="C2332" s="3" t="s">
        <v>7</v>
      </c>
      <c r="D2332" s="3" t="s">
        <v>10</v>
      </c>
      <c r="E2332" s="4">
        <v>42902</v>
      </c>
      <c r="F2332" s="4"/>
      <c r="G2332" s="3" t="s">
        <v>29</v>
      </c>
      <c r="H2332" s="5">
        <v>33313</v>
      </c>
      <c r="I2332" s="3" t="str">
        <f>VLOOKUP(Tabela1[[#This Row],[Advogado]],Tabela2[],2,FALSE)</f>
        <v>Caio Brito</v>
      </c>
      <c r="J2332" s="17">
        <f>IF(Tabela1[[#This Row],[Data de conclusão]]="",NETWORKDAYS(Tabela1[[#This Row],[Data de entrada]],$J$2),NETWORKDAYS(Tabela1[[#This Row],[Data de entrada]],Tabela1[[#This Row],[Data de conclusão]]))</f>
        <v>238</v>
      </c>
      <c r="K2332" s="1"/>
    </row>
    <row r="2333" spans="2:11" x14ac:dyDescent="0.25">
      <c r="B2333" s="3">
        <v>2440</v>
      </c>
      <c r="C2333" s="3" t="s">
        <v>8</v>
      </c>
      <c r="D2333" s="3" t="s">
        <v>11</v>
      </c>
      <c r="E2333" s="4">
        <v>42912</v>
      </c>
      <c r="F2333" s="4"/>
      <c r="G2333" s="3" t="s">
        <v>29</v>
      </c>
      <c r="H2333" s="5">
        <v>42662</v>
      </c>
      <c r="I2333" s="3" t="str">
        <f>VLOOKUP(Tabela1[[#This Row],[Advogado]],Tabela2[],2,FALSE)</f>
        <v>Caio Brito</v>
      </c>
      <c r="J2333" s="17">
        <f>IF(Tabela1[[#This Row],[Data de conclusão]]="",NETWORKDAYS(Tabela1[[#This Row],[Data de entrada]],$J$2),NETWORKDAYS(Tabela1[[#This Row],[Data de entrada]],Tabela1[[#This Row],[Data de conclusão]]))</f>
        <v>232</v>
      </c>
      <c r="K2333" s="1"/>
    </row>
    <row r="2334" spans="2:11" x14ac:dyDescent="0.25">
      <c r="B2334" s="3">
        <v>2441</v>
      </c>
      <c r="C2334" s="3" t="s">
        <v>9</v>
      </c>
      <c r="D2334" s="3" t="s">
        <v>12</v>
      </c>
      <c r="E2334" s="4">
        <v>42949</v>
      </c>
      <c r="F2334" s="4"/>
      <c r="G2334" s="3" t="s">
        <v>29</v>
      </c>
      <c r="H2334" s="5">
        <v>5958</v>
      </c>
      <c r="I2334" s="3" t="str">
        <f>VLOOKUP(Tabela1[[#This Row],[Advogado]],Tabela2[],2,FALSE)</f>
        <v>Caio Brito</v>
      </c>
      <c r="J2334" s="17">
        <f>IF(Tabela1[[#This Row],[Data de conclusão]]="",NETWORKDAYS(Tabela1[[#This Row],[Data de entrada]],$J$2),NETWORKDAYS(Tabela1[[#This Row],[Data de entrada]],Tabela1[[#This Row],[Data de conclusão]]))</f>
        <v>205</v>
      </c>
      <c r="K2334" s="1"/>
    </row>
    <row r="2335" spans="2:11" x14ac:dyDescent="0.25">
      <c r="B2335" s="3">
        <v>2442</v>
      </c>
      <c r="C2335" s="3" t="s">
        <v>7</v>
      </c>
      <c r="D2335" s="3" t="s">
        <v>13</v>
      </c>
      <c r="E2335" s="4">
        <v>42723</v>
      </c>
      <c r="F2335" s="4"/>
      <c r="G2335" s="3" t="s">
        <v>29</v>
      </c>
      <c r="H2335" s="5">
        <v>7315</v>
      </c>
      <c r="I2335" s="3" t="str">
        <f>VLOOKUP(Tabela1[[#This Row],[Advogado]],Tabela2[],2,FALSE)</f>
        <v>Caio Brito</v>
      </c>
      <c r="J2335" s="17">
        <f>IF(Tabela1[[#This Row],[Data de conclusão]]="",NETWORKDAYS(Tabela1[[#This Row],[Data de entrada]],$J$2),NETWORKDAYS(Tabela1[[#This Row],[Data de entrada]],Tabela1[[#This Row],[Data de conclusão]]))</f>
        <v>367</v>
      </c>
      <c r="K2335" s="1"/>
    </row>
    <row r="2336" spans="2:11" x14ac:dyDescent="0.25">
      <c r="B2336" s="3">
        <v>2443</v>
      </c>
      <c r="C2336" s="3" t="s">
        <v>8</v>
      </c>
      <c r="D2336" s="3" t="s">
        <v>14</v>
      </c>
      <c r="E2336" s="4">
        <v>42943</v>
      </c>
      <c r="F2336" s="4"/>
      <c r="G2336" s="3" t="s">
        <v>29</v>
      </c>
      <c r="H2336" s="5">
        <v>6292</v>
      </c>
      <c r="I2336" s="3" t="str">
        <f>VLOOKUP(Tabela1[[#This Row],[Advogado]],Tabela2[],2,FALSE)</f>
        <v>Renê Amaranto</v>
      </c>
      <c r="J2336" s="17">
        <f>IF(Tabela1[[#This Row],[Data de conclusão]]="",NETWORKDAYS(Tabela1[[#This Row],[Data de entrada]],$J$2),NETWORKDAYS(Tabela1[[#This Row],[Data de entrada]],Tabela1[[#This Row],[Data de conclusão]]))</f>
        <v>209</v>
      </c>
      <c r="K2336" s="1"/>
    </row>
    <row r="2337" spans="2:11" x14ac:dyDescent="0.25">
      <c r="B2337" s="3">
        <v>2444</v>
      </c>
      <c r="C2337" s="3" t="s">
        <v>9</v>
      </c>
      <c r="D2337" s="3" t="s">
        <v>15</v>
      </c>
      <c r="E2337" s="4">
        <v>42976</v>
      </c>
      <c r="F2337" s="4"/>
      <c r="G2337" s="3" t="s">
        <v>29</v>
      </c>
      <c r="H2337" s="5">
        <v>13073</v>
      </c>
      <c r="I2337" s="3" t="str">
        <f>VLOOKUP(Tabela1[[#This Row],[Advogado]],Tabela2[],2,FALSE)</f>
        <v>Renê Amaranto</v>
      </c>
      <c r="J2337" s="17">
        <f>IF(Tabela1[[#This Row],[Data de conclusão]]="",NETWORKDAYS(Tabela1[[#This Row],[Data de entrada]],$J$2),NETWORKDAYS(Tabela1[[#This Row],[Data de entrada]],Tabela1[[#This Row],[Data de conclusão]]))</f>
        <v>186</v>
      </c>
      <c r="K2337" s="1"/>
    </row>
    <row r="2338" spans="2:11" x14ac:dyDescent="0.25">
      <c r="B2338" s="3">
        <v>2445</v>
      </c>
      <c r="C2338" s="3" t="s">
        <v>7</v>
      </c>
      <c r="D2338" s="3" t="s">
        <v>16</v>
      </c>
      <c r="E2338" s="4">
        <v>42665</v>
      </c>
      <c r="F2338" s="4"/>
      <c r="G2338" s="3" t="s">
        <v>29</v>
      </c>
      <c r="H2338" s="5">
        <v>45757</v>
      </c>
      <c r="I2338" s="3" t="str">
        <f>VLOOKUP(Tabela1[[#This Row],[Advogado]],Tabela2[],2,FALSE)</f>
        <v>Renê Amaranto</v>
      </c>
      <c r="J2338" s="17">
        <f>IF(Tabela1[[#This Row],[Data de conclusão]]="",NETWORKDAYS(Tabela1[[#This Row],[Data de entrada]],$J$2),NETWORKDAYS(Tabela1[[#This Row],[Data de entrada]],Tabela1[[#This Row],[Data de conclusão]]))</f>
        <v>407</v>
      </c>
      <c r="K2338" s="1"/>
    </row>
    <row r="2339" spans="2:11" x14ac:dyDescent="0.25">
      <c r="B2339" s="3">
        <v>2446</v>
      </c>
      <c r="C2339" s="3" t="s">
        <v>8</v>
      </c>
      <c r="D2339" s="3" t="s">
        <v>17</v>
      </c>
      <c r="E2339" s="4">
        <v>42793</v>
      </c>
      <c r="F2339" s="4"/>
      <c r="G2339" s="3" t="s">
        <v>29</v>
      </c>
      <c r="H2339" s="5">
        <v>21946</v>
      </c>
      <c r="I2339" s="3" t="str">
        <f>VLOOKUP(Tabela1[[#This Row],[Advogado]],Tabela2[],2,FALSE)</f>
        <v>Renê Amaranto</v>
      </c>
      <c r="J2339" s="17">
        <f>IF(Tabela1[[#This Row],[Data de conclusão]]="",NETWORKDAYS(Tabela1[[#This Row],[Data de entrada]],$J$2),NETWORKDAYS(Tabela1[[#This Row],[Data de entrada]],Tabela1[[#This Row],[Data de conclusão]]))</f>
        <v>317</v>
      </c>
      <c r="K2339" s="1"/>
    </row>
    <row r="2340" spans="2:11" x14ac:dyDescent="0.25">
      <c r="B2340" s="3">
        <v>2447</v>
      </c>
      <c r="C2340" s="3" t="s">
        <v>9</v>
      </c>
      <c r="D2340" s="3" t="s">
        <v>10</v>
      </c>
      <c r="E2340" s="4">
        <v>42866</v>
      </c>
      <c r="F2340" s="4"/>
      <c r="G2340" s="3" t="s">
        <v>29</v>
      </c>
      <c r="H2340" s="5">
        <v>47093</v>
      </c>
      <c r="I2340" s="3" t="str">
        <f>VLOOKUP(Tabela1[[#This Row],[Advogado]],Tabela2[],2,FALSE)</f>
        <v>Caio Brito</v>
      </c>
      <c r="J2340" s="17">
        <f>IF(Tabela1[[#This Row],[Data de conclusão]]="",NETWORKDAYS(Tabela1[[#This Row],[Data de entrada]],$J$2),NETWORKDAYS(Tabela1[[#This Row],[Data de entrada]],Tabela1[[#This Row],[Data de conclusão]]))</f>
        <v>264</v>
      </c>
      <c r="K2340" s="1"/>
    </row>
    <row r="2341" spans="2:11" x14ac:dyDescent="0.25">
      <c r="B2341" s="3">
        <v>2448</v>
      </c>
      <c r="C2341" s="3" t="s">
        <v>7</v>
      </c>
      <c r="D2341" s="3" t="s">
        <v>11</v>
      </c>
      <c r="E2341" s="4">
        <v>43042</v>
      </c>
      <c r="F2341" s="4"/>
      <c r="G2341" s="3" t="s">
        <v>29</v>
      </c>
      <c r="H2341" s="5">
        <v>40550</v>
      </c>
      <c r="I2341" s="3" t="str">
        <f>VLOOKUP(Tabela1[[#This Row],[Advogado]],Tabela2[],2,FALSE)</f>
        <v>Caio Brito</v>
      </c>
      <c r="J2341" s="17">
        <f>IF(Tabela1[[#This Row],[Data de conclusão]]="",NETWORKDAYS(Tabela1[[#This Row],[Data de entrada]],$J$2),NETWORKDAYS(Tabela1[[#This Row],[Data de entrada]],Tabela1[[#This Row],[Data de conclusão]]))</f>
        <v>138</v>
      </c>
      <c r="K2341" s="1"/>
    </row>
    <row r="2342" spans="2:11" x14ac:dyDescent="0.25">
      <c r="B2342" s="3">
        <v>2449</v>
      </c>
      <c r="C2342" s="3" t="s">
        <v>8</v>
      </c>
      <c r="D2342" s="3" t="s">
        <v>12</v>
      </c>
      <c r="E2342" s="4">
        <v>42763</v>
      </c>
      <c r="F2342" s="4">
        <v>42863</v>
      </c>
      <c r="G2342" s="3" t="s">
        <v>28</v>
      </c>
      <c r="H2342" s="5">
        <v>3893</v>
      </c>
      <c r="I2342" s="3" t="str">
        <f>VLOOKUP(Tabela1[[#This Row],[Advogado]],Tabela2[],2,FALSE)</f>
        <v>Caio Brito</v>
      </c>
      <c r="J2342" s="17">
        <f>IF(Tabela1[[#This Row],[Data de conclusão]]="",NETWORKDAYS(Tabela1[[#This Row],[Data de entrada]],$J$2),NETWORKDAYS(Tabela1[[#This Row],[Data de entrada]],Tabela1[[#This Row],[Data de conclusão]]))</f>
        <v>71</v>
      </c>
      <c r="K2342" s="1"/>
    </row>
    <row r="2343" spans="2:11" x14ac:dyDescent="0.25">
      <c r="B2343" s="3">
        <v>2450</v>
      </c>
      <c r="C2343" s="3" t="s">
        <v>9</v>
      </c>
      <c r="D2343" s="3" t="s">
        <v>13</v>
      </c>
      <c r="E2343" s="4">
        <v>42978</v>
      </c>
      <c r="F2343" s="4"/>
      <c r="G2343" s="3" t="s">
        <v>27</v>
      </c>
      <c r="H2343" s="5">
        <v>50827</v>
      </c>
      <c r="I2343" s="3" t="str">
        <f>VLOOKUP(Tabela1[[#This Row],[Advogado]],Tabela2[],2,FALSE)</f>
        <v>Caio Brito</v>
      </c>
      <c r="J2343" s="17">
        <f>IF(Tabela1[[#This Row],[Data de conclusão]]="",NETWORKDAYS(Tabela1[[#This Row],[Data de entrada]],$J$2),NETWORKDAYS(Tabela1[[#This Row],[Data de entrada]],Tabela1[[#This Row],[Data de conclusão]]))</f>
        <v>184</v>
      </c>
      <c r="K2343" s="1"/>
    </row>
    <row r="2344" spans="2:11" x14ac:dyDescent="0.25">
      <c r="B2344" s="3">
        <v>2451</v>
      </c>
      <c r="C2344" s="3" t="s">
        <v>7</v>
      </c>
      <c r="D2344" s="3" t="s">
        <v>14</v>
      </c>
      <c r="E2344" s="4">
        <v>42756</v>
      </c>
      <c r="F2344" s="4"/>
      <c r="G2344" s="3" t="s">
        <v>29</v>
      </c>
      <c r="H2344" s="5">
        <v>12046</v>
      </c>
      <c r="I2344" s="3" t="str">
        <f>VLOOKUP(Tabela1[[#This Row],[Advogado]],Tabela2[],2,FALSE)</f>
        <v>Renê Amaranto</v>
      </c>
      <c r="J2344" s="17">
        <f>IF(Tabela1[[#This Row],[Data de conclusão]]="",NETWORKDAYS(Tabela1[[#This Row],[Data de entrada]],$J$2),NETWORKDAYS(Tabela1[[#This Row],[Data de entrada]],Tabela1[[#This Row],[Data de conclusão]]))</f>
        <v>342</v>
      </c>
      <c r="K2344" s="1"/>
    </row>
    <row r="2345" spans="2:11" x14ac:dyDescent="0.25">
      <c r="B2345" s="3">
        <v>2452</v>
      </c>
      <c r="C2345" s="3" t="s">
        <v>8</v>
      </c>
      <c r="D2345" s="3" t="s">
        <v>15</v>
      </c>
      <c r="E2345" s="4">
        <v>42772</v>
      </c>
      <c r="F2345" s="4"/>
      <c r="G2345" s="3" t="s">
        <v>29</v>
      </c>
      <c r="H2345" s="5">
        <v>58966</v>
      </c>
      <c r="I2345" s="3" t="str">
        <f>VLOOKUP(Tabela1[[#This Row],[Advogado]],Tabela2[],2,FALSE)</f>
        <v>Renê Amaranto</v>
      </c>
      <c r="J2345" s="17">
        <f>IF(Tabela1[[#This Row],[Data de conclusão]]="",NETWORKDAYS(Tabela1[[#This Row],[Data de entrada]],$J$2),NETWORKDAYS(Tabela1[[#This Row],[Data de entrada]],Tabela1[[#This Row],[Data de conclusão]]))</f>
        <v>332</v>
      </c>
      <c r="K2345" s="1"/>
    </row>
    <row r="2346" spans="2:11" x14ac:dyDescent="0.25">
      <c r="B2346" s="3">
        <v>2453</v>
      </c>
      <c r="C2346" s="3" t="s">
        <v>9</v>
      </c>
      <c r="D2346" s="3" t="s">
        <v>16</v>
      </c>
      <c r="E2346" s="4">
        <v>42847</v>
      </c>
      <c r="F2346" s="4"/>
      <c r="G2346" s="3" t="s">
        <v>29</v>
      </c>
      <c r="H2346" s="5">
        <v>2341</v>
      </c>
      <c r="I2346" s="3" t="str">
        <f>VLOOKUP(Tabela1[[#This Row],[Advogado]],Tabela2[],2,FALSE)</f>
        <v>Renê Amaranto</v>
      </c>
      <c r="J2346" s="17">
        <f>IF(Tabela1[[#This Row],[Data de conclusão]]="",NETWORKDAYS(Tabela1[[#This Row],[Data de entrada]],$J$2),NETWORKDAYS(Tabela1[[#This Row],[Data de entrada]],Tabela1[[#This Row],[Data de conclusão]]))</f>
        <v>277</v>
      </c>
      <c r="K2346" s="1"/>
    </row>
    <row r="2347" spans="2:11" x14ac:dyDescent="0.25">
      <c r="B2347" s="3">
        <v>2454</v>
      </c>
      <c r="C2347" s="3" t="s">
        <v>7</v>
      </c>
      <c r="D2347" s="3" t="s">
        <v>17</v>
      </c>
      <c r="E2347" s="4">
        <v>42995</v>
      </c>
      <c r="F2347" s="4"/>
      <c r="G2347" s="3" t="s">
        <v>29</v>
      </c>
      <c r="H2347" s="5">
        <v>50064</v>
      </c>
      <c r="I2347" s="3" t="str">
        <f>VLOOKUP(Tabela1[[#This Row],[Advogado]],Tabela2[],2,FALSE)</f>
        <v>Renê Amaranto</v>
      </c>
      <c r="J2347" s="17">
        <f>IF(Tabela1[[#This Row],[Data de conclusão]]="",NETWORKDAYS(Tabela1[[#This Row],[Data de entrada]],$J$2),NETWORKDAYS(Tabela1[[#This Row],[Data de entrada]],Tabela1[[#This Row],[Data de conclusão]]))</f>
        <v>172</v>
      </c>
      <c r="K2347" s="1"/>
    </row>
    <row r="2348" spans="2:11" x14ac:dyDescent="0.25">
      <c r="B2348" s="3">
        <v>2455</v>
      </c>
      <c r="C2348" s="3" t="s">
        <v>8</v>
      </c>
      <c r="D2348" s="3" t="s">
        <v>10</v>
      </c>
      <c r="E2348" s="4">
        <v>42688</v>
      </c>
      <c r="F2348" s="4"/>
      <c r="G2348" s="3" t="s">
        <v>29</v>
      </c>
      <c r="H2348" s="5">
        <v>16252</v>
      </c>
      <c r="I2348" s="3" t="str">
        <f>VLOOKUP(Tabela1[[#This Row],[Advogado]],Tabela2[],2,FALSE)</f>
        <v>Caio Brito</v>
      </c>
      <c r="J2348" s="17">
        <f>IF(Tabela1[[#This Row],[Data de conclusão]]="",NETWORKDAYS(Tabela1[[#This Row],[Data de entrada]],$J$2),NETWORKDAYS(Tabela1[[#This Row],[Data de entrada]],Tabela1[[#This Row],[Data de conclusão]]))</f>
        <v>392</v>
      </c>
      <c r="K2348" s="1"/>
    </row>
    <row r="2349" spans="2:11" x14ac:dyDescent="0.25">
      <c r="B2349" s="3">
        <v>2456</v>
      </c>
      <c r="C2349" s="3" t="s">
        <v>9</v>
      </c>
      <c r="D2349" s="3" t="s">
        <v>11</v>
      </c>
      <c r="E2349" s="4">
        <v>42958</v>
      </c>
      <c r="F2349" s="4"/>
      <c r="G2349" s="3" t="s">
        <v>29</v>
      </c>
      <c r="H2349" s="5">
        <v>27737</v>
      </c>
      <c r="I2349" s="3" t="str">
        <f>VLOOKUP(Tabela1[[#This Row],[Advogado]],Tabela2[],2,FALSE)</f>
        <v>Caio Brito</v>
      </c>
      <c r="J2349" s="17">
        <f>IF(Tabela1[[#This Row],[Data de conclusão]]="",NETWORKDAYS(Tabela1[[#This Row],[Data de entrada]],$J$2),NETWORKDAYS(Tabela1[[#This Row],[Data de entrada]],Tabela1[[#This Row],[Data de conclusão]]))</f>
        <v>198</v>
      </c>
      <c r="K2349" s="1"/>
    </row>
    <row r="2350" spans="2:11" x14ac:dyDescent="0.25">
      <c r="B2350" s="3">
        <v>2457</v>
      </c>
      <c r="C2350" s="3" t="s">
        <v>7</v>
      </c>
      <c r="D2350" s="3" t="s">
        <v>12</v>
      </c>
      <c r="E2350" s="4">
        <v>42780</v>
      </c>
      <c r="F2350" s="4"/>
      <c r="G2350" s="3" t="s">
        <v>29</v>
      </c>
      <c r="H2350" s="5">
        <v>55471</v>
      </c>
      <c r="I2350" s="3" t="str">
        <f>VLOOKUP(Tabela1[[#This Row],[Advogado]],Tabela2[],2,FALSE)</f>
        <v>Caio Brito</v>
      </c>
      <c r="J2350" s="17">
        <f>IF(Tabela1[[#This Row],[Data de conclusão]]="",NETWORKDAYS(Tabela1[[#This Row],[Data de entrada]],$J$2),NETWORKDAYS(Tabela1[[#This Row],[Data de entrada]],Tabela1[[#This Row],[Data de conclusão]]))</f>
        <v>326</v>
      </c>
      <c r="K2350" s="1"/>
    </row>
    <row r="2351" spans="2:11" x14ac:dyDescent="0.25">
      <c r="B2351" s="3">
        <v>2458</v>
      </c>
      <c r="C2351" s="3" t="s">
        <v>8</v>
      </c>
      <c r="D2351" s="3" t="s">
        <v>13</v>
      </c>
      <c r="E2351" s="4">
        <v>42999</v>
      </c>
      <c r="F2351" s="4"/>
      <c r="G2351" s="3" t="s">
        <v>29</v>
      </c>
      <c r="H2351" s="5">
        <v>15641</v>
      </c>
      <c r="I2351" s="3" t="str">
        <f>VLOOKUP(Tabela1[[#This Row],[Advogado]],Tabela2[],2,FALSE)</f>
        <v>Caio Brito</v>
      </c>
      <c r="J2351" s="17">
        <f>IF(Tabela1[[#This Row],[Data de conclusão]]="",NETWORKDAYS(Tabela1[[#This Row],[Data de entrada]],$J$2),NETWORKDAYS(Tabela1[[#This Row],[Data de entrada]],Tabela1[[#This Row],[Data de conclusão]]))</f>
        <v>169</v>
      </c>
      <c r="K2351" s="1"/>
    </row>
    <row r="2352" spans="2:11" x14ac:dyDescent="0.25">
      <c r="B2352" s="3">
        <v>2459</v>
      </c>
      <c r="C2352" s="3" t="s">
        <v>9</v>
      </c>
      <c r="D2352" s="3" t="s">
        <v>14</v>
      </c>
      <c r="E2352" s="4">
        <v>42853</v>
      </c>
      <c r="F2352" s="4"/>
      <c r="G2352" s="3" t="s">
        <v>29</v>
      </c>
      <c r="H2352" s="5">
        <v>40200</v>
      </c>
      <c r="I2352" s="3" t="str">
        <f>VLOOKUP(Tabela1[[#This Row],[Advogado]],Tabela2[],2,FALSE)</f>
        <v>Renê Amaranto</v>
      </c>
      <c r="J2352" s="17">
        <f>IF(Tabela1[[#This Row],[Data de conclusão]]="",NETWORKDAYS(Tabela1[[#This Row],[Data de entrada]],$J$2),NETWORKDAYS(Tabela1[[#This Row],[Data de entrada]],Tabela1[[#This Row],[Data de conclusão]]))</f>
        <v>273</v>
      </c>
      <c r="K2352" s="1"/>
    </row>
    <row r="2353" spans="2:11" x14ac:dyDescent="0.25">
      <c r="B2353" s="3">
        <v>2460</v>
      </c>
      <c r="C2353" s="3" t="s">
        <v>7</v>
      </c>
      <c r="D2353" s="3" t="s">
        <v>15</v>
      </c>
      <c r="E2353" s="4">
        <v>42611</v>
      </c>
      <c r="F2353" s="4"/>
      <c r="G2353" s="3" t="s">
        <v>29</v>
      </c>
      <c r="H2353" s="5">
        <v>54731</v>
      </c>
      <c r="I2353" s="3" t="str">
        <f>VLOOKUP(Tabela1[[#This Row],[Advogado]],Tabela2[],2,FALSE)</f>
        <v>Renê Amaranto</v>
      </c>
      <c r="J2353" s="17">
        <f>IF(Tabela1[[#This Row],[Data de conclusão]]="",NETWORKDAYS(Tabela1[[#This Row],[Data de entrada]],$J$2),NETWORKDAYS(Tabela1[[#This Row],[Data de entrada]],Tabela1[[#This Row],[Data de conclusão]]))</f>
        <v>447</v>
      </c>
      <c r="K2353" s="1"/>
    </row>
    <row r="2354" spans="2:11" x14ac:dyDescent="0.25">
      <c r="B2354" s="3">
        <v>2461</v>
      </c>
      <c r="C2354" s="3" t="s">
        <v>8</v>
      </c>
      <c r="D2354" s="3" t="s">
        <v>16</v>
      </c>
      <c r="E2354" s="4">
        <v>42777</v>
      </c>
      <c r="F2354" s="4"/>
      <c r="G2354" s="3" t="s">
        <v>29</v>
      </c>
      <c r="H2354" s="5">
        <v>43290</v>
      </c>
      <c r="I2354" s="3" t="str">
        <f>VLOOKUP(Tabela1[[#This Row],[Advogado]],Tabela2[],2,FALSE)</f>
        <v>Renê Amaranto</v>
      </c>
      <c r="J2354" s="17">
        <f>IF(Tabela1[[#This Row],[Data de conclusão]]="",NETWORKDAYS(Tabela1[[#This Row],[Data de entrada]],$J$2),NETWORKDAYS(Tabela1[[#This Row],[Data de entrada]],Tabela1[[#This Row],[Data de conclusão]]))</f>
        <v>327</v>
      </c>
      <c r="K2354" s="1"/>
    </row>
    <row r="2355" spans="2:11" x14ac:dyDescent="0.25">
      <c r="B2355" s="3">
        <v>2462</v>
      </c>
      <c r="C2355" s="3" t="s">
        <v>9</v>
      </c>
      <c r="D2355" s="3" t="s">
        <v>17</v>
      </c>
      <c r="E2355" s="4">
        <v>42406</v>
      </c>
      <c r="F2355" s="4">
        <v>42441</v>
      </c>
      <c r="G2355" s="3" t="s">
        <v>28</v>
      </c>
      <c r="H2355" s="5">
        <v>26681</v>
      </c>
      <c r="I2355" s="3" t="str">
        <f>VLOOKUP(Tabela1[[#This Row],[Advogado]],Tabela2[],2,FALSE)</f>
        <v>Renê Amaranto</v>
      </c>
      <c r="J2355" s="17">
        <f>IF(Tabela1[[#This Row],[Data de conclusão]]="",NETWORKDAYS(Tabela1[[#This Row],[Data de entrada]],$J$2),NETWORKDAYS(Tabela1[[#This Row],[Data de entrada]],Tabela1[[#This Row],[Data de conclusão]]))</f>
        <v>25</v>
      </c>
      <c r="K2355" s="1"/>
    </row>
    <row r="2356" spans="2:11" x14ac:dyDescent="0.25">
      <c r="B2356" s="3">
        <v>2463</v>
      </c>
      <c r="C2356" s="3" t="s">
        <v>7</v>
      </c>
      <c r="D2356" s="3" t="s">
        <v>10</v>
      </c>
      <c r="E2356" s="4">
        <v>42424</v>
      </c>
      <c r="F2356" s="4"/>
      <c r="G2356" s="3" t="s">
        <v>27</v>
      </c>
      <c r="H2356" s="5">
        <v>14117</v>
      </c>
      <c r="I2356" s="3" t="str">
        <f>VLOOKUP(Tabela1[[#This Row],[Advogado]],Tabela2[],2,FALSE)</f>
        <v>Caio Brito</v>
      </c>
      <c r="J2356" s="17">
        <f>IF(Tabela1[[#This Row],[Data de conclusão]]="",NETWORKDAYS(Tabela1[[#This Row],[Data de entrada]],$J$2),NETWORKDAYS(Tabela1[[#This Row],[Data de entrada]],Tabela1[[#This Row],[Data de conclusão]]))</f>
        <v>580</v>
      </c>
      <c r="K2356" s="1"/>
    </row>
    <row r="2357" spans="2:11" x14ac:dyDescent="0.25">
      <c r="B2357" s="3">
        <v>2464</v>
      </c>
      <c r="C2357" s="3" t="s">
        <v>8</v>
      </c>
      <c r="D2357" s="3" t="s">
        <v>11</v>
      </c>
      <c r="E2357" s="4">
        <v>43083</v>
      </c>
      <c r="F2357" s="4"/>
      <c r="G2357" s="3" t="s">
        <v>29</v>
      </c>
      <c r="H2357" s="5">
        <v>18046</v>
      </c>
      <c r="I2357" s="3" t="str">
        <f>VLOOKUP(Tabela1[[#This Row],[Advogado]],Tabela2[],2,FALSE)</f>
        <v>Caio Brito</v>
      </c>
      <c r="J2357" s="17">
        <f>IF(Tabela1[[#This Row],[Data de conclusão]]="",NETWORKDAYS(Tabela1[[#This Row],[Data de entrada]],$J$2),NETWORKDAYS(Tabela1[[#This Row],[Data de entrada]],Tabela1[[#This Row],[Data de conclusão]]))</f>
        <v>109</v>
      </c>
      <c r="K2357" s="1"/>
    </row>
    <row r="2358" spans="2:11" x14ac:dyDescent="0.25">
      <c r="B2358" s="3">
        <v>2465</v>
      </c>
      <c r="C2358" s="3" t="s">
        <v>9</v>
      </c>
      <c r="D2358" s="3" t="s">
        <v>12</v>
      </c>
      <c r="E2358" s="4">
        <v>42777</v>
      </c>
      <c r="F2358" s="4"/>
      <c r="G2358" s="3" t="s">
        <v>29</v>
      </c>
      <c r="H2358" s="5">
        <v>37715</v>
      </c>
      <c r="I2358" s="3" t="str">
        <f>VLOOKUP(Tabela1[[#This Row],[Advogado]],Tabela2[],2,FALSE)</f>
        <v>Caio Brito</v>
      </c>
      <c r="J2358" s="17">
        <f>IF(Tabela1[[#This Row],[Data de conclusão]]="",NETWORKDAYS(Tabela1[[#This Row],[Data de entrada]],$J$2),NETWORKDAYS(Tabela1[[#This Row],[Data de entrada]],Tabela1[[#This Row],[Data de conclusão]]))</f>
        <v>327</v>
      </c>
      <c r="K2358" s="1"/>
    </row>
    <row r="2359" spans="2:11" x14ac:dyDescent="0.25">
      <c r="B2359" s="3">
        <v>2466</v>
      </c>
      <c r="C2359" s="3" t="s">
        <v>7</v>
      </c>
      <c r="D2359" s="3" t="s">
        <v>13</v>
      </c>
      <c r="E2359" s="4">
        <v>42923</v>
      </c>
      <c r="F2359" s="4"/>
      <c r="G2359" s="3" t="s">
        <v>29</v>
      </c>
      <c r="H2359" s="5">
        <v>10116</v>
      </c>
      <c r="I2359" s="3" t="str">
        <f>VLOOKUP(Tabela1[[#This Row],[Advogado]],Tabela2[],2,FALSE)</f>
        <v>Caio Brito</v>
      </c>
      <c r="J2359" s="17">
        <f>IF(Tabela1[[#This Row],[Data de conclusão]]="",NETWORKDAYS(Tabela1[[#This Row],[Data de entrada]],$J$2),NETWORKDAYS(Tabela1[[#This Row],[Data de entrada]],Tabela1[[#This Row],[Data de conclusão]]))</f>
        <v>223</v>
      </c>
      <c r="K2359" s="1"/>
    </row>
    <row r="2360" spans="2:11" x14ac:dyDescent="0.25">
      <c r="B2360" s="3">
        <v>2467</v>
      </c>
      <c r="C2360" s="3" t="s">
        <v>8</v>
      </c>
      <c r="D2360" s="3" t="s">
        <v>14</v>
      </c>
      <c r="E2360" s="4">
        <v>42813</v>
      </c>
      <c r="F2360" s="4"/>
      <c r="G2360" s="3" t="s">
        <v>29</v>
      </c>
      <c r="H2360" s="5">
        <v>10206</v>
      </c>
      <c r="I2360" s="3" t="str">
        <f>VLOOKUP(Tabela1[[#This Row],[Advogado]],Tabela2[],2,FALSE)</f>
        <v>Renê Amaranto</v>
      </c>
      <c r="J2360" s="17">
        <f>IF(Tabela1[[#This Row],[Data de conclusão]]="",NETWORKDAYS(Tabela1[[#This Row],[Data de entrada]],$J$2),NETWORKDAYS(Tabela1[[#This Row],[Data de entrada]],Tabela1[[#This Row],[Data de conclusão]]))</f>
        <v>302</v>
      </c>
      <c r="K2360" s="1"/>
    </row>
    <row r="2361" spans="2:11" x14ac:dyDescent="0.25">
      <c r="B2361" s="3">
        <v>2468</v>
      </c>
      <c r="C2361" s="3" t="s">
        <v>9</v>
      </c>
      <c r="D2361" s="3" t="s">
        <v>15</v>
      </c>
      <c r="E2361" s="4">
        <v>42611</v>
      </c>
      <c r="F2361" s="4"/>
      <c r="G2361" s="3" t="s">
        <v>29</v>
      </c>
      <c r="H2361" s="5">
        <v>53811</v>
      </c>
      <c r="I2361" s="3" t="str">
        <f>VLOOKUP(Tabela1[[#This Row],[Advogado]],Tabela2[],2,FALSE)</f>
        <v>Renê Amaranto</v>
      </c>
      <c r="J2361" s="17">
        <f>IF(Tabela1[[#This Row],[Data de conclusão]]="",NETWORKDAYS(Tabela1[[#This Row],[Data de entrada]],$J$2),NETWORKDAYS(Tabela1[[#This Row],[Data de entrada]],Tabela1[[#This Row],[Data de conclusão]]))</f>
        <v>447</v>
      </c>
      <c r="K2361" s="1"/>
    </row>
    <row r="2362" spans="2:11" x14ac:dyDescent="0.25">
      <c r="B2362" s="3">
        <v>2469</v>
      </c>
      <c r="C2362" s="3" t="s">
        <v>7</v>
      </c>
      <c r="D2362" s="3" t="s">
        <v>16</v>
      </c>
      <c r="E2362" s="4">
        <v>43098</v>
      </c>
      <c r="F2362" s="4"/>
      <c r="G2362" s="3" t="s">
        <v>29</v>
      </c>
      <c r="H2362" s="5">
        <v>39868</v>
      </c>
      <c r="I2362" s="3" t="str">
        <f>VLOOKUP(Tabela1[[#This Row],[Advogado]],Tabela2[],2,FALSE)</f>
        <v>Renê Amaranto</v>
      </c>
      <c r="J2362" s="17">
        <f>IF(Tabela1[[#This Row],[Data de conclusão]]="",NETWORKDAYS(Tabela1[[#This Row],[Data de entrada]],$J$2),NETWORKDAYS(Tabela1[[#This Row],[Data de entrada]],Tabela1[[#This Row],[Data de conclusão]]))</f>
        <v>98</v>
      </c>
      <c r="K2362" s="1"/>
    </row>
    <row r="2363" spans="2:11" x14ac:dyDescent="0.25">
      <c r="B2363" s="3">
        <v>2470</v>
      </c>
      <c r="C2363" s="3" t="s">
        <v>8</v>
      </c>
      <c r="D2363" s="3" t="s">
        <v>17</v>
      </c>
      <c r="E2363" s="4">
        <v>42636</v>
      </c>
      <c r="F2363" s="4"/>
      <c r="G2363" s="3" t="s">
        <v>29</v>
      </c>
      <c r="H2363" s="5">
        <v>20180</v>
      </c>
      <c r="I2363" s="3" t="str">
        <f>VLOOKUP(Tabela1[[#This Row],[Advogado]],Tabela2[],2,FALSE)</f>
        <v>Renê Amaranto</v>
      </c>
      <c r="J2363" s="17">
        <f>IF(Tabela1[[#This Row],[Data de conclusão]]="",NETWORKDAYS(Tabela1[[#This Row],[Data de entrada]],$J$2),NETWORKDAYS(Tabela1[[#This Row],[Data de entrada]],Tabela1[[#This Row],[Data de conclusão]]))</f>
        <v>428</v>
      </c>
      <c r="K2363" s="1"/>
    </row>
    <row r="2364" spans="2:11" x14ac:dyDescent="0.25">
      <c r="B2364" s="3">
        <v>2471</v>
      </c>
      <c r="C2364" s="3" t="s">
        <v>9</v>
      </c>
      <c r="D2364" s="3" t="s">
        <v>10</v>
      </c>
      <c r="E2364" s="4">
        <v>42719</v>
      </c>
      <c r="F2364" s="4"/>
      <c r="G2364" s="3" t="s">
        <v>29</v>
      </c>
      <c r="H2364" s="5">
        <v>48883</v>
      </c>
      <c r="I2364" s="3" t="str">
        <f>VLOOKUP(Tabela1[[#This Row],[Advogado]],Tabela2[],2,FALSE)</f>
        <v>Caio Brito</v>
      </c>
      <c r="J2364" s="17">
        <f>IF(Tabela1[[#This Row],[Data de conclusão]]="",NETWORKDAYS(Tabela1[[#This Row],[Data de entrada]],$J$2),NETWORKDAYS(Tabela1[[#This Row],[Data de entrada]],Tabela1[[#This Row],[Data de conclusão]]))</f>
        <v>369</v>
      </c>
      <c r="K2364" s="1"/>
    </row>
    <row r="2365" spans="2:11" x14ac:dyDescent="0.25">
      <c r="B2365" s="3">
        <v>2472</v>
      </c>
      <c r="C2365" s="3" t="s">
        <v>7</v>
      </c>
      <c r="D2365" s="3" t="s">
        <v>11</v>
      </c>
      <c r="E2365" s="4">
        <v>42619</v>
      </c>
      <c r="F2365" s="4"/>
      <c r="G2365" s="3" t="s">
        <v>29</v>
      </c>
      <c r="H2365" s="5">
        <v>28255</v>
      </c>
      <c r="I2365" s="3" t="str">
        <f>VLOOKUP(Tabela1[[#This Row],[Advogado]],Tabela2[],2,FALSE)</f>
        <v>Caio Brito</v>
      </c>
      <c r="J2365" s="17">
        <f>IF(Tabela1[[#This Row],[Data de conclusão]]="",NETWORKDAYS(Tabela1[[#This Row],[Data de entrada]],$J$2),NETWORKDAYS(Tabela1[[#This Row],[Data de entrada]],Tabela1[[#This Row],[Data de conclusão]]))</f>
        <v>441</v>
      </c>
      <c r="K2365" s="1"/>
    </row>
    <row r="2366" spans="2:11" x14ac:dyDescent="0.25">
      <c r="B2366" s="3">
        <v>2473</v>
      </c>
      <c r="C2366" s="3" t="s">
        <v>8</v>
      </c>
      <c r="D2366" s="3" t="s">
        <v>12</v>
      </c>
      <c r="E2366" s="4">
        <v>42970</v>
      </c>
      <c r="F2366" s="4"/>
      <c r="G2366" s="3" t="s">
        <v>29</v>
      </c>
      <c r="H2366" s="5">
        <v>13224</v>
      </c>
      <c r="I2366" s="3" t="str">
        <f>VLOOKUP(Tabela1[[#This Row],[Advogado]],Tabela2[],2,FALSE)</f>
        <v>Caio Brito</v>
      </c>
      <c r="J2366" s="17">
        <f>IF(Tabela1[[#This Row],[Data de conclusão]]="",NETWORKDAYS(Tabela1[[#This Row],[Data de entrada]],$J$2),NETWORKDAYS(Tabela1[[#This Row],[Data de entrada]],Tabela1[[#This Row],[Data de conclusão]]))</f>
        <v>190</v>
      </c>
      <c r="K2366" s="1"/>
    </row>
    <row r="2367" spans="2:11" x14ac:dyDescent="0.25">
      <c r="B2367" s="3">
        <v>2474</v>
      </c>
      <c r="C2367" s="3" t="s">
        <v>9</v>
      </c>
      <c r="D2367" s="3" t="s">
        <v>13</v>
      </c>
      <c r="E2367" s="4">
        <v>42528</v>
      </c>
      <c r="F2367" s="4"/>
      <c r="G2367" s="3" t="s">
        <v>29</v>
      </c>
      <c r="H2367" s="5">
        <v>37060</v>
      </c>
      <c r="I2367" s="3" t="str">
        <f>VLOOKUP(Tabela1[[#This Row],[Advogado]],Tabela2[],2,FALSE)</f>
        <v>Caio Brito</v>
      </c>
      <c r="J2367" s="17">
        <f>IF(Tabela1[[#This Row],[Data de conclusão]]="",NETWORKDAYS(Tabela1[[#This Row],[Data de entrada]],$J$2),NETWORKDAYS(Tabela1[[#This Row],[Data de entrada]],Tabela1[[#This Row],[Data de conclusão]]))</f>
        <v>506</v>
      </c>
      <c r="K2367" s="1"/>
    </row>
    <row r="2368" spans="2:11" x14ac:dyDescent="0.25">
      <c r="B2368" s="3">
        <v>2475</v>
      </c>
      <c r="C2368" s="3" t="s">
        <v>7</v>
      </c>
      <c r="D2368" s="3" t="s">
        <v>14</v>
      </c>
      <c r="E2368" s="4">
        <v>42405</v>
      </c>
      <c r="F2368" s="4">
        <v>42482</v>
      </c>
      <c r="G2368" s="3" t="s">
        <v>28</v>
      </c>
      <c r="H2368" s="5">
        <v>24569</v>
      </c>
      <c r="I2368" s="3" t="str">
        <f>VLOOKUP(Tabela1[[#This Row],[Advogado]],Tabela2[],2,FALSE)</f>
        <v>Renê Amaranto</v>
      </c>
      <c r="J2368" s="17">
        <f>IF(Tabela1[[#This Row],[Data de conclusão]]="",NETWORKDAYS(Tabela1[[#This Row],[Data de entrada]],$J$2),NETWORKDAYS(Tabela1[[#This Row],[Data de entrada]],Tabela1[[#This Row],[Data de conclusão]]))</f>
        <v>56</v>
      </c>
      <c r="K2368" s="1"/>
    </row>
    <row r="2369" spans="2:11" x14ac:dyDescent="0.25">
      <c r="B2369" s="3">
        <v>2476</v>
      </c>
      <c r="C2369" s="3" t="s">
        <v>8</v>
      </c>
      <c r="D2369" s="3" t="s">
        <v>15</v>
      </c>
      <c r="E2369" s="4">
        <v>42435</v>
      </c>
      <c r="F2369" s="4"/>
      <c r="G2369" s="3" t="s">
        <v>27</v>
      </c>
      <c r="H2369" s="5">
        <v>51429</v>
      </c>
      <c r="I2369" s="3" t="str">
        <f>VLOOKUP(Tabela1[[#This Row],[Advogado]],Tabela2[],2,FALSE)</f>
        <v>Renê Amaranto</v>
      </c>
      <c r="J2369" s="17">
        <f>IF(Tabela1[[#This Row],[Data de conclusão]]="",NETWORKDAYS(Tabela1[[#This Row],[Data de entrada]],$J$2),NETWORKDAYS(Tabela1[[#This Row],[Data de entrada]],Tabela1[[#This Row],[Data de conclusão]]))</f>
        <v>572</v>
      </c>
      <c r="K2369" s="1"/>
    </row>
    <row r="2370" spans="2:11" x14ac:dyDescent="0.25">
      <c r="B2370" s="3">
        <v>2477</v>
      </c>
      <c r="C2370" s="3" t="s">
        <v>9</v>
      </c>
      <c r="D2370" s="3" t="s">
        <v>16</v>
      </c>
      <c r="E2370" s="4">
        <v>42877</v>
      </c>
      <c r="F2370" s="4"/>
      <c r="G2370" s="3" t="s">
        <v>29</v>
      </c>
      <c r="H2370" s="5">
        <v>48899</v>
      </c>
      <c r="I2370" s="3" t="str">
        <f>VLOOKUP(Tabela1[[#This Row],[Advogado]],Tabela2[],2,FALSE)</f>
        <v>Renê Amaranto</v>
      </c>
      <c r="J2370" s="17">
        <f>IF(Tabela1[[#This Row],[Data de conclusão]]="",NETWORKDAYS(Tabela1[[#This Row],[Data de entrada]],$J$2),NETWORKDAYS(Tabela1[[#This Row],[Data de entrada]],Tabela1[[#This Row],[Data de conclusão]]))</f>
        <v>257</v>
      </c>
      <c r="K2370" s="1"/>
    </row>
    <row r="2371" spans="2:11" x14ac:dyDescent="0.25">
      <c r="B2371" s="3">
        <v>2478</v>
      </c>
      <c r="C2371" s="3" t="s">
        <v>7</v>
      </c>
      <c r="D2371" s="3" t="s">
        <v>17</v>
      </c>
      <c r="E2371" s="4">
        <v>42512</v>
      </c>
      <c r="F2371" s="4"/>
      <c r="G2371" s="3" t="s">
        <v>29</v>
      </c>
      <c r="H2371" s="5">
        <v>12977</v>
      </c>
      <c r="I2371" s="3" t="str">
        <f>VLOOKUP(Tabela1[[#This Row],[Advogado]],Tabela2[],2,FALSE)</f>
        <v>Renê Amaranto</v>
      </c>
      <c r="J2371" s="17">
        <f>IF(Tabela1[[#This Row],[Data de conclusão]]="",NETWORKDAYS(Tabela1[[#This Row],[Data de entrada]],$J$2),NETWORKDAYS(Tabela1[[#This Row],[Data de entrada]],Tabela1[[#This Row],[Data de conclusão]]))</f>
        <v>517</v>
      </c>
      <c r="K2371" s="1"/>
    </row>
    <row r="2372" spans="2:11" x14ac:dyDescent="0.25">
      <c r="B2372" s="3">
        <v>2479</v>
      </c>
      <c r="C2372" s="3" t="s">
        <v>8</v>
      </c>
      <c r="D2372" s="3" t="s">
        <v>10</v>
      </c>
      <c r="E2372" s="4">
        <v>42857</v>
      </c>
      <c r="F2372" s="4"/>
      <c r="G2372" s="3" t="s">
        <v>29</v>
      </c>
      <c r="H2372" s="5">
        <v>40154</v>
      </c>
      <c r="I2372" s="3" t="str">
        <f>VLOOKUP(Tabela1[[#This Row],[Advogado]],Tabela2[],2,FALSE)</f>
        <v>Caio Brito</v>
      </c>
      <c r="J2372" s="17">
        <f>IF(Tabela1[[#This Row],[Data de conclusão]]="",NETWORKDAYS(Tabela1[[#This Row],[Data de entrada]],$J$2),NETWORKDAYS(Tabela1[[#This Row],[Data de entrada]],Tabela1[[#This Row],[Data de conclusão]]))</f>
        <v>271</v>
      </c>
      <c r="K2372" s="1"/>
    </row>
    <row r="2373" spans="2:11" x14ac:dyDescent="0.25">
      <c r="B2373" s="3">
        <v>2480</v>
      </c>
      <c r="C2373" s="3" t="s">
        <v>9</v>
      </c>
      <c r="D2373" s="3" t="s">
        <v>11</v>
      </c>
      <c r="E2373" s="4">
        <v>43013</v>
      </c>
      <c r="F2373" s="4"/>
      <c r="G2373" s="3" t="s">
        <v>29</v>
      </c>
      <c r="H2373" s="5">
        <v>4221</v>
      </c>
      <c r="I2373" s="3" t="str">
        <f>VLOOKUP(Tabela1[[#This Row],[Advogado]],Tabela2[],2,FALSE)</f>
        <v>Caio Brito</v>
      </c>
      <c r="J2373" s="17">
        <f>IF(Tabela1[[#This Row],[Data de conclusão]]="",NETWORKDAYS(Tabela1[[#This Row],[Data de entrada]],$J$2),NETWORKDAYS(Tabela1[[#This Row],[Data de entrada]],Tabela1[[#This Row],[Data de conclusão]]))</f>
        <v>159</v>
      </c>
      <c r="K2373" s="1"/>
    </row>
    <row r="2374" spans="2:11" x14ac:dyDescent="0.25">
      <c r="B2374" s="3">
        <v>2481</v>
      </c>
      <c r="C2374" s="3" t="s">
        <v>7</v>
      </c>
      <c r="D2374" s="3" t="s">
        <v>12</v>
      </c>
      <c r="E2374" s="4">
        <v>43050</v>
      </c>
      <c r="F2374" s="4"/>
      <c r="G2374" s="3" t="s">
        <v>29</v>
      </c>
      <c r="H2374" s="5">
        <v>14870</v>
      </c>
      <c r="I2374" s="3" t="str">
        <f>VLOOKUP(Tabela1[[#This Row],[Advogado]],Tabela2[],2,FALSE)</f>
        <v>Caio Brito</v>
      </c>
      <c r="J2374" s="17">
        <f>IF(Tabela1[[#This Row],[Data de conclusão]]="",NETWORKDAYS(Tabela1[[#This Row],[Data de entrada]],$J$2),NETWORKDAYS(Tabela1[[#This Row],[Data de entrada]],Tabela1[[#This Row],[Data de conclusão]]))</f>
        <v>132</v>
      </c>
      <c r="K2374" s="1"/>
    </row>
    <row r="2375" spans="2:11" x14ac:dyDescent="0.25">
      <c r="B2375" s="3">
        <v>2482</v>
      </c>
      <c r="C2375" s="3" t="s">
        <v>8</v>
      </c>
      <c r="D2375" s="3" t="s">
        <v>13</v>
      </c>
      <c r="E2375" s="4">
        <v>42638</v>
      </c>
      <c r="F2375" s="4"/>
      <c r="G2375" s="3" t="s">
        <v>29</v>
      </c>
      <c r="H2375" s="5">
        <v>45815</v>
      </c>
      <c r="I2375" s="3" t="str">
        <f>VLOOKUP(Tabela1[[#This Row],[Advogado]],Tabela2[],2,FALSE)</f>
        <v>Caio Brito</v>
      </c>
      <c r="J2375" s="17">
        <f>IF(Tabela1[[#This Row],[Data de conclusão]]="",NETWORKDAYS(Tabela1[[#This Row],[Data de entrada]],$J$2),NETWORKDAYS(Tabela1[[#This Row],[Data de entrada]],Tabela1[[#This Row],[Data de conclusão]]))</f>
        <v>427</v>
      </c>
      <c r="K2375" s="1"/>
    </row>
    <row r="2376" spans="2:11" x14ac:dyDescent="0.25">
      <c r="B2376" s="3">
        <v>2483</v>
      </c>
      <c r="C2376" s="3" t="s">
        <v>9</v>
      </c>
      <c r="D2376" s="3" t="s">
        <v>14</v>
      </c>
      <c r="E2376" s="4">
        <v>42750</v>
      </c>
      <c r="F2376" s="4"/>
      <c r="G2376" s="3" t="s">
        <v>29</v>
      </c>
      <c r="H2376" s="5">
        <v>52761</v>
      </c>
      <c r="I2376" s="3" t="str">
        <f>VLOOKUP(Tabela1[[#This Row],[Advogado]],Tabela2[],2,FALSE)</f>
        <v>Renê Amaranto</v>
      </c>
      <c r="J2376" s="17">
        <f>IF(Tabela1[[#This Row],[Data de conclusão]]="",NETWORKDAYS(Tabela1[[#This Row],[Data de entrada]],$J$2),NETWORKDAYS(Tabela1[[#This Row],[Data de entrada]],Tabela1[[#This Row],[Data de conclusão]]))</f>
        <v>347</v>
      </c>
      <c r="K2376" s="1"/>
    </row>
    <row r="2377" spans="2:11" x14ac:dyDescent="0.25">
      <c r="B2377" s="3">
        <v>2484</v>
      </c>
      <c r="C2377" s="3" t="s">
        <v>7</v>
      </c>
      <c r="D2377" s="3" t="s">
        <v>15</v>
      </c>
      <c r="E2377" s="4">
        <v>42549</v>
      </c>
      <c r="F2377" s="4"/>
      <c r="G2377" s="3" t="s">
        <v>29</v>
      </c>
      <c r="H2377" s="5">
        <v>47150</v>
      </c>
      <c r="I2377" s="3" t="str">
        <f>VLOOKUP(Tabela1[[#This Row],[Advogado]],Tabela2[],2,FALSE)</f>
        <v>Renê Amaranto</v>
      </c>
      <c r="J2377" s="17">
        <f>IF(Tabela1[[#This Row],[Data de conclusão]]="",NETWORKDAYS(Tabela1[[#This Row],[Data de entrada]],$J$2),NETWORKDAYS(Tabela1[[#This Row],[Data de entrada]],Tabela1[[#This Row],[Data de conclusão]]))</f>
        <v>491</v>
      </c>
      <c r="K2377" s="1"/>
    </row>
    <row r="2378" spans="2:11" x14ac:dyDescent="0.25">
      <c r="B2378" s="3">
        <v>2485</v>
      </c>
      <c r="C2378" s="3" t="s">
        <v>8</v>
      </c>
      <c r="D2378" s="3" t="s">
        <v>16</v>
      </c>
      <c r="E2378" s="4">
        <v>42700</v>
      </c>
      <c r="F2378" s="4"/>
      <c r="G2378" s="3" t="s">
        <v>29</v>
      </c>
      <c r="H2378" s="5">
        <v>42816</v>
      </c>
      <c r="I2378" s="3" t="str">
        <f>VLOOKUP(Tabela1[[#This Row],[Advogado]],Tabela2[],2,FALSE)</f>
        <v>Renê Amaranto</v>
      </c>
      <c r="J2378" s="17">
        <f>IF(Tabela1[[#This Row],[Data de conclusão]]="",NETWORKDAYS(Tabela1[[#This Row],[Data de entrada]],$J$2),NETWORKDAYS(Tabela1[[#This Row],[Data de entrada]],Tabela1[[#This Row],[Data de conclusão]]))</f>
        <v>382</v>
      </c>
      <c r="K2378" s="1"/>
    </row>
    <row r="2379" spans="2:11" x14ac:dyDescent="0.25">
      <c r="B2379" s="3">
        <v>2486</v>
      </c>
      <c r="C2379" s="3" t="s">
        <v>9</v>
      </c>
      <c r="D2379" s="3" t="s">
        <v>17</v>
      </c>
      <c r="E2379" s="4">
        <v>43049</v>
      </c>
      <c r="F2379" s="4"/>
      <c r="G2379" s="3" t="s">
        <v>29</v>
      </c>
      <c r="H2379" s="5">
        <v>46004</v>
      </c>
      <c r="I2379" s="3" t="str">
        <f>VLOOKUP(Tabela1[[#This Row],[Advogado]],Tabela2[],2,FALSE)</f>
        <v>Renê Amaranto</v>
      </c>
      <c r="J2379" s="17">
        <f>IF(Tabela1[[#This Row],[Data de conclusão]]="",NETWORKDAYS(Tabela1[[#This Row],[Data de entrada]],$J$2),NETWORKDAYS(Tabela1[[#This Row],[Data de entrada]],Tabela1[[#This Row],[Data de conclusão]]))</f>
        <v>133</v>
      </c>
      <c r="K2379" s="1"/>
    </row>
    <row r="2380" spans="2:11" x14ac:dyDescent="0.25">
      <c r="B2380" s="3">
        <v>2487</v>
      </c>
      <c r="C2380" s="3" t="s">
        <v>7</v>
      </c>
      <c r="D2380" s="3" t="s">
        <v>10</v>
      </c>
      <c r="E2380" s="4">
        <v>42411</v>
      </c>
      <c r="F2380" s="4"/>
      <c r="G2380" s="3" t="s">
        <v>29</v>
      </c>
      <c r="H2380" s="5">
        <v>55676</v>
      </c>
      <c r="I2380" s="3" t="str">
        <f>VLOOKUP(Tabela1[[#This Row],[Advogado]],Tabela2[],2,FALSE)</f>
        <v>Caio Brito</v>
      </c>
      <c r="J2380" s="17">
        <f>IF(Tabela1[[#This Row],[Data de conclusão]]="",NETWORKDAYS(Tabela1[[#This Row],[Data de entrada]],$J$2),NETWORKDAYS(Tabela1[[#This Row],[Data de entrada]],Tabela1[[#This Row],[Data de conclusão]]))</f>
        <v>589</v>
      </c>
      <c r="K2380" s="1"/>
    </row>
    <row r="2381" spans="2:11" x14ac:dyDescent="0.25">
      <c r="B2381" s="3">
        <v>2488</v>
      </c>
      <c r="C2381" s="3" t="s">
        <v>8</v>
      </c>
      <c r="D2381" s="3" t="s">
        <v>11</v>
      </c>
      <c r="E2381" s="4">
        <v>43079</v>
      </c>
      <c r="F2381" s="4">
        <v>43117</v>
      </c>
      <c r="G2381" s="3" t="s">
        <v>28</v>
      </c>
      <c r="H2381" s="5">
        <v>24986</v>
      </c>
      <c r="I2381" s="3" t="str">
        <f>VLOOKUP(Tabela1[[#This Row],[Advogado]],Tabela2[],2,FALSE)</f>
        <v>Caio Brito</v>
      </c>
      <c r="J2381" s="17">
        <f>IF(Tabela1[[#This Row],[Data de conclusão]]="",NETWORKDAYS(Tabela1[[#This Row],[Data de entrada]],$J$2),NETWORKDAYS(Tabela1[[#This Row],[Data de entrada]],Tabela1[[#This Row],[Data de conclusão]]))</f>
        <v>28</v>
      </c>
      <c r="K2381" s="1"/>
    </row>
    <row r="2382" spans="2:11" x14ac:dyDescent="0.25">
      <c r="B2382" s="3">
        <v>2489</v>
      </c>
      <c r="C2382" s="3" t="s">
        <v>9</v>
      </c>
      <c r="D2382" s="3" t="s">
        <v>12</v>
      </c>
      <c r="E2382" s="4">
        <v>42812</v>
      </c>
      <c r="F2382" s="4"/>
      <c r="G2382" s="3" t="s">
        <v>27</v>
      </c>
      <c r="H2382" s="5">
        <v>39684</v>
      </c>
      <c r="I2382" s="3" t="str">
        <f>VLOOKUP(Tabela1[[#This Row],[Advogado]],Tabela2[],2,FALSE)</f>
        <v>Caio Brito</v>
      </c>
      <c r="J2382" s="17">
        <f>IF(Tabela1[[#This Row],[Data de conclusão]]="",NETWORKDAYS(Tabela1[[#This Row],[Data de entrada]],$J$2),NETWORKDAYS(Tabela1[[#This Row],[Data de entrada]],Tabela1[[#This Row],[Data de conclusão]]))</f>
        <v>302</v>
      </c>
      <c r="K2382" s="1"/>
    </row>
    <row r="2383" spans="2:11" x14ac:dyDescent="0.25">
      <c r="B2383" s="3">
        <v>2490</v>
      </c>
      <c r="C2383" s="3" t="s">
        <v>7</v>
      </c>
      <c r="D2383" s="3" t="s">
        <v>13</v>
      </c>
      <c r="E2383" s="4">
        <v>42733</v>
      </c>
      <c r="F2383" s="4"/>
      <c r="G2383" s="3" t="s">
        <v>29</v>
      </c>
      <c r="H2383" s="5">
        <v>38792</v>
      </c>
      <c r="I2383" s="3" t="str">
        <f>VLOOKUP(Tabela1[[#This Row],[Advogado]],Tabela2[],2,FALSE)</f>
        <v>Caio Brito</v>
      </c>
      <c r="J2383" s="17">
        <f>IF(Tabela1[[#This Row],[Data de conclusão]]="",NETWORKDAYS(Tabela1[[#This Row],[Data de entrada]],$J$2),NETWORKDAYS(Tabela1[[#This Row],[Data de entrada]],Tabela1[[#This Row],[Data de conclusão]]))</f>
        <v>359</v>
      </c>
      <c r="K2383" s="1"/>
    </row>
    <row r="2384" spans="2:11" x14ac:dyDescent="0.25">
      <c r="B2384" s="3">
        <v>2491</v>
      </c>
      <c r="C2384" s="3" t="s">
        <v>8</v>
      </c>
      <c r="D2384" s="3" t="s">
        <v>14</v>
      </c>
      <c r="E2384" s="4">
        <v>43090</v>
      </c>
      <c r="F2384" s="4"/>
      <c r="G2384" s="3" t="s">
        <v>29</v>
      </c>
      <c r="H2384" s="5">
        <v>39106</v>
      </c>
      <c r="I2384" s="3" t="str">
        <f>VLOOKUP(Tabela1[[#This Row],[Advogado]],Tabela2[],2,FALSE)</f>
        <v>Renê Amaranto</v>
      </c>
      <c r="J2384" s="17">
        <f>IF(Tabela1[[#This Row],[Data de conclusão]]="",NETWORKDAYS(Tabela1[[#This Row],[Data de entrada]],$J$2),NETWORKDAYS(Tabela1[[#This Row],[Data de entrada]],Tabela1[[#This Row],[Data de conclusão]]))</f>
        <v>104</v>
      </c>
      <c r="K2384" s="1"/>
    </row>
    <row r="2385" spans="2:11" x14ac:dyDescent="0.25">
      <c r="B2385" s="3">
        <v>2492</v>
      </c>
      <c r="C2385" s="3" t="s">
        <v>9</v>
      </c>
      <c r="D2385" s="3" t="s">
        <v>15</v>
      </c>
      <c r="E2385" s="4">
        <v>42901</v>
      </c>
      <c r="F2385" s="4"/>
      <c r="G2385" s="3" t="s">
        <v>29</v>
      </c>
      <c r="H2385" s="5">
        <v>20609</v>
      </c>
      <c r="I2385" s="3" t="str">
        <f>VLOOKUP(Tabela1[[#This Row],[Advogado]],Tabela2[],2,FALSE)</f>
        <v>Renê Amaranto</v>
      </c>
      <c r="J2385" s="17">
        <f>IF(Tabela1[[#This Row],[Data de conclusão]]="",NETWORKDAYS(Tabela1[[#This Row],[Data de entrada]],$J$2),NETWORKDAYS(Tabela1[[#This Row],[Data de entrada]],Tabela1[[#This Row],[Data de conclusão]]))</f>
        <v>239</v>
      </c>
      <c r="K2385" s="1"/>
    </row>
    <row r="2386" spans="2:11" x14ac:dyDescent="0.25">
      <c r="B2386" s="3">
        <v>2493</v>
      </c>
      <c r="C2386" s="3" t="s">
        <v>7</v>
      </c>
      <c r="D2386" s="3" t="s">
        <v>16</v>
      </c>
      <c r="E2386" s="4">
        <v>42817</v>
      </c>
      <c r="F2386" s="4"/>
      <c r="G2386" s="3" t="s">
        <v>29</v>
      </c>
      <c r="H2386" s="5">
        <v>39065</v>
      </c>
      <c r="I2386" s="3" t="str">
        <f>VLOOKUP(Tabela1[[#This Row],[Advogado]],Tabela2[],2,FALSE)</f>
        <v>Renê Amaranto</v>
      </c>
      <c r="J2386" s="17">
        <f>IF(Tabela1[[#This Row],[Data de conclusão]]="",NETWORKDAYS(Tabela1[[#This Row],[Data de entrada]],$J$2),NETWORKDAYS(Tabela1[[#This Row],[Data de entrada]],Tabela1[[#This Row],[Data de conclusão]]))</f>
        <v>299</v>
      </c>
      <c r="K2386" s="1"/>
    </row>
    <row r="2387" spans="2:11" x14ac:dyDescent="0.25">
      <c r="B2387" s="3">
        <v>2494</v>
      </c>
      <c r="C2387" s="3" t="s">
        <v>8</v>
      </c>
      <c r="D2387" s="3" t="s">
        <v>17</v>
      </c>
      <c r="E2387" s="4">
        <v>42618</v>
      </c>
      <c r="F2387" s="4"/>
      <c r="G2387" s="3" t="s">
        <v>29</v>
      </c>
      <c r="H2387" s="5">
        <v>2558</v>
      </c>
      <c r="I2387" s="3" t="str">
        <f>VLOOKUP(Tabela1[[#This Row],[Advogado]],Tabela2[],2,FALSE)</f>
        <v>Renê Amaranto</v>
      </c>
      <c r="J2387" s="17">
        <f>IF(Tabela1[[#This Row],[Data de conclusão]]="",NETWORKDAYS(Tabela1[[#This Row],[Data de entrada]],$J$2),NETWORKDAYS(Tabela1[[#This Row],[Data de entrada]],Tabela1[[#This Row],[Data de conclusão]]))</f>
        <v>442</v>
      </c>
      <c r="K2387" s="1"/>
    </row>
    <row r="2388" spans="2:11" x14ac:dyDescent="0.25">
      <c r="B2388" s="3">
        <v>2495</v>
      </c>
      <c r="C2388" s="3" t="s">
        <v>9</v>
      </c>
      <c r="D2388" s="3" t="s">
        <v>10</v>
      </c>
      <c r="E2388" s="4">
        <v>42683</v>
      </c>
      <c r="F2388" s="4"/>
      <c r="G2388" s="3" t="s">
        <v>29</v>
      </c>
      <c r="H2388" s="5">
        <v>25027</v>
      </c>
      <c r="I2388" s="3" t="str">
        <f>VLOOKUP(Tabela1[[#This Row],[Advogado]],Tabela2[],2,FALSE)</f>
        <v>Caio Brito</v>
      </c>
      <c r="J2388" s="17">
        <f>IF(Tabela1[[#This Row],[Data de conclusão]]="",NETWORKDAYS(Tabela1[[#This Row],[Data de entrada]],$J$2),NETWORKDAYS(Tabela1[[#This Row],[Data de entrada]],Tabela1[[#This Row],[Data de conclusão]]))</f>
        <v>395</v>
      </c>
      <c r="K2388" s="1"/>
    </row>
    <row r="2389" spans="2:11" x14ac:dyDescent="0.25">
      <c r="B2389" s="3">
        <v>2496</v>
      </c>
      <c r="C2389" s="3" t="s">
        <v>7</v>
      </c>
      <c r="D2389" s="3" t="s">
        <v>11</v>
      </c>
      <c r="E2389" s="4">
        <v>42664</v>
      </c>
      <c r="F2389" s="4"/>
      <c r="G2389" s="3" t="s">
        <v>29</v>
      </c>
      <c r="H2389" s="5">
        <v>21175</v>
      </c>
      <c r="I2389" s="3" t="str">
        <f>VLOOKUP(Tabela1[[#This Row],[Advogado]],Tabela2[],2,FALSE)</f>
        <v>Caio Brito</v>
      </c>
      <c r="J2389" s="17">
        <f>IF(Tabela1[[#This Row],[Data de conclusão]]="",NETWORKDAYS(Tabela1[[#This Row],[Data de entrada]],$J$2),NETWORKDAYS(Tabela1[[#This Row],[Data de entrada]],Tabela1[[#This Row],[Data de conclusão]]))</f>
        <v>408</v>
      </c>
      <c r="K2389" s="1"/>
    </row>
    <row r="2390" spans="2:11" x14ac:dyDescent="0.25">
      <c r="B2390" s="3">
        <v>2497</v>
      </c>
      <c r="C2390" s="3" t="s">
        <v>8</v>
      </c>
      <c r="D2390" s="3" t="s">
        <v>12</v>
      </c>
      <c r="E2390" s="4">
        <v>42781</v>
      </c>
      <c r="F2390" s="4"/>
      <c r="G2390" s="3" t="s">
        <v>29</v>
      </c>
      <c r="H2390" s="5">
        <v>10429</v>
      </c>
      <c r="I2390" s="3" t="str">
        <f>VLOOKUP(Tabela1[[#This Row],[Advogado]],Tabela2[],2,FALSE)</f>
        <v>Caio Brito</v>
      </c>
      <c r="J2390" s="17">
        <f>IF(Tabela1[[#This Row],[Data de conclusão]]="",NETWORKDAYS(Tabela1[[#This Row],[Data de entrada]],$J$2),NETWORKDAYS(Tabela1[[#This Row],[Data de entrada]],Tabela1[[#This Row],[Data de conclusão]]))</f>
        <v>325</v>
      </c>
      <c r="K2390" s="1"/>
    </row>
    <row r="2391" spans="2:11" x14ac:dyDescent="0.25">
      <c r="B2391" s="3">
        <v>2498</v>
      </c>
      <c r="C2391" s="3" t="s">
        <v>9</v>
      </c>
      <c r="D2391" s="3" t="s">
        <v>13</v>
      </c>
      <c r="E2391" s="4">
        <v>43031</v>
      </c>
      <c r="F2391" s="4"/>
      <c r="G2391" s="3" t="s">
        <v>29</v>
      </c>
      <c r="H2391" s="5">
        <v>38392</v>
      </c>
      <c r="I2391" s="3" t="str">
        <f>VLOOKUP(Tabela1[[#This Row],[Advogado]],Tabela2[],2,FALSE)</f>
        <v>Caio Brito</v>
      </c>
      <c r="J2391" s="17">
        <f>IF(Tabela1[[#This Row],[Data de conclusão]]="",NETWORKDAYS(Tabela1[[#This Row],[Data de entrada]],$J$2),NETWORKDAYS(Tabela1[[#This Row],[Data de entrada]],Tabela1[[#This Row],[Data de conclusão]]))</f>
        <v>147</v>
      </c>
      <c r="K2391" s="1"/>
    </row>
    <row r="2392" spans="2:11" x14ac:dyDescent="0.25">
      <c r="B2392" s="3">
        <v>2499</v>
      </c>
      <c r="C2392" s="3" t="s">
        <v>7</v>
      </c>
      <c r="D2392" s="3" t="s">
        <v>14</v>
      </c>
      <c r="E2392" s="4">
        <v>42870</v>
      </c>
      <c r="F2392" s="4"/>
      <c r="G2392" s="3" t="s">
        <v>29</v>
      </c>
      <c r="H2392" s="5">
        <v>28040</v>
      </c>
      <c r="I2392" s="3" t="str">
        <f>VLOOKUP(Tabela1[[#This Row],[Advogado]],Tabela2[],2,FALSE)</f>
        <v>Renê Amaranto</v>
      </c>
      <c r="J2392" s="17">
        <f>IF(Tabela1[[#This Row],[Data de conclusão]]="",NETWORKDAYS(Tabela1[[#This Row],[Data de entrada]],$J$2),NETWORKDAYS(Tabela1[[#This Row],[Data de entrada]],Tabela1[[#This Row],[Data de conclusão]]))</f>
        <v>262</v>
      </c>
      <c r="K2392" s="1"/>
    </row>
    <row r="2393" spans="2:11" x14ac:dyDescent="0.25">
      <c r="B2393" s="3">
        <v>2500</v>
      </c>
      <c r="C2393" s="3" t="s">
        <v>8</v>
      </c>
      <c r="D2393" s="3" t="s">
        <v>15</v>
      </c>
      <c r="E2393" s="4">
        <v>42818</v>
      </c>
      <c r="F2393" s="4"/>
      <c r="G2393" s="3" t="s">
        <v>29</v>
      </c>
      <c r="H2393" s="5">
        <v>25391</v>
      </c>
      <c r="I2393" s="3" t="str">
        <f>VLOOKUP(Tabela1[[#This Row],[Advogado]],Tabela2[],2,FALSE)</f>
        <v>Renê Amaranto</v>
      </c>
      <c r="J2393" s="17">
        <f>IF(Tabela1[[#This Row],[Data de conclusão]]="",NETWORKDAYS(Tabela1[[#This Row],[Data de entrada]],$J$2),NETWORKDAYS(Tabela1[[#This Row],[Data de entrada]],Tabela1[[#This Row],[Data de conclusão]]))</f>
        <v>298</v>
      </c>
      <c r="K2393" s="1"/>
    </row>
    <row r="2394" spans="2:11" x14ac:dyDescent="0.25">
      <c r="B2394" s="3">
        <v>2501</v>
      </c>
      <c r="C2394" s="3" t="s">
        <v>9</v>
      </c>
      <c r="D2394" s="3" t="s">
        <v>16</v>
      </c>
      <c r="E2394" s="4">
        <v>42657</v>
      </c>
      <c r="F2394" s="4">
        <v>42718</v>
      </c>
      <c r="G2394" s="3" t="s">
        <v>28</v>
      </c>
      <c r="H2394" s="5">
        <v>24051</v>
      </c>
      <c r="I2394" s="3" t="str">
        <f>VLOOKUP(Tabela1[[#This Row],[Advogado]],Tabela2[],2,FALSE)</f>
        <v>Renê Amaranto</v>
      </c>
      <c r="J2394" s="17">
        <f>IF(Tabela1[[#This Row],[Data de conclusão]]="",NETWORKDAYS(Tabela1[[#This Row],[Data de entrada]],$J$2),NETWORKDAYS(Tabela1[[#This Row],[Data de entrada]],Tabela1[[#This Row],[Data de conclusão]]))</f>
        <v>44</v>
      </c>
      <c r="K2394" s="1"/>
    </row>
    <row r="2395" spans="2:11" x14ac:dyDescent="0.25">
      <c r="B2395" s="3">
        <v>2502</v>
      </c>
      <c r="C2395" s="3" t="s">
        <v>7</v>
      </c>
      <c r="D2395" s="3" t="s">
        <v>17</v>
      </c>
      <c r="E2395" s="4">
        <v>42496</v>
      </c>
      <c r="F2395" s="4"/>
      <c r="G2395" s="3" t="s">
        <v>27</v>
      </c>
      <c r="H2395" s="5">
        <v>9475</v>
      </c>
      <c r="I2395" s="3" t="str">
        <f>VLOOKUP(Tabela1[[#This Row],[Advogado]],Tabela2[],2,FALSE)</f>
        <v>Renê Amaranto</v>
      </c>
      <c r="J2395" s="17">
        <f>IF(Tabela1[[#This Row],[Data de conclusão]]="",NETWORKDAYS(Tabela1[[#This Row],[Data de entrada]],$J$2),NETWORKDAYS(Tabela1[[#This Row],[Data de entrada]],Tabela1[[#This Row],[Data de conclusão]]))</f>
        <v>528</v>
      </c>
      <c r="K2395" s="1"/>
    </row>
    <row r="2396" spans="2:11" x14ac:dyDescent="0.25">
      <c r="B2396" s="3">
        <v>2503</v>
      </c>
      <c r="C2396" s="3" t="s">
        <v>8</v>
      </c>
      <c r="D2396" s="3" t="s">
        <v>10</v>
      </c>
      <c r="E2396" s="4">
        <v>42630</v>
      </c>
      <c r="F2396" s="4"/>
      <c r="G2396" s="3" t="s">
        <v>29</v>
      </c>
      <c r="H2396" s="5">
        <v>1130</v>
      </c>
      <c r="I2396" s="3" t="str">
        <f>VLOOKUP(Tabela1[[#This Row],[Advogado]],Tabela2[],2,FALSE)</f>
        <v>Caio Brito</v>
      </c>
      <c r="J2396" s="17">
        <f>IF(Tabela1[[#This Row],[Data de conclusão]]="",NETWORKDAYS(Tabela1[[#This Row],[Data de entrada]],$J$2),NETWORKDAYS(Tabela1[[#This Row],[Data de entrada]],Tabela1[[#This Row],[Data de conclusão]]))</f>
        <v>432</v>
      </c>
      <c r="K2396" s="1"/>
    </row>
    <row r="2397" spans="2:11" x14ac:dyDescent="0.25">
      <c r="B2397" s="3">
        <v>2504</v>
      </c>
      <c r="C2397" s="3" t="s">
        <v>9</v>
      </c>
      <c r="D2397" s="3" t="s">
        <v>11</v>
      </c>
      <c r="E2397" s="4">
        <v>42628</v>
      </c>
      <c r="F2397" s="4"/>
      <c r="G2397" s="3" t="s">
        <v>29</v>
      </c>
      <c r="H2397" s="5">
        <v>6559</v>
      </c>
      <c r="I2397" s="3" t="str">
        <f>VLOOKUP(Tabela1[[#This Row],[Advogado]],Tabela2[],2,FALSE)</f>
        <v>Caio Brito</v>
      </c>
      <c r="J2397" s="17">
        <f>IF(Tabela1[[#This Row],[Data de conclusão]]="",NETWORKDAYS(Tabela1[[#This Row],[Data de entrada]],$J$2),NETWORKDAYS(Tabela1[[#This Row],[Data de entrada]],Tabela1[[#This Row],[Data de conclusão]]))</f>
        <v>434</v>
      </c>
      <c r="K2397" s="1"/>
    </row>
    <row r="2398" spans="2:11" x14ac:dyDescent="0.25">
      <c r="B2398" s="3">
        <v>2505</v>
      </c>
      <c r="C2398" s="3" t="s">
        <v>7</v>
      </c>
      <c r="D2398" s="3" t="s">
        <v>12</v>
      </c>
      <c r="E2398" s="4">
        <v>42973</v>
      </c>
      <c r="F2398" s="4"/>
      <c r="G2398" s="3" t="s">
        <v>29</v>
      </c>
      <c r="H2398" s="5">
        <v>51192</v>
      </c>
      <c r="I2398" s="3" t="str">
        <f>VLOOKUP(Tabela1[[#This Row],[Advogado]],Tabela2[],2,FALSE)</f>
        <v>Caio Brito</v>
      </c>
      <c r="J2398" s="17">
        <f>IF(Tabela1[[#This Row],[Data de conclusão]]="",NETWORKDAYS(Tabela1[[#This Row],[Data de entrada]],$J$2),NETWORKDAYS(Tabela1[[#This Row],[Data de entrada]],Tabela1[[#This Row],[Data de conclusão]]))</f>
        <v>187</v>
      </c>
      <c r="K2398" s="1"/>
    </row>
    <row r="2399" spans="2:11" x14ac:dyDescent="0.25">
      <c r="B2399" s="3">
        <v>2506</v>
      </c>
      <c r="C2399" s="3" t="s">
        <v>8</v>
      </c>
      <c r="D2399" s="3" t="s">
        <v>13</v>
      </c>
      <c r="E2399" s="4">
        <v>43032</v>
      </c>
      <c r="F2399" s="4"/>
      <c r="G2399" s="3" t="s">
        <v>29</v>
      </c>
      <c r="H2399" s="5">
        <v>15448</v>
      </c>
      <c r="I2399" s="3" t="str">
        <f>VLOOKUP(Tabela1[[#This Row],[Advogado]],Tabela2[],2,FALSE)</f>
        <v>Caio Brito</v>
      </c>
      <c r="J2399" s="17">
        <f>IF(Tabela1[[#This Row],[Data de conclusão]]="",NETWORKDAYS(Tabela1[[#This Row],[Data de entrada]],$J$2),NETWORKDAYS(Tabela1[[#This Row],[Data de entrada]],Tabela1[[#This Row],[Data de conclusão]]))</f>
        <v>146</v>
      </c>
      <c r="K2399" s="1"/>
    </row>
    <row r="2400" spans="2:11" x14ac:dyDescent="0.25">
      <c r="B2400" s="3">
        <v>2507</v>
      </c>
      <c r="C2400" s="3" t="s">
        <v>9</v>
      </c>
      <c r="D2400" s="3" t="s">
        <v>14</v>
      </c>
      <c r="E2400" s="4">
        <v>42926</v>
      </c>
      <c r="F2400" s="4"/>
      <c r="G2400" s="3" t="s">
        <v>29</v>
      </c>
      <c r="H2400" s="5">
        <v>59915</v>
      </c>
      <c r="I2400" s="3" t="str">
        <f>VLOOKUP(Tabela1[[#This Row],[Advogado]],Tabela2[],2,FALSE)</f>
        <v>Renê Amaranto</v>
      </c>
      <c r="J2400" s="17">
        <f>IF(Tabela1[[#This Row],[Data de conclusão]]="",NETWORKDAYS(Tabela1[[#This Row],[Data de entrada]],$J$2),NETWORKDAYS(Tabela1[[#This Row],[Data de entrada]],Tabela1[[#This Row],[Data de conclusão]]))</f>
        <v>222</v>
      </c>
      <c r="K2400" s="1"/>
    </row>
    <row r="2401" spans="2:11" x14ac:dyDescent="0.25">
      <c r="B2401" s="3">
        <v>2508</v>
      </c>
      <c r="C2401" s="3" t="s">
        <v>7</v>
      </c>
      <c r="D2401" s="3" t="s">
        <v>15</v>
      </c>
      <c r="E2401" s="4">
        <v>42886</v>
      </c>
      <c r="F2401" s="4"/>
      <c r="G2401" s="3" t="s">
        <v>29</v>
      </c>
      <c r="H2401" s="5">
        <v>15167</v>
      </c>
      <c r="I2401" s="3" t="str">
        <f>VLOOKUP(Tabela1[[#This Row],[Advogado]],Tabela2[],2,FALSE)</f>
        <v>Renê Amaranto</v>
      </c>
      <c r="J2401" s="17">
        <f>IF(Tabela1[[#This Row],[Data de conclusão]]="",NETWORKDAYS(Tabela1[[#This Row],[Data de entrada]],$J$2),NETWORKDAYS(Tabela1[[#This Row],[Data de entrada]],Tabela1[[#This Row],[Data de conclusão]]))</f>
        <v>250</v>
      </c>
      <c r="K2401" s="1"/>
    </row>
    <row r="2402" spans="2:11" x14ac:dyDescent="0.25">
      <c r="B2402" s="3">
        <v>2509</v>
      </c>
      <c r="C2402" s="3" t="s">
        <v>8</v>
      </c>
      <c r="D2402" s="3" t="s">
        <v>16</v>
      </c>
      <c r="E2402" s="4">
        <v>42787</v>
      </c>
      <c r="F2402" s="4"/>
      <c r="G2402" s="3" t="s">
        <v>29</v>
      </c>
      <c r="H2402" s="5">
        <v>10317</v>
      </c>
      <c r="I2402" s="3" t="str">
        <f>VLOOKUP(Tabela1[[#This Row],[Advogado]],Tabela2[],2,FALSE)</f>
        <v>Renê Amaranto</v>
      </c>
      <c r="J2402" s="17">
        <f>IF(Tabela1[[#This Row],[Data de conclusão]]="",NETWORKDAYS(Tabela1[[#This Row],[Data de entrada]],$J$2),NETWORKDAYS(Tabela1[[#This Row],[Data de entrada]],Tabela1[[#This Row],[Data de conclusão]]))</f>
        <v>321</v>
      </c>
      <c r="K2402" s="1"/>
    </row>
    <row r="2403" spans="2:11" x14ac:dyDescent="0.25">
      <c r="B2403" s="3">
        <v>2510</v>
      </c>
      <c r="C2403" s="3" t="s">
        <v>9</v>
      </c>
      <c r="D2403" s="3" t="s">
        <v>17</v>
      </c>
      <c r="E2403" s="4">
        <v>43083</v>
      </c>
      <c r="F2403" s="4"/>
      <c r="G2403" s="3" t="s">
        <v>29</v>
      </c>
      <c r="H2403" s="5">
        <v>28180</v>
      </c>
      <c r="I2403" s="3" t="str">
        <f>VLOOKUP(Tabela1[[#This Row],[Advogado]],Tabela2[],2,FALSE)</f>
        <v>Renê Amaranto</v>
      </c>
      <c r="J2403" s="17">
        <f>IF(Tabela1[[#This Row],[Data de conclusão]]="",NETWORKDAYS(Tabela1[[#This Row],[Data de entrada]],$J$2),NETWORKDAYS(Tabela1[[#This Row],[Data de entrada]],Tabela1[[#This Row],[Data de conclusão]]))</f>
        <v>109</v>
      </c>
      <c r="K2403" s="1"/>
    </row>
    <row r="2404" spans="2:11" x14ac:dyDescent="0.25">
      <c r="B2404" s="3">
        <v>2511</v>
      </c>
      <c r="C2404" s="3" t="s">
        <v>7</v>
      </c>
      <c r="D2404" s="3" t="s">
        <v>10</v>
      </c>
      <c r="E2404" s="4">
        <v>42509</v>
      </c>
      <c r="F2404" s="4"/>
      <c r="G2404" s="3" t="s">
        <v>29</v>
      </c>
      <c r="H2404" s="5">
        <v>26224</v>
      </c>
      <c r="I2404" s="3" t="str">
        <f>VLOOKUP(Tabela1[[#This Row],[Advogado]],Tabela2[],2,FALSE)</f>
        <v>Caio Brito</v>
      </c>
      <c r="J2404" s="17">
        <f>IF(Tabela1[[#This Row],[Data de conclusão]]="",NETWORKDAYS(Tabela1[[#This Row],[Data de entrada]],$J$2),NETWORKDAYS(Tabela1[[#This Row],[Data de entrada]],Tabela1[[#This Row],[Data de conclusão]]))</f>
        <v>519</v>
      </c>
      <c r="K2404" s="1"/>
    </row>
    <row r="2405" spans="2:11" x14ac:dyDescent="0.25">
      <c r="B2405" s="3">
        <v>2512</v>
      </c>
      <c r="C2405" s="3" t="s">
        <v>8</v>
      </c>
      <c r="D2405" s="3" t="s">
        <v>11</v>
      </c>
      <c r="E2405" s="4">
        <v>42936</v>
      </c>
      <c r="F2405" s="4"/>
      <c r="G2405" s="3" t="s">
        <v>29</v>
      </c>
      <c r="H2405" s="5">
        <v>23376</v>
      </c>
      <c r="I2405" s="3" t="str">
        <f>VLOOKUP(Tabela1[[#This Row],[Advogado]],Tabela2[],2,FALSE)</f>
        <v>Caio Brito</v>
      </c>
      <c r="J2405" s="17">
        <f>IF(Tabela1[[#This Row],[Data de conclusão]]="",NETWORKDAYS(Tabela1[[#This Row],[Data de entrada]],$J$2),NETWORKDAYS(Tabela1[[#This Row],[Data de entrada]],Tabela1[[#This Row],[Data de conclusão]]))</f>
        <v>214</v>
      </c>
      <c r="K2405" s="1"/>
    </row>
    <row r="2406" spans="2:11" x14ac:dyDescent="0.25">
      <c r="B2406" s="3">
        <v>2513</v>
      </c>
      <c r="C2406" s="3" t="s">
        <v>9</v>
      </c>
      <c r="D2406" s="3" t="s">
        <v>12</v>
      </c>
      <c r="E2406" s="4">
        <v>42623</v>
      </c>
      <c r="F2406" s="4"/>
      <c r="G2406" s="3" t="s">
        <v>29</v>
      </c>
      <c r="H2406" s="5">
        <v>30714</v>
      </c>
      <c r="I2406" s="3" t="str">
        <f>VLOOKUP(Tabela1[[#This Row],[Advogado]],Tabela2[],2,FALSE)</f>
        <v>Caio Brito</v>
      </c>
      <c r="J2406" s="17">
        <f>IF(Tabela1[[#This Row],[Data de conclusão]]="",NETWORKDAYS(Tabela1[[#This Row],[Data de entrada]],$J$2),NETWORKDAYS(Tabela1[[#This Row],[Data de entrada]],Tabela1[[#This Row],[Data de conclusão]]))</f>
        <v>437</v>
      </c>
      <c r="K2406" s="1"/>
    </row>
    <row r="2407" spans="2:11" x14ac:dyDescent="0.25">
      <c r="B2407" s="3">
        <v>2514</v>
      </c>
      <c r="C2407" s="3" t="s">
        <v>7</v>
      </c>
      <c r="D2407" s="3" t="s">
        <v>13</v>
      </c>
      <c r="E2407" s="4">
        <v>42768</v>
      </c>
      <c r="F2407" s="4">
        <v>42815</v>
      </c>
      <c r="G2407" s="3" t="s">
        <v>28</v>
      </c>
      <c r="H2407" s="5">
        <v>44984</v>
      </c>
      <c r="I2407" s="3" t="str">
        <f>VLOOKUP(Tabela1[[#This Row],[Advogado]],Tabela2[],2,FALSE)</f>
        <v>Caio Brito</v>
      </c>
      <c r="J2407" s="17">
        <f>IF(Tabela1[[#This Row],[Data de conclusão]]="",NETWORKDAYS(Tabela1[[#This Row],[Data de entrada]],$J$2),NETWORKDAYS(Tabela1[[#This Row],[Data de entrada]],Tabela1[[#This Row],[Data de conclusão]]))</f>
        <v>34</v>
      </c>
      <c r="K2407" s="1"/>
    </row>
    <row r="2408" spans="2:11" x14ac:dyDescent="0.25">
      <c r="B2408" s="3">
        <v>2515</v>
      </c>
      <c r="C2408" s="3" t="s">
        <v>8</v>
      </c>
      <c r="D2408" s="3" t="s">
        <v>14</v>
      </c>
      <c r="E2408" s="4">
        <v>43086</v>
      </c>
      <c r="F2408" s="4"/>
      <c r="G2408" s="3" t="s">
        <v>27</v>
      </c>
      <c r="H2408" s="5">
        <v>20651</v>
      </c>
      <c r="I2408" s="3" t="str">
        <f>VLOOKUP(Tabela1[[#This Row],[Advogado]],Tabela2[],2,FALSE)</f>
        <v>Renê Amaranto</v>
      </c>
      <c r="J2408" s="17">
        <f>IF(Tabela1[[#This Row],[Data de conclusão]]="",NETWORKDAYS(Tabela1[[#This Row],[Data de entrada]],$J$2),NETWORKDAYS(Tabela1[[#This Row],[Data de entrada]],Tabela1[[#This Row],[Data de conclusão]]))</f>
        <v>107</v>
      </c>
      <c r="K2408" s="1"/>
    </row>
    <row r="2409" spans="2:11" x14ac:dyDescent="0.25">
      <c r="B2409" s="3">
        <v>2516</v>
      </c>
      <c r="C2409" s="3" t="s">
        <v>9</v>
      </c>
      <c r="D2409" s="3" t="s">
        <v>15</v>
      </c>
      <c r="E2409" s="4">
        <v>42974</v>
      </c>
      <c r="F2409" s="4"/>
      <c r="G2409" s="3" t="s">
        <v>29</v>
      </c>
      <c r="H2409" s="5">
        <v>22348</v>
      </c>
      <c r="I2409" s="3" t="str">
        <f>VLOOKUP(Tabela1[[#This Row],[Advogado]],Tabela2[],2,FALSE)</f>
        <v>Renê Amaranto</v>
      </c>
      <c r="J2409" s="17">
        <f>IF(Tabela1[[#This Row],[Data de conclusão]]="",NETWORKDAYS(Tabela1[[#This Row],[Data de entrada]],$J$2),NETWORKDAYS(Tabela1[[#This Row],[Data de entrada]],Tabela1[[#This Row],[Data de conclusão]]))</f>
        <v>187</v>
      </c>
      <c r="K2409" s="1"/>
    </row>
    <row r="2410" spans="2:11" x14ac:dyDescent="0.25">
      <c r="B2410" s="3">
        <v>2517</v>
      </c>
      <c r="C2410" s="3" t="s">
        <v>7</v>
      </c>
      <c r="D2410" s="3" t="s">
        <v>16</v>
      </c>
      <c r="E2410" s="4">
        <v>42597</v>
      </c>
      <c r="F2410" s="4"/>
      <c r="G2410" s="3" t="s">
        <v>29</v>
      </c>
      <c r="H2410" s="5">
        <v>51982</v>
      </c>
      <c r="I2410" s="3" t="str">
        <f>VLOOKUP(Tabela1[[#This Row],[Advogado]],Tabela2[],2,FALSE)</f>
        <v>Renê Amaranto</v>
      </c>
      <c r="J2410" s="17">
        <f>IF(Tabela1[[#This Row],[Data de conclusão]]="",NETWORKDAYS(Tabela1[[#This Row],[Data de entrada]],$J$2),NETWORKDAYS(Tabela1[[#This Row],[Data de entrada]],Tabela1[[#This Row],[Data de conclusão]]))</f>
        <v>457</v>
      </c>
      <c r="K2410" s="1"/>
    </row>
    <row r="2411" spans="2:11" x14ac:dyDescent="0.25">
      <c r="B2411" s="3">
        <v>2518</v>
      </c>
      <c r="C2411" s="3" t="s">
        <v>8</v>
      </c>
      <c r="D2411" s="3" t="s">
        <v>17</v>
      </c>
      <c r="E2411" s="4">
        <v>42612</v>
      </c>
      <c r="F2411" s="4"/>
      <c r="G2411" s="3" t="s">
        <v>29</v>
      </c>
      <c r="H2411" s="5">
        <v>11273</v>
      </c>
      <c r="I2411" s="3" t="str">
        <f>VLOOKUP(Tabela1[[#This Row],[Advogado]],Tabela2[],2,FALSE)</f>
        <v>Renê Amaranto</v>
      </c>
      <c r="J2411" s="17">
        <f>IF(Tabela1[[#This Row],[Data de conclusão]]="",NETWORKDAYS(Tabela1[[#This Row],[Data de entrada]],$J$2),NETWORKDAYS(Tabela1[[#This Row],[Data de entrada]],Tabela1[[#This Row],[Data de conclusão]]))</f>
        <v>446</v>
      </c>
      <c r="K2411" s="1"/>
    </row>
    <row r="2412" spans="2:11" x14ac:dyDescent="0.25">
      <c r="B2412" s="3">
        <v>2519</v>
      </c>
      <c r="C2412" s="3" t="s">
        <v>9</v>
      </c>
      <c r="D2412" s="3" t="s">
        <v>10</v>
      </c>
      <c r="E2412" s="4">
        <v>43058</v>
      </c>
      <c r="F2412" s="4"/>
      <c r="G2412" s="3" t="s">
        <v>29</v>
      </c>
      <c r="H2412" s="5">
        <v>57447</v>
      </c>
      <c r="I2412" s="3" t="str">
        <f>VLOOKUP(Tabela1[[#This Row],[Advogado]],Tabela2[],2,FALSE)</f>
        <v>Caio Brito</v>
      </c>
      <c r="J2412" s="17">
        <f>IF(Tabela1[[#This Row],[Data de conclusão]]="",NETWORKDAYS(Tabela1[[#This Row],[Data de entrada]],$J$2),NETWORKDAYS(Tabela1[[#This Row],[Data de entrada]],Tabela1[[#This Row],[Data de conclusão]]))</f>
        <v>127</v>
      </c>
      <c r="K2412" s="1"/>
    </row>
    <row r="2413" spans="2:11" x14ac:dyDescent="0.25">
      <c r="B2413" s="3">
        <v>2520</v>
      </c>
      <c r="C2413" s="3" t="s">
        <v>7</v>
      </c>
      <c r="D2413" s="3" t="s">
        <v>11</v>
      </c>
      <c r="E2413" s="4">
        <v>42790</v>
      </c>
      <c r="F2413" s="4"/>
      <c r="G2413" s="3" t="s">
        <v>29</v>
      </c>
      <c r="H2413" s="5">
        <v>43532</v>
      </c>
      <c r="I2413" s="3" t="str">
        <f>VLOOKUP(Tabela1[[#This Row],[Advogado]],Tabela2[],2,FALSE)</f>
        <v>Caio Brito</v>
      </c>
      <c r="J2413" s="17">
        <f>IF(Tabela1[[#This Row],[Data de conclusão]]="",NETWORKDAYS(Tabela1[[#This Row],[Data de entrada]],$J$2),NETWORKDAYS(Tabela1[[#This Row],[Data de entrada]],Tabela1[[#This Row],[Data de conclusão]]))</f>
        <v>318</v>
      </c>
      <c r="K2413" s="1"/>
    </row>
    <row r="2414" spans="2:11" x14ac:dyDescent="0.25">
      <c r="B2414" s="3">
        <v>2521</v>
      </c>
      <c r="C2414" s="3" t="s">
        <v>8</v>
      </c>
      <c r="D2414" s="3" t="s">
        <v>12</v>
      </c>
      <c r="E2414" s="4">
        <v>42467</v>
      </c>
      <c r="F2414" s="4"/>
      <c r="G2414" s="3" t="s">
        <v>29</v>
      </c>
      <c r="H2414" s="5">
        <v>13038</v>
      </c>
      <c r="I2414" s="3" t="str">
        <f>VLOOKUP(Tabela1[[#This Row],[Advogado]],Tabela2[],2,FALSE)</f>
        <v>Caio Brito</v>
      </c>
      <c r="J2414" s="17">
        <f>IF(Tabela1[[#This Row],[Data de conclusão]]="",NETWORKDAYS(Tabela1[[#This Row],[Data de entrada]],$J$2),NETWORKDAYS(Tabela1[[#This Row],[Data de entrada]],Tabela1[[#This Row],[Data de conclusão]]))</f>
        <v>549</v>
      </c>
      <c r="K2414" s="1"/>
    </row>
    <row r="2415" spans="2:11" x14ac:dyDescent="0.25">
      <c r="B2415" s="3">
        <v>2522</v>
      </c>
      <c r="C2415" s="3" t="s">
        <v>9</v>
      </c>
      <c r="D2415" s="3" t="s">
        <v>13</v>
      </c>
      <c r="E2415" s="4">
        <v>42634</v>
      </c>
      <c r="F2415" s="4"/>
      <c r="G2415" s="3" t="s">
        <v>29</v>
      </c>
      <c r="H2415" s="5">
        <v>26551</v>
      </c>
      <c r="I2415" s="3" t="str">
        <f>VLOOKUP(Tabela1[[#This Row],[Advogado]],Tabela2[],2,FALSE)</f>
        <v>Caio Brito</v>
      </c>
      <c r="J2415" s="17">
        <f>IF(Tabela1[[#This Row],[Data de conclusão]]="",NETWORKDAYS(Tabela1[[#This Row],[Data de entrada]],$J$2),NETWORKDAYS(Tabela1[[#This Row],[Data de entrada]],Tabela1[[#This Row],[Data de conclusão]]))</f>
        <v>430</v>
      </c>
      <c r="K2415" s="1"/>
    </row>
    <row r="2416" spans="2:11" x14ac:dyDescent="0.25">
      <c r="B2416" s="3">
        <v>2523</v>
      </c>
      <c r="C2416" s="3" t="s">
        <v>7</v>
      </c>
      <c r="D2416" s="3" t="s">
        <v>14</v>
      </c>
      <c r="E2416" s="4">
        <v>42410</v>
      </c>
      <c r="F2416" s="4"/>
      <c r="G2416" s="3" t="s">
        <v>29</v>
      </c>
      <c r="H2416" s="5">
        <v>36503</v>
      </c>
      <c r="I2416" s="3" t="str">
        <f>VLOOKUP(Tabela1[[#This Row],[Advogado]],Tabela2[],2,FALSE)</f>
        <v>Renê Amaranto</v>
      </c>
      <c r="J2416" s="17">
        <f>IF(Tabela1[[#This Row],[Data de conclusão]]="",NETWORKDAYS(Tabela1[[#This Row],[Data de entrada]],$J$2),NETWORKDAYS(Tabela1[[#This Row],[Data de entrada]],Tabela1[[#This Row],[Data de conclusão]]))</f>
        <v>590</v>
      </c>
      <c r="K2416" s="1"/>
    </row>
    <row r="2417" spans="2:11" x14ac:dyDescent="0.25">
      <c r="B2417" s="3">
        <v>2524</v>
      </c>
      <c r="C2417" s="3" t="s">
        <v>8</v>
      </c>
      <c r="D2417" s="3" t="s">
        <v>15</v>
      </c>
      <c r="E2417" s="4">
        <v>42788</v>
      </c>
      <c r="F2417" s="4"/>
      <c r="G2417" s="3" t="s">
        <v>29</v>
      </c>
      <c r="H2417" s="5">
        <v>57206</v>
      </c>
      <c r="I2417" s="3" t="str">
        <f>VLOOKUP(Tabela1[[#This Row],[Advogado]],Tabela2[],2,FALSE)</f>
        <v>Renê Amaranto</v>
      </c>
      <c r="J2417" s="17">
        <f>IF(Tabela1[[#This Row],[Data de conclusão]]="",NETWORKDAYS(Tabela1[[#This Row],[Data de entrada]],$J$2),NETWORKDAYS(Tabela1[[#This Row],[Data de entrada]],Tabela1[[#This Row],[Data de conclusão]]))</f>
        <v>320</v>
      </c>
      <c r="K2417" s="1"/>
    </row>
    <row r="2418" spans="2:11" x14ac:dyDescent="0.25">
      <c r="B2418" s="3">
        <v>2525</v>
      </c>
      <c r="C2418" s="3" t="s">
        <v>9</v>
      </c>
      <c r="D2418" s="3" t="s">
        <v>16</v>
      </c>
      <c r="E2418" s="4">
        <v>42575</v>
      </c>
      <c r="F2418" s="4"/>
      <c r="G2418" s="3" t="s">
        <v>29</v>
      </c>
      <c r="H2418" s="5">
        <v>19467</v>
      </c>
      <c r="I2418" s="3" t="str">
        <f>VLOOKUP(Tabela1[[#This Row],[Advogado]],Tabela2[],2,FALSE)</f>
        <v>Renê Amaranto</v>
      </c>
      <c r="J2418" s="17">
        <f>IF(Tabela1[[#This Row],[Data de conclusão]]="",NETWORKDAYS(Tabela1[[#This Row],[Data de entrada]],$J$2),NETWORKDAYS(Tabela1[[#This Row],[Data de entrada]],Tabela1[[#This Row],[Data de conclusão]]))</f>
        <v>472</v>
      </c>
      <c r="K2418" s="1"/>
    </row>
    <row r="2419" spans="2:11" x14ac:dyDescent="0.25">
      <c r="B2419" s="3">
        <v>2526</v>
      </c>
      <c r="C2419" s="3" t="s">
        <v>7</v>
      </c>
      <c r="D2419" s="3" t="s">
        <v>17</v>
      </c>
      <c r="E2419" s="4">
        <v>42491</v>
      </c>
      <c r="F2419" s="4"/>
      <c r="G2419" s="3" t="s">
        <v>29</v>
      </c>
      <c r="H2419" s="5">
        <v>36549</v>
      </c>
      <c r="I2419" s="3" t="str">
        <f>VLOOKUP(Tabela1[[#This Row],[Advogado]],Tabela2[],2,FALSE)</f>
        <v>Renê Amaranto</v>
      </c>
      <c r="J2419" s="17">
        <f>IF(Tabela1[[#This Row],[Data de conclusão]]="",NETWORKDAYS(Tabela1[[#This Row],[Data de entrada]],$J$2),NETWORKDAYS(Tabela1[[#This Row],[Data de entrada]],Tabela1[[#This Row],[Data de conclusão]]))</f>
        <v>532</v>
      </c>
      <c r="K2419" s="1"/>
    </row>
    <row r="2420" spans="2:11" x14ac:dyDescent="0.25">
      <c r="B2420" s="3">
        <v>2527</v>
      </c>
      <c r="C2420" s="3" t="s">
        <v>8</v>
      </c>
      <c r="D2420" s="3" t="s">
        <v>10</v>
      </c>
      <c r="E2420" s="4">
        <v>42871</v>
      </c>
      <c r="F2420" s="4">
        <v>42931</v>
      </c>
      <c r="G2420" s="3" t="s">
        <v>28</v>
      </c>
      <c r="H2420" s="5">
        <v>6071</v>
      </c>
      <c r="I2420" s="3" t="str">
        <f>VLOOKUP(Tabela1[[#This Row],[Advogado]],Tabela2[],2,FALSE)</f>
        <v>Caio Brito</v>
      </c>
      <c r="J2420" s="17">
        <f>IF(Tabela1[[#This Row],[Data de conclusão]]="",NETWORKDAYS(Tabela1[[#This Row],[Data de entrada]],$J$2),NETWORKDAYS(Tabela1[[#This Row],[Data de entrada]],Tabela1[[#This Row],[Data de conclusão]]))</f>
        <v>44</v>
      </c>
      <c r="K2420" s="1"/>
    </row>
    <row r="2421" spans="2:11" x14ac:dyDescent="0.25">
      <c r="B2421" s="3">
        <v>2528</v>
      </c>
      <c r="C2421" s="3" t="s">
        <v>9</v>
      </c>
      <c r="D2421" s="3" t="s">
        <v>11</v>
      </c>
      <c r="E2421" s="4">
        <v>42814</v>
      </c>
      <c r="F2421" s="4"/>
      <c r="G2421" s="3" t="s">
        <v>27</v>
      </c>
      <c r="H2421" s="5">
        <v>37379</v>
      </c>
      <c r="I2421" s="3" t="str">
        <f>VLOOKUP(Tabela1[[#This Row],[Advogado]],Tabela2[],2,FALSE)</f>
        <v>Caio Brito</v>
      </c>
      <c r="J2421" s="17">
        <f>IF(Tabela1[[#This Row],[Data de conclusão]]="",NETWORKDAYS(Tabela1[[#This Row],[Data de entrada]],$J$2),NETWORKDAYS(Tabela1[[#This Row],[Data de entrada]],Tabela1[[#This Row],[Data de conclusão]]))</f>
        <v>302</v>
      </c>
      <c r="K2421" s="1"/>
    </row>
    <row r="2422" spans="2:11" x14ac:dyDescent="0.25">
      <c r="B2422" s="3">
        <v>2529</v>
      </c>
      <c r="C2422" s="3" t="s">
        <v>7</v>
      </c>
      <c r="D2422" s="3" t="s">
        <v>12</v>
      </c>
      <c r="E2422" s="4">
        <v>42743</v>
      </c>
      <c r="F2422" s="4"/>
      <c r="G2422" s="3" t="s">
        <v>29</v>
      </c>
      <c r="H2422" s="5">
        <v>33973</v>
      </c>
      <c r="I2422" s="3" t="str">
        <f>VLOOKUP(Tabela1[[#This Row],[Advogado]],Tabela2[],2,FALSE)</f>
        <v>Caio Brito</v>
      </c>
      <c r="J2422" s="17">
        <f>IF(Tabela1[[#This Row],[Data de conclusão]]="",NETWORKDAYS(Tabela1[[#This Row],[Data de entrada]],$J$2),NETWORKDAYS(Tabela1[[#This Row],[Data de entrada]],Tabela1[[#This Row],[Data de conclusão]]))</f>
        <v>352</v>
      </c>
      <c r="K2422" s="1"/>
    </row>
    <row r="2423" spans="2:11" x14ac:dyDescent="0.25">
      <c r="B2423" s="3">
        <v>2530</v>
      </c>
      <c r="C2423" s="3" t="s">
        <v>8</v>
      </c>
      <c r="D2423" s="3" t="s">
        <v>13</v>
      </c>
      <c r="E2423" s="4">
        <v>42674</v>
      </c>
      <c r="F2423" s="4"/>
      <c r="G2423" s="3" t="s">
        <v>29</v>
      </c>
      <c r="H2423" s="5">
        <v>25372</v>
      </c>
      <c r="I2423" s="3" t="str">
        <f>VLOOKUP(Tabela1[[#This Row],[Advogado]],Tabela2[],2,FALSE)</f>
        <v>Caio Brito</v>
      </c>
      <c r="J2423" s="17">
        <f>IF(Tabela1[[#This Row],[Data de conclusão]]="",NETWORKDAYS(Tabela1[[#This Row],[Data de entrada]],$J$2),NETWORKDAYS(Tabela1[[#This Row],[Data de entrada]],Tabela1[[#This Row],[Data de conclusão]]))</f>
        <v>402</v>
      </c>
      <c r="K2423" s="1"/>
    </row>
    <row r="2424" spans="2:11" x14ac:dyDescent="0.25">
      <c r="B2424" s="3">
        <v>2531</v>
      </c>
      <c r="C2424" s="3" t="s">
        <v>9</v>
      </c>
      <c r="D2424" s="3" t="s">
        <v>14</v>
      </c>
      <c r="E2424" s="4">
        <v>42529</v>
      </c>
      <c r="F2424" s="4"/>
      <c r="G2424" s="3" t="s">
        <v>29</v>
      </c>
      <c r="H2424" s="5">
        <v>12079</v>
      </c>
      <c r="I2424" s="3" t="str">
        <f>VLOOKUP(Tabela1[[#This Row],[Advogado]],Tabela2[],2,FALSE)</f>
        <v>Renê Amaranto</v>
      </c>
      <c r="J2424" s="17">
        <f>IF(Tabela1[[#This Row],[Data de conclusão]]="",NETWORKDAYS(Tabela1[[#This Row],[Data de entrada]],$J$2),NETWORKDAYS(Tabela1[[#This Row],[Data de entrada]],Tabela1[[#This Row],[Data de conclusão]]))</f>
        <v>505</v>
      </c>
      <c r="K2424" s="1"/>
    </row>
    <row r="2425" spans="2:11" x14ac:dyDescent="0.25">
      <c r="B2425" s="3">
        <v>2532</v>
      </c>
      <c r="C2425" s="3" t="s">
        <v>7</v>
      </c>
      <c r="D2425" s="3" t="s">
        <v>15</v>
      </c>
      <c r="E2425" s="4">
        <v>42950</v>
      </c>
      <c r="F2425" s="4"/>
      <c r="G2425" s="3" t="s">
        <v>29</v>
      </c>
      <c r="H2425" s="5">
        <v>51547</v>
      </c>
      <c r="I2425" s="3" t="str">
        <f>VLOOKUP(Tabela1[[#This Row],[Advogado]],Tabela2[],2,FALSE)</f>
        <v>Renê Amaranto</v>
      </c>
      <c r="J2425" s="17">
        <f>IF(Tabela1[[#This Row],[Data de conclusão]]="",NETWORKDAYS(Tabela1[[#This Row],[Data de entrada]],$J$2),NETWORKDAYS(Tabela1[[#This Row],[Data de entrada]],Tabela1[[#This Row],[Data de conclusão]]))</f>
        <v>204</v>
      </c>
      <c r="K2425" s="1"/>
    </row>
    <row r="2426" spans="2:11" x14ac:dyDescent="0.25">
      <c r="B2426" s="3">
        <v>2533</v>
      </c>
      <c r="C2426" s="3" t="s">
        <v>8</v>
      </c>
      <c r="D2426" s="3" t="s">
        <v>16</v>
      </c>
      <c r="E2426" s="4">
        <v>43099</v>
      </c>
      <c r="F2426" s="4"/>
      <c r="G2426" s="3" t="s">
        <v>29</v>
      </c>
      <c r="H2426" s="5">
        <v>39055</v>
      </c>
      <c r="I2426" s="3" t="str">
        <f>VLOOKUP(Tabela1[[#This Row],[Advogado]],Tabela2[],2,FALSE)</f>
        <v>Renê Amaranto</v>
      </c>
      <c r="J2426" s="17">
        <f>IF(Tabela1[[#This Row],[Data de conclusão]]="",NETWORKDAYS(Tabela1[[#This Row],[Data de entrada]],$J$2),NETWORKDAYS(Tabela1[[#This Row],[Data de entrada]],Tabela1[[#This Row],[Data de conclusão]]))</f>
        <v>97</v>
      </c>
      <c r="K2426" s="1"/>
    </row>
    <row r="2427" spans="2:11" x14ac:dyDescent="0.25">
      <c r="B2427" s="3">
        <v>2534</v>
      </c>
      <c r="C2427" s="3" t="s">
        <v>9</v>
      </c>
      <c r="D2427" s="3" t="s">
        <v>17</v>
      </c>
      <c r="E2427" s="4">
        <v>43093</v>
      </c>
      <c r="F2427" s="4"/>
      <c r="G2427" s="3" t="s">
        <v>29</v>
      </c>
      <c r="H2427" s="5">
        <v>7408</v>
      </c>
      <c r="I2427" s="3" t="str">
        <f>VLOOKUP(Tabela1[[#This Row],[Advogado]],Tabela2[],2,FALSE)</f>
        <v>Renê Amaranto</v>
      </c>
      <c r="J2427" s="17">
        <f>IF(Tabela1[[#This Row],[Data de conclusão]]="",NETWORKDAYS(Tabela1[[#This Row],[Data de entrada]],$J$2),NETWORKDAYS(Tabela1[[#This Row],[Data de entrada]],Tabela1[[#This Row],[Data de conclusão]]))</f>
        <v>102</v>
      </c>
      <c r="K2427" s="1"/>
    </row>
    <row r="2428" spans="2:11" x14ac:dyDescent="0.25">
      <c r="B2428" s="3">
        <v>2535</v>
      </c>
      <c r="C2428" s="3" t="s">
        <v>7</v>
      </c>
      <c r="D2428" s="3" t="s">
        <v>10</v>
      </c>
      <c r="E2428" s="4">
        <v>42382</v>
      </c>
      <c r="F2428" s="4"/>
      <c r="G2428" s="3" t="s">
        <v>29</v>
      </c>
      <c r="H2428" s="5">
        <v>22453</v>
      </c>
      <c r="I2428" s="3" t="str">
        <f>VLOOKUP(Tabela1[[#This Row],[Advogado]],Tabela2[],2,FALSE)</f>
        <v>Caio Brito</v>
      </c>
      <c r="J2428" s="17">
        <f>IF(Tabela1[[#This Row],[Data de conclusão]]="",NETWORKDAYS(Tabela1[[#This Row],[Data de entrada]],$J$2),NETWORKDAYS(Tabela1[[#This Row],[Data de entrada]],Tabela1[[#This Row],[Data de conclusão]]))</f>
        <v>610</v>
      </c>
      <c r="K2428" s="1"/>
    </row>
    <row r="2429" spans="2:11" x14ac:dyDescent="0.25">
      <c r="B2429" s="3">
        <v>2536</v>
      </c>
      <c r="C2429" s="3" t="s">
        <v>8</v>
      </c>
      <c r="D2429" s="3" t="s">
        <v>11</v>
      </c>
      <c r="E2429" s="4">
        <v>42700</v>
      </c>
      <c r="F2429" s="4"/>
      <c r="G2429" s="3" t="s">
        <v>29</v>
      </c>
      <c r="H2429" s="5">
        <v>28370</v>
      </c>
      <c r="I2429" s="3" t="str">
        <f>VLOOKUP(Tabela1[[#This Row],[Advogado]],Tabela2[],2,FALSE)</f>
        <v>Caio Brito</v>
      </c>
      <c r="J2429" s="17">
        <f>IF(Tabela1[[#This Row],[Data de conclusão]]="",NETWORKDAYS(Tabela1[[#This Row],[Data de entrada]],$J$2),NETWORKDAYS(Tabela1[[#This Row],[Data de entrada]],Tabela1[[#This Row],[Data de conclusão]]))</f>
        <v>382</v>
      </c>
      <c r="K2429" s="1"/>
    </row>
    <row r="2430" spans="2:11" x14ac:dyDescent="0.25">
      <c r="B2430" s="3">
        <v>2537</v>
      </c>
      <c r="C2430" s="3" t="s">
        <v>9</v>
      </c>
      <c r="D2430" s="3" t="s">
        <v>12</v>
      </c>
      <c r="E2430" s="4">
        <v>42678</v>
      </c>
      <c r="F2430" s="4"/>
      <c r="G2430" s="3" t="s">
        <v>29</v>
      </c>
      <c r="H2430" s="5">
        <v>42441</v>
      </c>
      <c r="I2430" s="3" t="str">
        <f>VLOOKUP(Tabela1[[#This Row],[Advogado]],Tabela2[],2,FALSE)</f>
        <v>Caio Brito</v>
      </c>
      <c r="J2430" s="17">
        <f>IF(Tabela1[[#This Row],[Data de conclusão]]="",NETWORKDAYS(Tabela1[[#This Row],[Data de entrada]],$J$2),NETWORKDAYS(Tabela1[[#This Row],[Data de entrada]],Tabela1[[#This Row],[Data de conclusão]]))</f>
        <v>398</v>
      </c>
      <c r="K2430" s="1"/>
    </row>
    <row r="2431" spans="2:11" x14ac:dyDescent="0.25">
      <c r="B2431" s="3">
        <v>2538</v>
      </c>
      <c r="C2431" s="3" t="s">
        <v>7</v>
      </c>
      <c r="D2431" s="3" t="s">
        <v>13</v>
      </c>
      <c r="E2431" s="4">
        <v>42637</v>
      </c>
      <c r="F2431" s="4"/>
      <c r="G2431" s="3" t="s">
        <v>29</v>
      </c>
      <c r="H2431" s="5">
        <v>57310</v>
      </c>
      <c r="I2431" s="3" t="str">
        <f>VLOOKUP(Tabela1[[#This Row],[Advogado]],Tabela2[],2,FALSE)</f>
        <v>Caio Brito</v>
      </c>
      <c r="J2431" s="17">
        <f>IF(Tabela1[[#This Row],[Data de conclusão]]="",NETWORKDAYS(Tabela1[[#This Row],[Data de entrada]],$J$2),NETWORKDAYS(Tabela1[[#This Row],[Data de entrada]],Tabela1[[#This Row],[Data de conclusão]]))</f>
        <v>427</v>
      </c>
      <c r="K2431" s="1"/>
    </row>
    <row r="2432" spans="2:11" x14ac:dyDescent="0.25">
      <c r="B2432" s="3">
        <v>2539</v>
      </c>
      <c r="C2432" s="3" t="s">
        <v>8</v>
      </c>
      <c r="D2432" s="3" t="s">
        <v>14</v>
      </c>
      <c r="E2432" s="4">
        <v>42966</v>
      </c>
      <c r="F2432" s="4"/>
      <c r="G2432" s="3" t="s">
        <v>29</v>
      </c>
      <c r="H2432" s="5">
        <v>54364</v>
      </c>
      <c r="I2432" s="3" t="str">
        <f>VLOOKUP(Tabela1[[#This Row],[Advogado]],Tabela2[],2,FALSE)</f>
        <v>Renê Amaranto</v>
      </c>
      <c r="J2432" s="17">
        <f>IF(Tabela1[[#This Row],[Data de conclusão]]="",NETWORKDAYS(Tabela1[[#This Row],[Data de entrada]],$J$2),NETWORKDAYS(Tabela1[[#This Row],[Data de entrada]],Tabela1[[#This Row],[Data de conclusão]]))</f>
        <v>192</v>
      </c>
      <c r="K2432" s="1"/>
    </row>
    <row r="2433" spans="2:11" x14ac:dyDescent="0.25">
      <c r="B2433" s="3">
        <v>2540</v>
      </c>
      <c r="C2433" s="3" t="s">
        <v>9</v>
      </c>
      <c r="D2433" s="3" t="s">
        <v>15</v>
      </c>
      <c r="E2433" s="4">
        <v>42825</v>
      </c>
      <c r="F2433" s="4">
        <v>42862</v>
      </c>
      <c r="G2433" s="3" t="s">
        <v>28</v>
      </c>
      <c r="H2433" s="5">
        <v>3671</v>
      </c>
      <c r="I2433" s="3" t="str">
        <f>VLOOKUP(Tabela1[[#This Row],[Advogado]],Tabela2[],2,FALSE)</f>
        <v>Renê Amaranto</v>
      </c>
      <c r="J2433" s="17">
        <f>IF(Tabela1[[#This Row],[Data de conclusão]]="",NETWORKDAYS(Tabela1[[#This Row],[Data de entrada]],$J$2),NETWORKDAYS(Tabela1[[#This Row],[Data de entrada]],Tabela1[[#This Row],[Data de conclusão]]))</f>
        <v>26</v>
      </c>
      <c r="K2433" s="1"/>
    </row>
    <row r="2434" spans="2:11" x14ac:dyDescent="0.25">
      <c r="B2434" s="3">
        <v>2541</v>
      </c>
      <c r="C2434" s="3" t="s">
        <v>7</v>
      </c>
      <c r="D2434" s="3" t="s">
        <v>16</v>
      </c>
      <c r="E2434" s="4">
        <v>42702</v>
      </c>
      <c r="F2434" s="4"/>
      <c r="G2434" s="3" t="s">
        <v>27</v>
      </c>
      <c r="H2434" s="5">
        <v>3308</v>
      </c>
      <c r="I2434" s="3" t="str">
        <f>VLOOKUP(Tabela1[[#This Row],[Advogado]],Tabela2[],2,FALSE)</f>
        <v>Renê Amaranto</v>
      </c>
      <c r="J2434" s="17">
        <f>IF(Tabela1[[#This Row],[Data de conclusão]]="",NETWORKDAYS(Tabela1[[#This Row],[Data de entrada]],$J$2),NETWORKDAYS(Tabela1[[#This Row],[Data de entrada]],Tabela1[[#This Row],[Data de conclusão]]))</f>
        <v>382</v>
      </c>
      <c r="K2434" s="1"/>
    </row>
    <row r="2435" spans="2:11" x14ac:dyDescent="0.25">
      <c r="B2435" s="3">
        <v>2542</v>
      </c>
      <c r="C2435" s="3" t="s">
        <v>8</v>
      </c>
      <c r="D2435" s="3" t="s">
        <v>17</v>
      </c>
      <c r="E2435" s="4">
        <v>42669</v>
      </c>
      <c r="F2435" s="4"/>
      <c r="G2435" s="3" t="s">
        <v>29</v>
      </c>
      <c r="H2435" s="5">
        <v>2455</v>
      </c>
      <c r="I2435" s="3" t="str">
        <f>VLOOKUP(Tabela1[[#This Row],[Advogado]],Tabela2[],2,FALSE)</f>
        <v>Renê Amaranto</v>
      </c>
      <c r="J2435" s="17">
        <f>IF(Tabela1[[#This Row],[Data de conclusão]]="",NETWORKDAYS(Tabela1[[#This Row],[Data de entrada]],$J$2),NETWORKDAYS(Tabela1[[#This Row],[Data de entrada]],Tabela1[[#This Row],[Data de conclusão]]))</f>
        <v>405</v>
      </c>
      <c r="K2435" s="1"/>
    </row>
    <row r="2436" spans="2:11" x14ac:dyDescent="0.25">
      <c r="B2436" s="3">
        <v>2543</v>
      </c>
      <c r="C2436" s="3" t="s">
        <v>9</v>
      </c>
      <c r="D2436" s="3" t="s">
        <v>10</v>
      </c>
      <c r="E2436" s="4">
        <v>42989</v>
      </c>
      <c r="F2436" s="4"/>
      <c r="G2436" s="3" t="s">
        <v>29</v>
      </c>
      <c r="H2436" s="5">
        <v>10566</v>
      </c>
      <c r="I2436" s="3" t="str">
        <f>VLOOKUP(Tabela1[[#This Row],[Advogado]],Tabela2[],2,FALSE)</f>
        <v>Caio Brito</v>
      </c>
      <c r="J2436" s="17">
        <f>IF(Tabela1[[#This Row],[Data de conclusão]]="",NETWORKDAYS(Tabela1[[#This Row],[Data de entrada]],$J$2),NETWORKDAYS(Tabela1[[#This Row],[Data de entrada]],Tabela1[[#This Row],[Data de conclusão]]))</f>
        <v>177</v>
      </c>
      <c r="K2436" s="1"/>
    </row>
    <row r="2437" spans="2:11" x14ac:dyDescent="0.25">
      <c r="B2437" s="3">
        <v>2544</v>
      </c>
      <c r="C2437" s="3" t="s">
        <v>7</v>
      </c>
      <c r="D2437" s="3" t="s">
        <v>11</v>
      </c>
      <c r="E2437" s="4">
        <v>42459</v>
      </c>
      <c r="F2437" s="4"/>
      <c r="G2437" s="3" t="s">
        <v>29</v>
      </c>
      <c r="H2437" s="5">
        <v>19040</v>
      </c>
      <c r="I2437" s="3" t="str">
        <f>VLOOKUP(Tabela1[[#This Row],[Advogado]],Tabela2[],2,FALSE)</f>
        <v>Caio Brito</v>
      </c>
      <c r="J2437" s="17">
        <f>IF(Tabela1[[#This Row],[Data de conclusão]]="",NETWORKDAYS(Tabela1[[#This Row],[Data de entrada]],$J$2),NETWORKDAYS(Tabela1[[#This Row],[Data de entrada]],Tabela1[[#This Row],[Data de conclusão]]))</f>
        <v>555</v>
      </c>
      <c r="K2437" s="1"/>
    </row>
    <row r="2438" spans="2:11" x14ac:dyDescent="0.25">
      <c r="B2438" s="3">
        <v>2545</v>
      </c>
      <c r="C2438" s="3" t="s">
        <v>8</v>
      </c>
      <c r="D2438" s="3" t="s">
        <v>12</v>
      </c>
      <c r="E2438" s="4">
        <v>42803</v>
      </c>
      <c r="F2438" s="4"/>
      <c r="G2438" s="3" t="s">
        <v>29</v>
      </c>
      <c r="H2438" s="5">
        <v>49771</v>
      </c>
      <c r="I2438" s="3" t="str">
        <f>VLOOKUP(Tabela1[[#This Row],[Advogado]],Tabela2[],2,FALSE)</f>
        <v>Caio Brito</v>
      </c>
      <c r="J2438" s="17">
        <f>IF(Tabela1[[#This Row],[Data de conclusão]]="",NETWORKDAYS(Tabela1[[#This Row],[Data de entrada]],$J$2),NETWORKDAYS(Tabela1[[#This Row],[Data de entrada]],Tabela1[[#This Row],[Data de conclusão]]))</f>
        <v>309</v>
      </c>
      <c r="K2438" s="1"/>
    </row>
    <row r="2439" spans="2:11" x14ac:dyDescent="0.25">
      <c r="B2439" s="3">
        <v>2546</v>
      </c>
      <c r="C2439" s="3" t="s">
        <v>9</v>
      </c>
      <c r="D2439" s="3" t="s">
        <v>13</v>
      </c>
      <c r="E2439" s="4">
        <v>42851</v>
      </c>
      <c r="F2439" s="4"/>
      <c r="G2439" s="3" t="s">
        <v>29</v>
      </c>
      <c r="H2439" s="5">
        <v>37706</v>
      </c>
      <c r="I2439" s="3" t="str">
        <f>VLOOKUP(Tabela1[[#This Row],[Advogado]],Tabela2[],2,FALSE)</f>
        <v>Caio Brito</v>
      </c>
      <c r="J2439" s="17">
        <f>IF(Tabela1[[#This Row],[Data de conclusão]]="",NETWORKDAYS(Tabela1[[#This Row],[Data de entrada]],$J$2),NETWORKDAYS(Tabela1[[#This Row],[Data de entrada]],Tabela1[[#This Row],[Data de conclusão]]))</f>
        <v>275</v>
      </c>
      <c r="K2439" s="1"/>
    </row>
    <row r="2440" spans="2:11" x14ac:dyDescent="0.25">
      <c r="B2440" s="3">
        <v>2547</v>
      </c>
      <c r="C2440" s="3" t="s">
        <v>7</v>
      </c>
      <c r="D2440" s="3" t="s">
        <v>14</v>
      </c>
      <c r="E2440" s="4">
        <v>42946</v>
      </c>
      <c r="F2440" s="4"/>
      <c r="G2440" s="3" t="s">
        <v>29</v>
      </c>
      <c r="H2440" s="5">
        <v>8261</v>
      </c>
      <c r="I2440" s="3" t="str">
        <f>VLOOKUP(Tabela1[[#This Row],[Advogado]],Tabela2[],2,FALSE)</f>
        <v>Renê Amaranto</v>
      </c>
      <c r="J2440" s="17">
        <f>IF(Tabela1[[#This Row],[Data de conclusão]]="",NETWORKDAYS(Tabela1[[#This Row],[Data de entrada]],$J$2),NETWORKDAYS(Tabela1[[#This Row],[Data de entrada]],Tabela1[[#This Row],[Data de conclusão]]))</f>
        <v>207</v>
      </c>
      <c r="K2440" s="1"/>
    </row>
    <row r="2441" spans="2:11" x14ac:dyDescent="0.25">
      <c r="B2441" s="3">
        <v>2548</v>
      </c>
      <c r="C2441" s="3" t="s">
        <v>8</v>
      </c>
      <c r="D2441" s="3" t="s">
        <v>15</v>
      </c>
      <c r="E2441" s="4">
        <v>42515</v>
      </c>
      <c r="F2441" s="4"/>
      <c r="G2441" s="3" t="s">
        <v>29</v>
      </c>
      <c r="H2441" s="5">
        <v>53183</v>
      </c>
      <c r="I2441" s="3" t="str">
        <f>VLOOKUP(Tabela1[[#This Row],[Advogado]],Tabela2[],2,FALSE)</f>
        <v>Renê Amaranto</v>
      </c>
      <c r="J2441" s="17">
        <f>IF(Tabela1[[#This Row],[Data de conclusão]]="",NETWORKDAYS(Tabela1[[#This Row],[Data de entrada]],$J$2),NETWORKDAYS(Tabela1[[#This Row],[Data de entrada]],Tabela1[[#This Row],[Data de conclusão]]))</f>
        <v>515</v>
      </c>
      <c r="K2441" s="1"/>
    </row>
    <row r="2442" spans="2:11" x14ac:dyDescent="0.25">
      <c r="B2442" s="3">
        <v>2549</v>
      </c>
      <c r="C2442" s="3" t="s">
        <v>9</v>
      </c>
      <c r="D2442" s="3" t="s">
        <v>16</v>
      </c>
      <c r="E2442" s="4">
        <v>42935</v>
      </c>
      <c r="F2442" s="4"/>
      <c r="G2442" s="3" t="s">
        <v>29</v>
      </c>
      <c r="H2442" s="5">
        <v>19196</v>
      </c>
      <c r="I2442" s="3" t="str">
        <f>VLOOKUP(Tabela1[[#This Row],[Advogado]],Tabela2[],2,FALSE)</f>
        <v>Renê Amaranto</v>
      </c>
      <c r="J2442" s="17">
        <f>IF(Tabela1[[#This Row],[Data de conclusão]]="",NETWORKDAYS(Tabela1[[#This Row],[Data de entrada]],$J$2),NETWORKDAYS(Tabela1[[#This Row],[Data de entrada]],Tabela1[[#This Row],[Data de conclusão]]))</f>
        <v>215</v>
      </c>
      <c r="K2442" s="1"/>
    </row>
    <row r="2443" spans="2:11" x14ac:dyDescent="0.25">
      <c r="B2443" s="3">
        <v>2550</v>
      </c>
      <c r="C2443" s="3" t="s">
        <v>7</v>
      </c>
      <c r="D2443" s="3" t="s">
        <v>17</v>
      </c>
      <c r="E2443" s="4">
        <v>42585</v>
      </c>
      <c r="F2443" s="4"/>
      <c r="G2443" s="3" t="s">
        <v>29</v>
      </c>
      <c r="H2443" s="5">
        <v>14582</v>
      </c>
      <c r="I2443" s="3" t="str">
        <f>VLOOKUP(Tabela1[[#This Row],[Advogado]],Tabela2[],2,FALSE)</f>
        <v>Renê Amaranto</v>
      </c>
      <c r="J2443" s="17">
        <f>IF(Tabela1[[#This Row],[Data de conclusão]]="",NETWORKDAYS(Tabela1[[#This Row],[Data de entrada]],$J$2),NETWORKDAYS(Tabela1[[#This Row],[Data de entrada]],Tabela1[[#This Row],[Data de conclusão]]))</f>
        <v>465</v>
      </c>
      <c r="K2443" s="1"/>
    </row>
    <row r="2444" spans="2:11" x14ac:dyDescent="0.25">
      <c r="B2444" s="3">
        <v>2551</v>
      </c>
      <c r="C2444" s="3" t="s">
        <v>8</v>
      </c>
      <c r="D2444" s="3" t="s">
        <v>10</v>
      </c>
      <c r="E2444" s="4">
        <v>42762</v>
      </c>
      <c r="F2444" s="4"/>
      <c r="G2444" s="3" t="s">
        <v>29</v>
      </c>
      <c r="H2444" s="5">
        <v>26010</v>
      </c>
      <c r="I2444" s="3" t="str">
        <f>VLOOKUP(Tabela1[[#This Row],[Advogado]],Tabela2[],2,FALSE)</f>
        <v>Caio Brito</v>
      </c>
      <c r="J2444" s="17">
        <f>IF(Tabela1[[#This Row],[Data de conclusão]]="",NETWORKDAYS(Tabela1[[#This Row],[Data de entrada]],$J$2),NETWORKDAYS(Tabela1[[#This Row],[Data de entrada]],Tabela1[[#This Row],[Data de conclusão]]))</f>
        <v>338</v>
      </c>
      <c r="K2444" s="1"/>
    </row>
    <row r="2445" spans="2:11" x14ac:dyDescent="0.25">
      <c r="B2445" s="3">
        <v>2552</v>
      </c>
      <c r="C2445" s="3" t="s">
        <v>9</v>
      </c>
      <c r="D2445" s="3" t="s">
        <v>11</v>
      </c>
      <c r="E2445" s="4">
        <v>43052</v>
      </c>
      <c r="F2445" s="4"/>
      <c r="G2445" s="3" t="s">
        <v>29</v>
      </c>
      <c r="H2445" s="5">
        <v>31452</v>
      </c>
      <c r="I2445" s="3" t="str">
        <f>VLOOKUP(Tabela1[[#This Row],[Advogado]],Tabela2[],2,FALSE)</f>
        <v>Caio Brito</v>
      </c>
      <c r="J2445" s="17">
        <f>IF(Tabela1[[#This Row],[Data de conclusão]]="",NETWORKDAYS(Tabela1[[#This Row],[Data de entrada]],$J$2),NETWORKDAYS(Tabela1[[#This Row],[Data de entrada]],Tabela1[[#This Row],[Data de conclusão]]))</f>
        <v>132</v>
      </c>
      <c r="K2445" s="1"/>
    </row>
    <row r="2446" spans="2:11" x14ac:dyDescent="0.25">
      <c r="B2446" s="3">
        <v>2553</v>
      </c>
      <c r="C2446" s="3" t="s">
        <v>7</v>
      </c>
      <c r="D2446" s="3" t="s">
        <v>12</v>
      </c>
      <c r="E2446" s="4">
        <v>43057</v>
      </c>
      <c r="F2446" s="4">
        <v>43199</v>
      </c>
      <c r="G2446" s="3" t="s">
        <v>28</v>
      </c>
      <c r="H2446" s="5">
        <v>57599</v>
      </c>
      <c r="I2446" s="3" t="str">
        <f>VLOOKUP(Tabela1[[#This Row],[Advogado]],Tabela2[],2,FALSE)</f>
        <v>Caio Brito</v>
      </c>
      <c r="J2446" s="17">
        <f>IF(Tabela1[[#This Row],[Data de conclusão]]="",NETWORKDAYS(Tabela1[[#This Row],[Data de entrada]],$J$2),NETWORKDAYS(Tabela1[[#This Row],[Data de entrada]],Tabela1[[#This Row],[Data de conclusão]]))</f>
        <v>101</v>
      </c>
      <c r="K2446" s="1"/>
    </row>
    <row r="2447" spans="2:11" x14ac:dyDescent="0.25">
      <c r="B2447" s="3">
        <v>2554</v>
      </c>
      <c r="C2447" s="3" t="s">
        <v>8</v>
      </c>
      <c r="D2447" s="3" t="s">
        <v>13</v>
      </c>
      <c r="E2447" s="4">
        <v>42612</v>
      </c>
      <c r="F2447" s="4"/>
      <c r="G2447" s="3" t="s">
        <v>27</v>
      </c>
      <c r="H2447" s="5">
        <v>42009</v>
      </c>
      <c r="I2447" s="3" t="str">
        <f>VLOOKUP(Tabela1[[#This Row],[Advogado]],Tabela2[],2,FALSE)</f>
        <v>Caio Brito</v>
      </c>
      <c r="J2447" s="17">
        <f>IF(Tabela1[[#This Row],[Data de conclusão]]="",NETWORKDAYS(Tabela1[[#This Row],[Data de entrada]],$J$2),NETWORKDAYS(Tabela1[[#This Row],[Data de entrada]],Tabela1[[#This Row],[Data de conclusão]]))</f>
        <v>446</v>
      </c>
      <c r="K2447" s="1"/>
    </row>
    <row r="2448" spans="2:11" x14ac:dyDescent="0.25">
      <c r="B2448" s="3">
        <v>2555</v>
      </c>
      <c r="C2448" s="3" t="s">
        <v>9</v>
      </c>
      <c r="D2448" s="3" t="s">
        <v>14</v>
      </c>
      <c r="E2448" s="4">
        <v>43037</v>
      </c>
      <c r="F2448" s="4"/>
      <c r="G2448" s="3" t="s">
        <v>29</v>
      </c>
      <c r="H2448" s="5">
        <v>5951</v>
      </c>
      <c r="I2448" s="3" t="str">
        <f>VLOOKUP(Tabela1[[#This Row],[Advogado]],Tabela2[],2,FALSE)</f>
        <v>Renê Amaranto</v>
      </c>
      <c r="J2448" s="17">
        <f>IF(Tabela1[[#This Row],[Data de conclusão]]="",NETWORKDAYS(Tabela1[[#This Row],[Data de entrada]],$J$2),NETWORKDAYS(Tabela1[[#This Row],[Data de entrada]],Tabela1[[#This Row],[Data de conclusão]]))</f>
        <v>142</v>
      </c>
      <c r="K2448" s="1"/>
    </row>
    <row r="2449" spans="2:11" x14ac:dyDescent="0.25">
      <c r="B2449" s="3">
        <v>2556</v>
      </c>
      <c r="C2449" s="3" t="s">
        <v>7</v>
      </c>
      <c r="D2449" s="3" t="s">
        <v>15</v>
      </c>
      <c r="E2449" s="4">
        <v>42683</v>
      </c>
      <c r="F2449" s="4"/>
      <c r="G2449" s="3" t="s">
        <v>29</v>
      </c>
      <c r="H2449" s="5">
        <v>27228</v>
      </c>
      <c r="I2449" s="3" t="str">
        <f>VLOOKUP(Tabela1[[#This Row],[Advogado]],Tabela2[],2,FALSE)</f>
        <v>Renê Amaranto</v>
      </c>
      <c r="J2449" s="17">
        <f>IF(Tabela1[[#This Row],[Data de conclusão]]="",NETWORKDAYS(Tabela1[[#This Row],[Data de entrada]],$J$2),NETWORKDAYS(Tabela1[[#This Row],[Data de entrada]],Tabela1[[#This Row],[Data de conclusão]]))</f>
        <v>395</v>
      </c>
      <c r="K2449" s="1"/>
    </row>
    <row r="2450" spans="2:11" x14ac:dyDescent="0.25">
      <c r="B2450" s="3">
        <v>2557</v>
      </c>
      <c r="C2450" s="3" t="s">
        <v>8</v>
      </c>
      <c r="D2450" s="3" t="s">
        <v>16</v>
      </c>
      <c r="E2450" s="4">
        <v>42419</v>
      </c>
      <c r="F2450" s="4"/>
      <c r="G2450" s="3" t="s">
        <v>29</v>
      </c>
      <c r="H2450" s="5">
        <v>2194</v>
      </c>
      <c r="I2450" s="3" t="str">
        <f>VLOOKUP(Tabela1[[#This Row],[Advogado]],Tabela2[],2,FALSE)</f>
        <v>Renê Amaranto</v>
      </c>
      <c r="J2450" s="17">
        <f>IF(Tabela1[[#This Row],[Data de conclusão]]="",NETWORKDAYS(Tabela1[[#This Row],[Data de entrada]],$J$2),NETWORKDAYS(Tabela1[[#This Row],[Data de entrada]],Tabela1[[#This Row],[Data de conclusão]]))</f>
        <v>583</v>
      </c>
      <c r="K2450" s="1"/>
    </row>
    <row r="2451" spans="2:11" x14ac:dyDescent="0.25">
      <c r="B2451" s="3">
        <v>2558</v>
      </c>
      <c r="C2451" s="3" t="s">
        <v>9</v>
      </c>
      <c r="D2451" s="3" t="s">
        <v>17</v>
      </c>
      <c r="E2451" s="4">
        <v>42944</v>
      </c>
      <c r="F2451" s="4"/>
      <c r="G2451" s="3" t="s">
        <v>29</v>
      </c>
      <c r="H2451" s="5">
        <v>56865</v>
      </c>
      <c r="I2451" s="3" t="str">
        <f>VLOOKUP(Tabela1[[#This Row],[Advogado]],Tabela2[],2,FALSE)</f>
        <v>Renê Amaranto</v>
      </c>
      <c r="J2451" s="17">
        <f>IF(Tabela1[[#This Row],[Data de conclusão]]="",NETWORKDAYS(Tabela1[[#This Row],[Data de entrada]],$J$2),NETWORKDAYS(Tabela1[[#This Row],[Data de entrada]],Tabela1[[#This Row],[Data de conclusão]]))</f>
        <v>208</v>
      </c>
      <c r="K2451" s="1"/>
    </row>
    <row r="2452" spans="2:11" x14ac:dyDescent="0.25">
      <c r="B2452" s="3">
        <v>2559</v>
      </c>
      <c r="C2452" s="3" t="s">
        <v>7</v>
      </c>
      <c r="D2452" s="3" t="s">
        <v>10</v>
      </c>
      <c r="E2452" s="4">
        <v>43002</v>
      </c>
      <c r="F2452" s="4"/>
      <c r="G2452" s="3" t="s">
        <v>29</v>
      </c>
      <c r="H2452" s="5">
        <v>57114</v>
      </c>
      <c r="I2452" s="3" t="str">
        <f>VLOOKUP(Tabela1[[#This Row],[Advogado]],Tabela2[],2,FALSE)</f>
        <v>Caio Brito</v>
      </c>
      <c r="J2452" s="17">
        <f>IF(Tabela1[[#This Row],[Data de conclusão]]="",NETWORKDAYS(Tabela1[[#This Row],[Data de entrada]],$J$2),NETWORKDAYS(Tabela1[[#This Row],[Data de entrada]],Tabela1[[#This Row],[Data de conclusão]]))</f>
        <v>167</v>
      </c>
      <c r="K2452" s="1"/>
    </row>
    <row r="2453" spans="2:11" x14ac:dyDescent="0.25">
      <c r="B2453" s="3">
        <v>2560</v>
      </c>
      <c r="C2453" s="3" t="s">
        <v>8</v>
      </c>
      <c r="D2453" s="3" t="s">
        <v>11</v>
      </c>
      <c r="E2453" s="4">
        <v>42905</v>
      </c>
      <c r="F2453" s="4"/>
      <c r="G2453" s="3" t="s">
        <v>29</v>
      </c>
      <c r="H2453" s="5">
        <v>26087</v>
      </c>
      <c r="I2453" s="3" t="str">
        <f>VLOOKUP(Tabela1[[#This Row],[Advogado]],Tabela2[],2,FALSE)</f>
        <v>Caio Brito</v>
      </c>
      <c r="J2453" s="17">
        <f>IF(Tabela1[[#This Row],[Data de conclusão]]="",NETWORKDAYS(Tabela1[[#This Row],[Data de entrada]],$J$2),NETWORKDAYS(Tabela1[[#This Row],[Data de entrada]],Tabela1[[#This Row],[Data de conclusão]]))</f>
        <v>237</v>
      </c>
      <c r="K2453" s="1"/>
    </row>
    <row r="2454" spans="2:11" x14ac:dyDescent="0.25">
      <c r="B2454" s="3">
        <v>2561</v>
      </c>
      <c r="C2454" s="3" t="s">
        <v>9</v>
      </c>
      <c r="D2454" s="3" t="s">
        <v>12</v>
      </c>
      <c r="E2454" s="4">
        <v>42843</v>
      </c>
      <c r="F2454" s="4"/>
      <c r="G2454" s="3" t="s">
        <v>29</v>
      </c>
      <c r="H2454" s="5">
        <v>21164</v>
      </c>
      <c r="I2454" s="3" t="str">
        <f>VLOOKUP(Tabela1[[#This Row],[Advogado]],Tabela2[],2,FALSE)</f>
        <v>Caio Brito</v>
      </c>
      <c r="J2454" s="17">
        <f>IF(Tabela1[[#This Row],[Data de conclusão]]="",NETWORKDAYS(Tabela1[[#This Row],[Data de entrada]],$J$2),NETWORKDAYS(Tabela1[[#This Row],[Data de entrada]],Tabela1[[#This Row],[Data de conclusão]]))</f>
        <v>281</v>
      </c>
      <c r="K2454" s="1"/>
    </row>
    <row r="2455" spans="2:11" x14ac:dyDescent="0.25">
      <c r="B2455" s="3">
        <v>2562</v>
      </c>
      <c r="C2455" s="3" t="s">
        <v>7</v>
      </c>
      <c r="D2455" s="3" t="s">
        <v>13</v>
      </c>
      <c r="E2455" s="4">
        <v>42859</v>
      </c>
      <c r="F2455" s="4"/>
      <c r="G2455" s="3" t="s">
        <v>29</v>
      </c>
      <c r="H2455" s="5">
        <v>33152</v>
      </c>
      <c r="I2455" s="3" t="str">
        <f>VLOOKUP(Tabela1[[#This Row],[Advogado]],Tabela2[],2,FALSE)</f>
        <v>Caio Brito</v>
      </c>
      <c r="J2455" s="17">
        <f>IF(Tabela1[[#This Row],[Data de conclusão]]="",NETWORKDAYS(Tabela1[[#This Row],[Data de entrada]],$J$2),NETWORKDAYS(Tabela1[[#This Row],[Data de entrada]],Tabela1[[#This Row],[Data de conclusão]]))</f>
        <v>269</v>
      </c>
      <c r="K2455" s="1"/>
    </row>
    <row r="2456" spans="2:11" x14ac:dyDescent="0.25">
      <c r="B2456" s="3">
        <v>2563</v>
      </c>
      <c r="C2456" s="3" t="s">
        <v>8</v>
      </c>
      <c r="D2456" s="3" t="s">
        <v>14</v>
      </c>
      <c r="E2456" s="4">
        <v>42563</v>
      </c>
      <c r="F2456" s="4"/>
      <c r="G2456" s="3" t="s">
        <v>29</v>
      </c>
      <c r="H2456" s="5">
        <v>37824</v>
      </c>
      <c r="I2456" s="3" t="str">
        <f>VLOOKUP(Tabela1[[#This Row],[Advogado]],Tabela2[],2,FALSE)</f>
        <v>Renê Amaranto</v>
      </c>
      <c r="J2456" s="17">
        <f>IF(Tabela1[[#This Row],[Data de conclusão]]="",NETWORKDAYS(Tabela1[[#This Row],[Data de entrada]],$J$2),NETWORKDAYS(Tabela1[[#This Row],[Data de entrada]],Tabela1[[#This Row],[Data de conclusão]]))</f>
        <v>481</v>
      </c>
      <c r="K2456" s="1"/>
    </row>
    <row r="2457" spans="2:11" x14ac:dyDescent="0.25">
      <c r="B2457" s="3">
        <v>2564</v>
      </c>
      <c r="C2457" s="3" t="s">
        <v>9</v>
      </c>
      <c r="D2457" s="3" t="s">
        <v>15</v>
      </c>
      <c r="E2457" s="4">
        <v>42401</v>
      </c>
      <c r="F2457" s="4"/>
      <c r="G2457" s="3" t="s">
        <v>29</v>
      </c>
      <c r="H2457" s="5">
        <v>57176</v>
      </c>
      <c r="I2457" s="3" t="str">
        <f>VLOOKUP(Tabela1[[#This Row],[Advogado]],Tabela2[],2,FALSE)</f>
        <v>Renê Amaranto</v>
      </c>
      <c r="J2457" s="17">
        <f>IF(Tabela1[[#This Row],[Data de conclusão]]="",NETWORKDAYS(Tabela1[[#This Row],[Data de entrada]],$J$2),NETWORKDAYS(Tabela1[[#This Row],[Data de entrada]],Tabela1[[#This Row],[Data de conclusão]]))</f>
        <v>597</v>
      </c>
      <c r="K2457" s="1"/>
    </row>
    <row r="2458" spans="2:11" x14ac:dyDescent="0.25">
      <c r="B2458" s="3">
        <v>2565</v>
      </c>
      <c r="C2458" s="3" t="s">
        <v>7</v>
      </c>
      <c r="D2458" s="3" t="s">
        <v>16</v>
      </c>
      <c r="E2458" s="4">
        <v>42963</v>
      </c>
      <c r="F2458" s="4"/>
      <c r="G2458" s="3" t="s">
        <v>29</v>
      </c>
      <c r="H2458" s="5">
        <v>51542</v>
      </c>
      <c r="I2458" s="3" t="str">
        <f>VLOOKUP(Tabela1[[#This Row],[Advogado]],Tabela2[],2,FALSE)</f>
        <v>Renê Amaranto</v>
      </c>
      <c r="J2458" s="17">
        <f>IF(Tabela1[[#This Row],[Data de conclusão]]="",NETWORKDAYS(Tabela1[[#This Row],[Data de entrada]],$J$2),NETWORKDAYS(Tabela1[[#This Row],[Data de entrada]],Tabela1[[#This Row],[Data de conclusão]]))</f>
        <v>195</v>
      </c>
      <c r="K2458" s="1"/>
    </row>
    <row r="2459" spans="2:11" x14ac:dyDescent="0.25">
      <c r="B2459" s="3">
        <v>2566</v>
      </c>
      <c r="C2459" s="3" t="s">
        <v>8</v>
      </c>
      <c r="D2459" s="3" t="s">
        <v>17</v>
      </c>
      <c r="E2459" s="4">
        <v>42728</v>
      </c>
      <c r="F2459" s="4">
        <v>42774</v>
      </c>
      <c r="G2459" s="3" t="s">
        <v>28</v>
      </c>
      <c r="H2459" s="5">
        <v>5882</v>
      </c>
      <c r="I2459" s="3" t="str">
        <f>VLOOKUP(Tabela1[[#This Row],[Advogado]],Tabela2[],2,FALSE)</f>
        <v>Renê Amaranto</v>
      </c>
      <c r="J2459" s="17">
        <f>IF(Tabela1[[#This Row],[Data de conclusão]]="",NETWORKDAYS(Tabela1[[#This Row],[Data de entrada]],$J$2),NETWORKDAYS(Tabela1[[#This Row],[Data de entrada]],Tabela1[[#This Row],[Data de conclusão]]))</f>
        <v>33</v>
      </c>
      <c r="K2459" s="1"/>
    </row>
    <row r="2460" spans="2:11" x14ac:dyDescent="0.25">
      <c r="B2460" s="3">
        <v>2567</v>
      </c>
      <c r="C2460" s="3" t="s">
        <v>9</v>
      </c>
      <c r="D2460" s="3" t="s">
        <v>10</v>
      </c>
      <c r="E2460" s="4">
        <v>42446</v>
      </c>
      <c r="F2460" s="4"/>
      <c r="G2460" s="3" t="s">
        <v>27</v>
      </c>
      <c r="H2460" s="5">
        <v>10334</v>
      </c>
      <c r="I2460" s="3" t="str">
        <f>VLOOKUP(Tabela1[[#This Row],[Advogado]],Tabela2[],2,FALSE)</f>
        <v>Caio Brito</v>
      </c>
      <c r="J2460" s="17">
        <f>IF(Tabela1[[#This Row],[Data de conclusão]]="",NETWORKDAYS(Tabela1[[#This Row],[Data de entrada]],$J$2),NETWORKDAYS(Tabela1[[#This Row],[Data de entrada]],Tabela1[[#This Row],[Data de conclusão]]))</f>
        <v>564</v>
      </c>
      <c r="K2460" s="1"/>
    </row>
    <row r="2461" spans="2:11" x14ac:dyDescent="0.25">
      <c r="B2461" s="3">
        <v>2568</v>
      </c>
      <c r="C2461" s="3" t="s">
        <v>7</v>
      </c>
      <c r="D2461" s="3" t="s">
        <v>11</v>
      </c>
      <c r="E2461" s="4">
        <v>42924</v>
      </c>
      <c r="F2461" s="4"/>
      <c r="G2461" s="3" t="s">
        <v>29</v>
      </c>
      <c r="H2461" s="5">
        <v>23032</v>
      </c>
      <c r="I2461" s="3" t="str">
        <f>VLOOKUP(Tabela1[[#This Row],[Advogado]],Tabela2[],2,FALSE)</f>
        <v>Caio Brito</v>
      </c>
      <c r="J2461" s="17">
        <f>IF(Tabela1[[#This Row],[Data de conclusão]]="",NETWORKDAYS(Tabela1[[#This Row],[Data de entrada]],$J$2),NETWORKDAYS(Tabela1[[#This Row],[Data de entrada]],Tabela1[[#This Row],[Data de conclusão]]))</f>
        <v>222</v>
      </c>
      <c r="K2461" s="1"/>
    </row>
    <row r="2462" spans="2:11" x14ac:dyDescent="0.25">
      <c r="B2462" s="3">
        <v>2569</v>
      </c>
      <c r="C2462" s="3" t="s">
        <v>8</v>
      </c>
      <c r="D2462" s="3" t="s">
        <v>12</v>
      </c>
      <c r="E2462" s="4">
        <v>43061</v>
      </c>
      <c r="F2462" s="4"/>
      <c r="G2462" s="3" t="s">
        <v>29</v>
      </c>
      <c r="H2462" s="5">
        <v>954</v>
      </c>
      <c r="I2462" s="3" t="str">
        <f>VLOOKUP(Tabela1[[#This Row],[Advogado]],Tabela2[],2,FALSE)</f>
        <v>Caio Brito</v>
      </c>
      <c r="J2462" s="17">
        <f>IF(Tabela1[[#This Row],[Data de conclusão]]="",NETWORKDAYS(Tabela1[[#This Row],[Data de entrada]],$J$2),NETWORKDAYS(Tabela1[[#This Row],[Data de entrada]],Tabela1[[#This Row],[Data de conclusão]]))</f>
        <v>125</v>
      </c>
      <c r="K2462" s="1"/>
    </row>
    <row r="2463" spans="2:11" x14ac:dyDescent="0.25">
      <c r="B2463" s="3">
        <v>2570</v>
      </c>
      <c r="C2463" s="3" t="s">
        <v>9</v>
      </c>
      <c r="D2463" s="3" t="s">
        <v>13</v>
      </c>
      <c r="E2463" s="4">
        <v>42850</v>
      </c>
      <c r="F2463" s="4"/>
      <c r="G2463" s="3" t="s">
        <v>29</v>
      </c>
      <c r="H2463" s="5">
        <v>28238</v>
      </c>
      <c r="I2463" s="3" t="str">
        <f>VLOOKUP(Tabela1[[#This Row],[Advogado]],Tabela2[],2,FALSE)</f>
        <v>Caio Brito</v>
      </c>
      <c r="J2463" s="17">
        <f>IF(Tabela1[[#This Row],[Data de conclusão]]="",NETWORKDAYS(Tabela1[[#This Row],[Data de entrada]],$J$2),NETWORKDAYS(Tabela1[[#This Row],[Data de entrada]],Tabela1[[#This Row],[Data de conclusão]]))</f>
        <v>276</v>
      </c>
      <c r="K2463" s="1"/>
    </row>
    <row r="2464" spans="2:11" x14ac:dyDescent="0.25">
      <c r="B2464" s="3">
        <v>2571</v>
      </c>
      <c r="C2464" s="3" t="s">
        <v>7</v>
      </c>
      <c r="D2464" s="3" t="s">
        <v>14</v>
      </c>
      <c r="E2464" s="4">
        <v>42516</v>
      </c>
      <c r="F2464" s="4"/>
      <c r="G2464" s="3" t="s">
        <v>29</v>
      </c>
      <c r="H2464" s="5">
        <v>16919</v>
      </c>
      <c r="I2464" s="3" t="str">
        <f>VLOOKUP(Tabela1[[#This Row],[Advogado]],Tabela2[],2,FALSE)</f>
        <v>Renê Amaranto</v>
      </c>
      <c r="J2464" s="17">
        <f>IF(Tabela1[[#This Row],[Data de conclusão]]="",NETWORKDAYS(Tabela1[[#This Row],[Data de entrada]],$J$2),NETWORKDAYS(Tabela1[[#This Row],[Data de entrada]],Tabela1[[#This Row],[Data de conclusão]]))</f>
        <v>514</v>
      </c>
      <c r="K2464" s="1"/>
    </row>
    <row r="2465" spans="2:11" x14ac:dyDescent="0.25">
      <c r="B2465" s="3">
        <v>2572</v>
      </c>
      <c r="C2465" s="3" t="s">
        <v>8</v>
      </c>
      <c r="D2465" s="3" t="s">
        <v>15</v>
      </c>
      <c r="E2465" s="4">
        <v>43012</v>
      </c>
      <c r="F2465" s="4"/>
      <c r="G2465" s="3" t="s">
        <v>29</v>
      </c>
      <c r="H2465" s="5">
        <v>47152</v>
      </c>
      <c r="I2465" s="3" t="str">
        <f>VLOOKUP(Tabela1[[#This Row],[Advogado]],Tabela2[],2,FALSE)</f>
        <v>Renê Amaranto</v>
      </c>
      <c r="J2465" s="17">
        <f>IF(Tabela1[[#This Row],[Data de conclusão]]="",NETWORKDAYS(Tabela1[[#This Row],[Data de entrada]],$J$2),NETWORKDAYS(Tabela1[[#This Row],[Data de entrada]],Tabela1[[#This Row],[Data de conclusão]]))</f>
        <v>160</v>
      </c>
      <c r="K2465" s="1"/>
    </row>
    <row r="2466" spans="2:11" x14ac:dyDescent="0.25">
      <c r="B2466" s="3">
        <v>2573</v>
      </c>
      <c r="C2466" s="3" t="s">
        <v>9</v>
      </c>
      <c r="D2466" s="3" t="s">
        <v>16</v>
      </c>
      <c r="E2466" s="4">
        <v>42550</v>
      </c>
      <c r="F2466" s="4"/>
      <c r="G2466" s="3" t="s">
        <v>29</v>
      </c>
      <c r="H2466" s="5">
        <v>55708</v>
      </c>
      <c r="I2466" s="3" t="str">
        <f>VLOOKUP(Tabela1[[#This Row],[Advogado]],Tabela2[],2,FALSE)</f>
        <v>Renê Amaranto</v>
      </c>
      <c r="J2466" s="17">
        <f>IF(Tabela1[[#This Row],[Data de conclusão]]="",NETWORKDAYS(Tabela1[[#This Row],[Data de entrada]],$J$2),NETWORKDAYS(Tabela1[[#This Row],[Data de entrada]],Tabela1[[#This Row],[Data de conclusão]]))</f>
        <v>490</v>
      </c>
      <c r="K2466" s="1"/>
    </row>
    <row r="2467" spans="2:11" x14ac:dyDescent="0.25">
      <c r="B2467" s="3">
        <v>2574</v>
      </c>
      <c r="C2467" s="3" t="s">
        <v>7</v>
      </c>
      <c r="D2467" s="3" t="s">
        <v>17</v>
      </c>
      <c r="E2467" s="4">
        <v>42616</v>
      </c>
      <c r="F2467" s="4"/>
      <c r="G2467" s="3" t="s">
        <v>29</v>
      </c>
      <c r="H2467" s="5">
        <v>3609</v>
      </c>
      <c r="I2467" s="3" t="str">
        <f>VLOOKUP(Tabela1[[#This Row],[Advogado]],Tabela2[],2,FALSE)</f>
        <v>Renê Amaranto</v>
      </c>
      <c r="J2467" s="17">
        <f>IF(Tabela1[[#This Row],[Data de conclusão]]="",NETWORKDAYS(Tabela1[[#This Row],[Data de entrada]],$J$2),NETWORKDAYS(Tabela1[[#This Row],[Data de entrada]],Tabela1[[#This Row],[Data de conclusão]]))</f>
        <v>442</v>
      </c>
      <c r="K2467" s="1"/>
    </row>
    <row r="2468" spans="2:11" x14ac:dyDescent="0.25">
      <c r="B2468" s="3">
        <v>2575</v>
      </c>
      <c r="C2468" s="3" t="s">
        <v>8</v>
      </c>
      <c r="D2468" s="3" t="s">
        <v>10</v>
      </c>
      <c r="E2468" s="4">
        <v>42737</v>
      </c>
      <c r="F2468" s="4"/>
      <c r="G2468" s="3" t="s">
        <v>29</v>
      </c>
      <c r="H2468" s="5">
        <v>19906</v>
      </c>
      <c r="I2468" s="3" t="str">
        <f>VLOOKUP(Tabela1[[#This Row],[Advogado]],Tabela2[],2,FALSE)</f>
        <v>Caio Brito</v>
      </c>
      <c r="J2468" s="17">
        <f>IF(Tabela1[[#This Row],[Data de conclusão]]="",NETWORKDAYS(Tabela1[[#This Row],[Data de entrada]],$J$2),NETWORKDAYS(Tabela1[[#This Row],[Data de entrada]],Tabela1[[#This Row],[Data de conclusão]]))</f>
        <v>357</v>
      </c>
      <c r="K2468" s="1"/>
    </row>
    <row r="2469" spans="2:11" x14ac:dyDescent="0.25">
      <c r="B2469" s="3">
        <v>2576</v>
      </c>
      <c r="C2469" s="3" t="s">
        <v>9</v>
      </c>
      <c r="D2469" s="3" t="s">
        <v>11</v>
      </c>
      <c r="E2469" s="4">
        <v>42542</v>
      </c>
      <c r="F2469" s="4"/>
      <c r="G2469" s="3" t="s">
        <v>29</v>
      </c>
      <c r="H2469" s="5">
        <v>6360</v>
      </c>
      <c r="I2469" s="3" t="str">
        <f>VLOOKUP(Tabela1[[#This Row],[Advogado]],Tabela2[],2,FALSE)</f>
        <v>Caio Brito</v>
      </c>
      <c r="J2469" s="17">
        <f>IF(Tabela1[[#This Row],[Data de conclusão]]="",NETWORKDAYS(Tabela1[[#This Row],[Data de entrada]],$J$2),NETWORKDAYS(Tabela1[[#This Row],[Data de entrada]],Tabela1[[#This Row],[Data de conclusão]]))</f>
        <v>496</v>
      </c>
      <c r="K2469" s="1"/>
    </row>
    <row r="2470" spans="2:11" x14ac:dyDescent="0.25">
      <c r="B2470" s="3">
        <v>2577</v>
      </c>
      <c r="C2470" s="3" t="s">
        <v>7</v>
      </c>
      <c r="D2470" s="3" t="s">
        <v>12</v>
      </c>
      <c r="E2470" s="4">
        <v>42450</v>
      </c>
      <c r="F2470" s="4"/>
      <c r="G2470" s="3" t="s">
        <v>29</v>
      </c>
      <c r="H2470" s="5">
        <v>39345</v>
      </c>
      <c r="I2470" s="3" t="str">
        <f>VLOOKUP(Tabela1[[#This Row],[Advogado]],Tabela2[],2,FALSE)</f>
        <v>Caio Brito</v>
      </c>
      <c r="J2470" s="17">
        <f>IF(Tabela1[[#This Row],[Data de conclusão]]="",NETWORKDAYS(Tabela1[[#This Row],[Data de entrada]],$J$2),NETWORKDAYS(Tabela1[[#This Row],[Data de entrada]],Tabela1[[#This Row],[Data de conclusão]]))</f>
        <v>562</v>
      </c>
      <c r="K2470" s="1"/>
    </row>
    <row r="2471" spans="2:11" x14ac:dyDescent="0.25">
      <c r="B2471" s="3">
        <v>2578</v>
      </c>
      <c r="C2471" s="3" t="s">
        <v>8</v>
      </c>
      <c r="D2471" s="3" t="s">
        <v>13</v>
      </c>
      <c r="E2471" s="4">
        <v>43084</v>
      </c>
      <c r="F2471" s="4"/>
      <c r="G2471" s="3" t="s">
        <v>29</v>
      </c>
      <c r="H2471" s="5">
        <v>24178</v>
      </c>
      <c r="I2471" s="3" t="str">
        <f>VLOOKUP(Tabela1[[#This Row],[Advogado]],Tabela2[],2,FALSE)</f>
        <v>Caio Brito</v>
      </c>
      <c r="J2471" s="17">
        <f>IF(Tabela1[[#This Row],[Data de conclusão]]="",NETWORKDAYS(Tabela1[[#This Row],[Data de entrada]],$J$2),NETWORKDAYS(Tabela1[[#This Row],[Data de entrada]],Tabela1[[#This Row],[Data de conclusão]]))</f>
        <v>108</v>
      </c>
      <c r="K2471" s="1"/>
    </row>
    <row r="2472" spans="2:11" x14ac:dyDescent="0.25">
      <c r="B2472" s="3">
        <v>2579</v>
      </c>
      <c r="C2472" s="3" t="s">
        <v>9</v>
      </c>
      <c r="D2472" s="3" t="s">
        <v>14</v>
      </c>
      <c r="E2472" s="4">
        <v>42701</v>
      </c>
      <c r="F2472" s="4">
        <v>42780</v>
      </c>
      <c r="G2472" s="3" t="s">
        <v>28</v>
      </c>
      <c r="H2472" s="5">
        <v>45108</v>
      </c>
      <c r="I2472" s="3" t="str">
        <f>VLOOKUP(Tabela1[[#This Row],[Advogado]],Tabela2[],2,FALSE)</f>
        <v>Renê Amaranto</v>
      </c>
      <c r="J2472" s="17">
        <f>IF(Tabela1[[#This Row],[Data de conclusão]]="",NETWORKDAYS(Tabela1[[#This Row],[Data de entrada]],$J$2),NETWORKDAYS(Tabela1[[#This Row],[Data de entrada]],Tabela1[[#This Row],[Data de conclusão]]))</f>
        <v>57</v>
      </c>
      <c r="K2472" s="1"/>
    </row>
    <row r="2473" spans="2:11" x14ac:dyDescent="0.25">
      <c r="B2473" s="3">
        <v>2580</v>
      </c>
      <c r="C2473" s="3" t="s">
        <v>7</v>
      </c>
      <c r="D2473" s="3" t="s">
        <v>15</v>
      </c>
      <c r="E2473" s="4">
        <v>43099</v>
      </c>
      <c r="F2473" s="4"/>
      <c r="G2473" s="3" t="s">
        <v>27</v>
      </c>
      <c r="H2473" s="5">
        <v>16889</v>
      </c>
      <c r="I2473" s="3" t="str">
        <f>VLOOKUP(Tabela1[[#This Row],[Advogado]],Tabela2[],2,FALSE)</f>
        <v>Renê Amaranto</v>
      </c>
      <c r="J2473" s="17">
        <f>IF(Tabela1[[#This Row],[Data de conclusão]]="",NETWORKDAYS(Tabela1[[#This Row],[Data de entrada]],$J$2),NETWORKDAYS(Tabela1[[#This Row],[Data de entrada]],Tabela1[[#This Row],[Data de conclusão]]))</f>
        <v>97</v>
      </c>
      <c r="K2473" s="1"/>
    </row>
    <row r="2474" spans="2:11" x14ac:dyDescent="0.25">
      <c r="B2474" s="3">
        <v>2581</v>
      </c>
      <c r="C2474" s="3" t="s">
        <v>8</v>
      </c>
      <c r="D2474" s="3" t="s">
        <v>16</v>
      </c>
      <c r="E2474" s="4">
        <v>42603</v>
      </c>
      <c r="F2474" s="4"/>
      <c r="G2474" s="3" t="s">
        <v>29</v>
      </c>
      <c r="H2474" s="5">
        <v>25171</v>
      </c>
      <c r="I2474" s="3" t="str">
        <f>VLOOKUP(Tabela1[[#This Row],[Advogado]],Tabela2[],2,FALSE)</f>
        <v>Renê Amaranto</v>
      </c>
      <c r="J2474" s="17">
        <f>IF(Tabela1[[#This Row],[Data de conclusão]]="",NETWORKDAYS(Tabela1[[#This Row],[Data de entrada]],$J$2),NETWORKDAYS(Tabela1[[#This Row],[Data de entrada]],Tabela1[[#This Row],[Data de conclusão]]))</f>
        <v>452</v>
      </c>
      <c r="K2474" s="1"/>
    </row>
    <row r="2475" spans="2:11" x14ac:dyDescent="0.25">
      <c r="B2475" s="3">
        <v>2582</v>
      </c>
      <c r="C2475" s="3" t="s">
        <v>9</v>
      </c>
      <c r="D2475" s="3" t="s">
        <v>17</v>
      </c>
      <c r="E2475" s="4">
        <v>42668</v>
      </c>
      <c r="F2475" s="4"/>
      <c r="G2475" s="3" t="s">
        <v>29</v>
      </c>
      <c r="H2475" s="5">
        <v>17112</v>
      </c>
      <c r="I2475" s="3" t="str">
        <f>VLOOKUP(Tabela1[[#This Row],[Advogado]],Tabela2[],2,FALSE)</f>
        <v>Renê Amaranto</v>
      </c>
      <c r="J2475" s="17">
        <f>IF(Tabela1[[#This Row],[Data de conclusão]]="",NETWORKDAYS(Tabela1[[#This Row],[Data de entrada]],$J$2),NETWORKDAYS(Tabela1[[#This Row],[Data de entrada]],Tabela1[[#This Row],[Data de conclusão]]))</f>
        <v>406</v>
      </c>
      <c r="K2475" s="1"/>
    </row>
    <row r="2476" spans="2:11" x14ac:dyDescent="0.25">
      <c r="B2476" s="3">
        <v>2583</v>
      </c>
      <c r="C2476" s="3" t="s">
        <v>7</v>
      </c>
      <c r="D2476" s="3" t="s">
        <v>10</v>
      </c>
      <c r="E2476" s="4">
        <v>42686</v>
      </c>
      <c r="F2476" s="4"/>
      <c r="G2476" s="3" t="s">
        <v>29</v>
      </c>
      <c r="H2476" s="5">
        <v>25376</v>
      </c>
      <c r="I2476" s="3" t="str">
        <f>VLOOKUP(Tabela1[[#This Row],[Advogado]],Tabela2[],2,FALSE)</f>
        <v>Caio Brito</v>
      </c>
      <c r="J2476" s="17">
        <f>IF(Tabela1[[#This Row],[Data de conclusão]]="",NETWORKDAYS(Tabela1[[#This Row],[Data de entrada]],$J$2),NETWORKDAYS(Tabela1[[#This Row],[Data de entrada]],Tabela1[[#This Row],[Data de conclusão]]))</f>
        <v>392</v>
      </c>
      <c r="K2476" s="1"/>
    </row>
    <row r="2477" spans="2:11" x14ac:dyDescent="0.25">
      <c r="B2477" s="3">
        <v>2584</v>
      </c>
      <c r="C2477" s="3" t="s">
        <v>8</v>
      </c>
      <c r="D2477" s="3" t="s">
        <v>11</v>
      </c>
      <c r="E2477" s="4">
        <v>42874</v>
      </c>
      <c r="F2477" s="4"/>
      <c r="G2477" s="3" t="s">
        <v>29</v>
      </c>
      <c r="H2477" s="5">
        <v>45614</v>
      </c>
      <c r="I2477" s="3" t="str">
        <f>VLOOKUP(Tabela1[[#This Row],[Advogado]],Tabela2[],2,FALSE)</f>
        <v>Caio Brito</v>
      </c>
      <c r="J2477" s="17">
        <f>IF(Tabela1[[#This Row],[Data de conclusão]]="",NETWORKDAYS(Tabela1[[#This Row],[Data de entrada]],$J$2),NETWORKDAYS(Tabela1[[#This Row],[Data de entrada]],Tabela1[[#This Row],[Data de conclusão]]))</f>
        <v>258</v>
      </c>
      <c r="K2477" s="1"/>
    </row>
    <row r="2478" spans="2:11" x14ac:dyDescent="0.25">
      <c r="B2478" s="3">
        <v>2585</v>
      </c>
      <c r="C2478" s="3" t="s">
        <v>9</v>
      </c>
      <c r="D2478" s="3" t="s">
        <v>12</v>
      </c>
      <c r="E2478" s="4">
        <v>42917</v>
      </c>
      <c r="F2478" s="4"/>
      <c r="G2478" s="3" t="s">
        <v>29</v>
      </c>
      <c r="H2478" s="5">
        <v>16914</v>
      </c>
      <c r="I2478" s="3" t="str">
        <f>VLOOKUP(Tabela1[[#This Row],[Advogado]],Tabela2[],2,FALSE)</f>
        <v>Caio Brito</v>
      </c>
      <c r="J2478" s="17">
        <f>IF(Tabela1[[#This Row],[Data de conclusão]]="",NETWORKDAYS(Tabela1[[#This Row],[Data de entrada]],$J$2),NETWORKDAYS(Tabela1[[#This Row],[Data de entrada]],Tabela1[[#This Row],[Data de conclusão]]))</f>
        <v>227</v>
      </c>
      <c r="K2478" s="1"/>
    </row>
    <row r="2479" spans="2:11" x14ac:dyDescent="0.25">
      <c r="B2479" s="3">
        <v>2586</v>
      </c>
      <c r="C2479" s="3" t="s">
        <v>7</v>
      </c>
      <c r="D2479" s="3" t="s">
        <v>13</v>
      </c>
      <c r="E2479" s="4">
        <v>43088</v>
      </c>
      <c r="F2479" s="4"/>
      <c r="G2479" s="3" t="s">
        <v>29</v>
      </c>
      <c r="H2479" s="5">
        <v>35658</v>
      </c>
      <c r="I2479" s="3" t="str">
        <f>VLOOKUP(Tabela1[[#This Row],[Advogado]],Tabela2[],2,FALSE)</f>
        <v>Caio Brito</v>
      </c>
      <c r="J2479" s="17">
        <f>IF(Tabela1[[#This Row],[Data de conclusão]]="",NETWORKDAYS(Tabela1[[#This Row],[Data de entrada]],$J$2),NETWORKDAYS(Tabela1[[#This Row],[Data de entrada]],Tabela1[[#This Row],[Data de conclusão]]))</f>
        <v>106</v>
      </c>
      <c r="K2479" s="1"/>
    </row>
    <row r="2480" spans="2:11" x14ac:dyDescent="0.25">
      <c r="B2480" s="3">
        <v>2587</v>
      </c>
      <c r="C2480" s="3" t="s">
        <v>8</v>
      </c>
      <c r="D2480" s="3" t="s">
        <v>14</v>
      </c>
      <c r="E2480" s="4">
        <v>42990</v>
      </c>
      <c r="F2480" s="4"/>
      <c r="G2480" s="3" t="s">
        <v>29</v>
      </c>
      <c r="H2480" s="5">
        <v>56309</v>
      </c>
      <c r="I2480" s="3" t="str">
        <f>VLOOKUP(Tabela1[[#This Row],[Advogado]],Tabela2[],2,FALSE)</f>
        <v>Renê Amaranto</v>
      </c>
      <c r="J2480" s="17">
        <f>IF(Tabela1[[#This Row],[Data de conclusão]]="",NETWORKDAYS(Tabela1[[#This Row],[Data de entrada]],$J$2),NETWORKDAYS(Tabela1[[#This Row],[Data de entrada]],Tabela1[[#This Row],[Data de conclusão]]))</f>
        <v>176</v>
      </c>
      <c r="K2480" s="1"/>
    </row>
    <row r="2481" spans="2:11" x14ac:dyDescent="0.25">
      <c r="B2481" s="3">
        <v>2588</v>
      </c>
      <c r="C2481" s="3" t="s">
        <v>9</v>
      </c>
      <c r="D2481" s="3" t="s">
        <v>15</v>
      </c>
      <c r="E2481" s="4">
        <v>42983</v>
      </c>
      <c r="F2481" s="4"/>
      <c r="G2481" s="3" t="s">
        <v>29</v>
      </c>
      <c r="H2481" s="5">
        <v>26687</v>
      </c>
      <c r="I2481" s="3" t="str">
        <f>VLOOKUP(Tabela1[[#This Row],[Advogado]],Tabela2[],2,FALSE)</f>
        <v>Renê Amaranto</v>
      </c>
      <c r="J2481" s="17">
        <f>IF(Tabela1[[#This Row],[Data de conclusão]]="",NETWORKDAYS(Tabela1[[#This Row],[Data de entrada]],$J$2),NETWORKDAYS(Tabela1[[#This Row],[Data de entrada]],Tabela1[[#This Row],[Data de conclusão]]))</f>
        <v>181</v>
      </c>
      <c r="K2481" s="1"/>
    </row>
  </sheetData>
  <mergeCells count="1">
    <mergeCell ref="L13:O34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"/>
  <sheetViews>
    <sheetView showGridLines="0" showRowColHeaders="0" tabSelected="1" zoomScaleNormal="100" workbookViewId="0">
      <selection activeCell="V15" sqref="V15"/>
    </sheetView>
  </sheetViews>
  <sheetFormatPr defaultRowHeight="15" x14ac:dyDescent="0.25"/>
  <cols>
    <col min="1" max="19" width="9.1406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T1226"/>
  <sheetViews>
    <sheetView zoomScale="85" zoomScaleNormal="85" workbookViewId="0">
      <selection activeCell="P3" sqref="P3"/>
    </sheetView>
  </sheetViews>
  <sheetFormatPr defaultRowHeight="15" x14ac:dyDescent="0.25"/>
  <cols>
    <col min="2" max="2" width="11.7109375" customWidth="1"/>
    <col min="3" max="3" width="16.140625" customWidth="1"/>
    <col min="4" max="4" width="13.85546875" customWidth="1"/>
    <col min="5" max="5" width="16.28515625" customWidth="1"/>
    <col min="6" max="6" width="14.5703125" customWidth="1"/>
    <col min="7" max="7" width="16.85546875" bestFit="1" customWidth="1"/>
    <col min="8" max="8" width="16.85546875" customWidth="1"/>
    <col min="9" max="9" width="10" customWidth="1"/>
    <col min="10" max="10" width="4.28515625" customWidth="1"/>
    <col min="13" max="13" width="14.85546875" bestFit="1" customWidth="1"/>
    <col min="14" max="14" width="12.140625" customWidth="1"/>
    <col min="15" max="15" width="16" customWidth="1"/>
    <col min="16" max="16" width="17" bestFit="1" customWidth="1"/>
    <col min="17" max="18" width="14.42578125" customWidth="1"/>
    <col min="19" max="19" width="18.5703125" customWidth="1"/>
    <col min="20" max="20" width="11.140625" customWidth="1"/>
    <col min="21" max="26" width="14.42578125" customWidth="1"/>
    <col min="27" max="27" width="16" customWidth="1"/>
  </cols>
  <sheetData>
    <row r="2" spans="2:20" x14ac:dyDescent="0.25">
      <c r="M2" t="s">
        <v>18</v>
      </c>
      <c r="N2" s="12">
        <f>F21</f>
        <v>2933905</v>
      </c>
      <c r="O2" s="25">
        <f>N2/$F$23</f>
        <v>0.51130626424480197</v>
      </c>
    </row>
    <row r="3" spans="2:20" ht="16.5" x14ac:dyDescent="0.3">
      <c r="M3" t="s">
        <v>19</v>
      </c>
      <c r="N3" s="12">
        <f>F22</f>
        <v>2804153</v>
      </c>
      <c r="O3" s="25">
        <f>N3/$F$23</f>
        <v>0.48869373575519803</v>
      </c>
      <c r="S3" s="27" t="s">
        <v>35</v>
      </c>
      <c r="T3" s="28" t="s">
        <v>26</v>
      </c>
    </row>
    <row r="4" spans="2:20" ht="16.5" x14ac:dyDescent="0.3">
      <c r="B4" s="7" t="s">
        <v>1</v>
      </c>
      <c r="C4" t="s">
        <v>23</v>
      </c>
      <c r="I4" s="7" t="s">
        <v>2</v>
      </c>
      <c r="J4" t="s">
        <v>23</v>
      </c>
      <c r="S4" s="29" t="s">
        <v>12</v>
      </c>
      <c r="T4" s="30">
        <v>24</v>
      </c>
    </row>
    <row r="5" spans="2:20" ht="16.5" x14ac:dyDescent="0.3">
      <c r="B5" s="8" t="s">
        <v>8</v>
      </c>
      <c r="C5" s="9">
        <v>63</v>
      </c>
      <c r="H5" s="13"/>
      <c r="I5" s="8" t="s">
        <v>18</v>
      </c>
      <c r="J5" s="9">
        <v>95</v>
      </c>
      <c r="S5" s="29" t="s">
        <v>15</v>
      </c>
      <c r="T5" s="30">
        <v>24</v>
      </c>
    </row>
    <row r="6" spans="2:20" ht="16.5" x14ac:dyDescent="0.3">
      <c r="B6" s="8" t="s">
        <v>9</v>
      </c>
      <c r="C6" s="9">
        <v>64</v>
      </c>
      <c r="H6" s="13"/>
      <c r="I6" s="8" t="s">
        <v>19</v>
      </c>
      <c r="J6" s="9">
        <v>95</v>
      </c>
      <c r="S6" s="29" t="s">
        <v>13</v>
      </c>
      <c r="T6" s="30">
        <v>24</v>
      </c>
    </row>
    <row r="7" spans="2:20" ht="16.5" x14ac:dyDescent="0.3">
      <c r="B7" s="8" t="s">
        <v>7</v>
      </c>
      <c r="C7" s="9">
        <v>63</v>
      </c>
      <c r="H7" s="13"/>
      <c r="I7" s="8" t="s">
        <v>22</v>
      </c>
      <c r="J7" s="9">
        <v>190</v>
      </c>
      <c r="S7" s="29" t="s">
        <v>14</v>
      </c>
      <c r="T7" s="30">
        <v>24</v>
      </c>
    </row>
    <row r="8" spans="2:20" ht="16.5" x14ac:dyDescent="0.3">
      <c r="B8" s="8" t="s">
        <v>22</v>
      </c>
      <c r="C8" s="9">
        <v>190</v>
      </c>
      <c r="H8" s="13"/>
      <c r="S8" s="29" t="s">
        <v>11</v>
      </c>
      <c r="T8" s="30">
        <v>24</v>
      </c>
    </row>
    <row r="9" spans="2:20" ht="16.5" x14ac:dyDescent="0.3">
      <c r="H9" s="13"/>
      <c r="S9" s="29" t="s">
        <v>16</v>
      </c>
      <c r="T9" s="30">
        <v>23</v>
      </c>
    </row>
    <row r="10" spans="2:20" ht="16.5" x14ac:dyDescent="0.3">
      <c r="H10" s="13"/>
      <c r="I10" s="14" t="s">
        <v>3</v>
      </c>
      <c r="J10" s="10" t="s">
        <v>23</v>
      </c>
      <c r="S10" s="29" t="s">
        <v>17</v>
      </c>
      <c r="T10" s="30">
        <v>24</v>
      </c>
    </row>
    <row r="11" spans="2:20" ht="16.5" x14ac:dyDescent="0.3">
      <c r="H11" s="13"/>
      <c r="I11" s="15" t="s">
        <v>28</v>
      </c>
      <c r="J11" s="16">
        <v>190</v>
      </c>
      <c r="S11" s="29" t="s">
        <v>10</v>
      </c>
      <c r="T11" s="30">
        <v>23</v>
      </c>
    </row>
    <row r="12" spans="2:20" ht="16.5" x14ac:dyDescent="0.3">
      <c r="H12" s="13"/>
      <c r="S12" s="29" t="s">
        <v>22</v>
      </c>
      <c r="T12" s="30">
        <v>190</v>
      </c>
    </row>
    <row r="13" spans="2:20" x14ac:dyDescent="0.25">
      <c r="H13" s="13"/>
    </row>
    <row r="18" spans="2:16" x14ac:dyDescent="0.25">
      <c r="B18" s="7" t="s">
        <v>3</v>
      </c>
      <c r="C18" t="s">
        <v>28</v>
      </c>
      <c r="E18" s="7" t="s">
        <v>3</v>
      </c>
      <c r="F18" t="s">
        <v>28</v>
      </c>
    </row>
    <row r="20" spans="2:16" x14ac:dyDescent="0.25">
      <c r="B20" s="7" t="s">
        <v>1</v>
      </c>
      <c r="C20" t="s">
        <v>25</v>
      </c>
      <c r="E20" s="7" t="s">
        <v>1</v>
      </c>
      <c r="F20" t="s">
        <v>25</v>
      </c>
    </row>
    <row r="21" spans="2:16" x14ac:dyDescent="0.25">
      <c r="B21" s="8" t="s">
        <v>8</v>
      </c>
      <c r="C21" s="20">
        <v>2176295</v>
      </c>
      <c r="E21" s="8" t="s">
        <v>18</v>
      </c>
      <c r="F21" s="12">
        <v>2933905</v>
      </c>
      <c r="G21" s="26">
        <f>GETPIVOTDATA("Valor",$E$20,"Gestor","Caio Brito")</f>
        <v>2933905</v>
      </c>
    </row>
    <row r="22" spans="2:16" x14ac:dyDescent="0.25">
      <c r="B22" s="8" t="s">
        <v>9</v>
      </c>
      <c r="C22" s="20">
        <v>1734877</v>
      </c>
      <c r="E22" s="8" t="s">
        <v>19</v>
      </c>
      <c r="F22" s="12">
        <v>2804153</v>
      </c>
      <c r="G22" s="26">
        <f>GETPIVOTDATA("Valor",$E$20,"Gestor","Renê Amaranto")</f>
        <v>2804153</v>
      </c>
    </row>
    <row r="23" spans="2:16" x14ac:dyDescent="0.25">
      <c r="B23" s="8" t="s">
        <v>7</v>
      </c>
      <c r="C23" s="20">
        <v>1826886</v>
      </c>
      <c r="E23" s="8" t="s">
        <v>22</v>
      </c>
      <c r="F23" s="12">
        <v>5738058</v>
      </c>
      <c r="I23" s="8"/>
      <c r="J23" s="9"/>
    </row>
    <row r="24" spans="2:16" x14ac:dyDescent="0.25">
      <c r="B24" s="8" t="s">
        <v>22</v>
      </c>
      <c r="C24" s="20">
        <v>5738058</v>
      </c>
      <c r="I24" s="11"/>
      <c r="J24" s="9"/>
    </row>
    <row r="25" spans="2:16" x14ac:dyDescent="0.25">
      <c r="I25" s="11"/>
      <c r="J25" s="9"/>
    </row>
    <row r="26" spans="2:16" x14ac:dyDescent="0.25">
      <c r="I26" s="11"/>
      <c r="J26" s="9"/>
    </row>
    <row r="27" spans="2:16" x14ac:dyDescent="0.25">
      <c r="I27" s="11"/>
      <c r="J27" s="9"/>
      <c r="N27" s="14" t="s">
        <v>4</v>
      </c>
      <c r="O27" s="21" t="s">
        <v>25</v>
      </c>
      <c r="P27" s="24">
        <f>GETPIVOTDATA("Valor",$N$27)</f>
        <v>5738058</v>
      </c>
    </row>
    <row r="28" spans="2:16" x14ac:dyDescent="0.25">
      <c r="I28" s="11"/>
      <c r="J28" s="9"/>
      <c r="N28" s="15" t="s">
        <v>24</v>
      </c>
      <c r="O28" s="22">
        <v>3162658</v>
      </c>
    </row>
    <row r="29" spans="2:16" x14ac:dyDescent="0.25">
      <c r="I29" s="11"/>
      <c r="J29" s="9"/>
      <c r="N29" s="15" t="s">
        <v>36</v>
      </c>
      <c r="O29" s="22">
        <v>2575400</v>
      </c>
    </row>
    <row r="30" spans="2:16" x14ac:dyDescent="0.25">
      <c r="I30" s="11"/>
      <c r="J30" s="9"/>
      <c r="N30" s="15" t="s">
        <v>22</v>
      </c>
      <c r="O30" s="22">
        <v>5738058</v>
      </c>
    </row>
    <row r="31" spans="2:16" x14ac:dyDescent="0.25">
      <c r="I31" s="11"/>
      <c r="J31" s="9"/>
    </row>
    <row r="32" spans="2:16" x14ac:dyDescent="0.25">
      <c r="H32" t="s">
        <v>34</v>
      </c>
      <c r="I32" s="11" t="s">
        <v>6</v>
      </c>
      <c r="J32" s="9"/>
    </row>
    <row r="33" spans="2:10" x14ac:dyDescent="0.25">
      <c r="H33">
        <v>4</v>
      </c>
      <c r="I33" s="11" t="str">
        <f>INDEX(H41:H44,H33)</f>
        <v>Tudo</v>
      </c>
      <c r="J33" s="9"/>
    </row>
    <row r="34" spans="2:10" x14ac:dyDescent="0.25">
      <c r="I34" s="11"/>
      <c r="J34" s="9"/>
    </row>
    <row r="35" spans="2:10" x14ac:dyDescent="0.25">
      <c r="B35" s="7" t="s">
        <v>3</v>
      </c>
      <c r="C35" t="s">
        <v>28</v>
      </c>
      <c r="E35" s="7" t="s">
        <v>3</v>
      </c>
      <c r="F35" t="s">
        <v>28</v>
      </c>
      <c r="G35" s="19" t="str">
        <f>Analises!I33</f>
        <v>Tudo</v>
      </c>
      <c r="I35" s="11"/>
      <c r="J35" s="9"/>
    </row>
    <row r="36" spans="2:10" x14ac:dyDescent="0.25">
      <c r="I36" s="11"/>
      <c r="J36" s="9"/>
    </row>
    <row r="37" spans="2:10" x14ac:dyDescent="0.25">
      <c r="B37" s="7" t="s">
        <v>2</v>
      </c>
      <c r="C37" t="s">
        <v>31</v>
      </c>
      <c r="E37" s="7" t="s">
        <v>2</v>
      </c>
      <c r="F37" t="s">
        <v>31</v>
      </c>
      <c r="I37" s="11"/>
      <c r="J37" s="9"/>
    </row>
    <row r="38" spans="2:10" x14ac:dyDescent="0.25">
      <c r="B38" s="8" t="s">
        <v>8</v>
      </c>
      <c r="C38" s="18">
        <v>51.952380952380949</v>
      </c>
      <c r="E38" s="8" t="s">
        <v>18</v>
      </c>
      <c r="F38" s="18">
        <v>54.905263157894737</v>
      </c>
      <c r="I38" s="11"/>
      <c r="J38" s="9"/>
    </row>
    <row r="39" spans="2:10" x14ac:dyDescent="0.25">
      <c r="B39" s="8" t="s">
        <v>9</v>
      </c>
      <c r="C39" s="18">
        <v>51.15625</v>
      </c>
      <c r="E39" s="8" t="s">
        <v>19</v>
      </c>
      <c r="F39" s="18">
        <v>52.494736842105262</v>
      </c>
      <c r="I39" s="11"/>
      <c r="J39" s="9"/>
    </row>
    <row r="40" spans="2:10" x14ac:dyDescent="0.25">
      <c r="B40" s="8" t="s">
        <v>7</v>
      </c>
      <c r="C40" s="18">
        <v>58.031746031746032</v>
      </c>
      <c r="E40" s="8" t="s">
        <v>22</v>
      </c>
      <c r="F40" s="18">
        <v>53.7</v>
      </c>
      <c r="H40" t="s">
        <v>33</v>
      </c>
      <c r="I40" s="11"/>
      <c r="J40" s="9"/>
    </row>
    <row r="41" spans="2:10" x14ac:dyDescent="0.25">
      <c r="B41" s="8" t="s">
        <v>22</v>
      </c>
      <c r="C41" s="18">
        <v>53.7</v>
      </c>
      <c r="H41" t="s">
        <v>27</v>
      </c>
      <c r="I41" s="11"/>
      <c r="J41" s="9"/>
    </row>
    <row r="42" spans="2:10" x14ac:dyDescent="0.25">
      <c r="H42" t="s">
        <v>29</v>
      </c>
      <c r="I42" s="11"/>
      <c r="J42" s="9"/>
    </row>
    <row r="43" spans="2:10" x14ac:dyDescent="0.25">
      <c r="H43" t="s">
        <v>28</v>
      </c>
      <c r="I43" s="11"/>
      <c r="J43" s="9"/>
    </row>
    <row r="44" spans="2:10" x14ac:dyDescent="0.25">
      <c r="H44" t="s">
        <v>32</v>
      </c>
      <c r="I44" s="11"/>
      <c r="J44" s="9"/>
    </row>
    <row r="45" spans="2:10" x14ac:dyDescent="0.25">
      <c r="I45" s="11"/>
      <c r="J45" s="9"/>
    </row>
    <row r="46" spans="2:10" x14ac:dyDescent="0.25">
      <c r="I46" s="11"/>
      <c r="J46" s="9"/>
    </row>
    <row r="47" spans="2:10" x14ac:dyDescent="0.25">
      <c r="I47" s="11"/>
      <c r="J47" s="9"/>
    </row>
    <row r="48" spans="2:10" x14ac:dyDescent="0.25">
      <c r="I48" s="11"/>
      <c r="J48" s="9"/>
    </row>
    <row r="49" spans="9:10" x14ac:dyDescent="0.25">
      <c r="I49" s="11"/>
      <c r="J49" s="9"/>
    </row>
    <row r="50" spans="9:10" x14ac:dyDescent="0.25">
      <c r="I50" s="11"/>
      <c r="J50" s="9"/>
    </row>
    <row r="51" spans="9:10" x14ac:dyDescent="0.25">
      <c r="I51" s="11"/>
      <c r="J51" s="9"/>
    </row>
    <row r="52" spans="9:10" x14ac:dyDescent="0.25">
      <c r="I52" s="11"/>
      <c r="J52" s="9"/>
    </row>
    <row r="53" spans="9:10" x14ac:dyDescent="0.25">
      <c r="I53" s="11"/>
      <c r="J53" s="9"/>
    </row>
    <row r="54" spans="9:10" x14ac:dyDescent="0.25">
      <c r="I54" s="11"/>
      <c r="J54" s="9"/>
    </row>
    <row r="55" spans="9:10" x14ac:dyDescent="0.25">
      <c r="I55" s="11"/>
      <c r="J55" s="9"/>
    </row>
    <row r="56" spans="9:10" x14ac:dyDescent="0.25">
      <c r="I56" s="11"/>
      <c r="J56" s="9"/>
    </row>
    <row r="57" spans="9:10" x14ac:dyDescent="0.25">
      <c r="I57" s="11"/>
      <c r="J57" s="9"/>
    </row>
    <row r="58" spans="9:10" x14ac:dyDescent="0.25">
      <c r="I58" s="11"/>
      <c r="J58" s="9"/>
    </row>
    <row r="59" spans="9:10" x14ac:dyDescent="0.25">
      <c r="I59" s="11"/>
      <c r="J59" s="9"/>
    </row>
    <row r="60" spans="9:10" x14ac:dyDescent="0.25">
      <c r="I60" s="11"/>
      <c r="J60" s="9"/>
    </row>
    <row r="61" spans="9:10" x14ac:dyDescent="0.25">
      <c r="I61" s="11"/>
      <c r="J61" s="9"/>
    </row>
    <row r="62" spans="9:10" x14ac:dyDescent="0.25">
      <c r="I62" s="11"/>
      <c r="J62" s="9"/>
    </row>
    <row r="63" spans="9:10" x14ac:dyDescent="0.25">
      <c r="I63" s="11"/>
      <c r="J63" s="9"/>
    </row>
    <row r="64" spans="9:10" x14ac:dyDescent="0.25">
      <c r="I64" s="11"/>
      <c r="J64" s="9"/>
    </row>
    <row r="65" spans="9:10" x14ac:dyDescent="0.25">
      <c r="I65" s="11"/>
      <c r="J65" s="9"/>
    </row>
    <row r="66" spans="9:10" x14ac:dyDescent="0.25">
      <c r="I66" s="11"/>
      <c r="J66" s="9"/>
    </row>
    <row r="67" spans="9:10" x14ac:dyDescent="0.25">
      <c r="I67" s="11"/>
      <c r="J67" s="9"/>
    </row>
    <row r="68" spans="9:10" x14ac:dyDescent="0.25">
      <c r="I68" s="11"/>
      <c r="J68" s="9"/>
    </row>
    <row r="69" spans="9:10" x14ac:dyDescent="0.25">
      <c r="I69" s="11"/>
      <c r="J69" s="9"/>
    </row>
    <row r="70" spans="9:10" x14ac:dyDescent="0.25">
      <c r="I70" s="11"/>
      <c r="J70" s="9"/>
    </row>
    <row r="71" spans="9:10" x14ac:dyDescent="0.25">
      <c r="I71" s="11"/>
      <c r="J71" s="9"/>
    </row>
    <row r="72" spans="9:10" x14ac:dyDescent="0.25">
      <c r="I72" s="11"/>
      <c r="J72" s="9"/>
    </row>
    <row r="73" spans="9:10" x14ac:dyDescent="0.25">
      <c r="I73" s="11"/>
      <c r="J73" s="9"/>
    </row>
    <row r="74" spans="9:10" x14ac:dyDescent="0.25">
      <c r="I74" s="11"/>
      <c r="J74" s="9"/>
    </row>
    <row r="75" spans="9:10" x14ac:dyDescent="0.25">
      <c r="I75" s="11"/>
      <c r="J75" s="9"/>
    </row>
    <row r="76" spans="9:10" x14ac:dyDescent="0.25">
      <c r="I76" s="11"/>
      <c r="J76" s="9"/>
    </row>
    <row r="77" spans="9:10" x14ac:dyDescent="0.25">
      <c r="I77" s="11"/>
      <c r="J77" s="9"/>
    </row>
    <row r="78" spans="9:10" x14ac:dyDescent="0.25">
      <c r="I78" s="11"/>
      <c r="J78" s="9"/>
    </row>
    <row r="79" spans="9:10" x14ac:dyDescent="0.25">
      <c r="I79" s="11"/>
      <c r="J79" s="9"/>
    </row>
    <row r="80" spans="9:10" x14ac:dyDescent="0.25">
      <c r="I80" s="11"/>
      <c r="J80" s="9"/>
    </row>
    <row r="81" spans="9:10" x14ac:dyDescent="0.25">
      <c r="I81" s="11"/>
      <c r="J81" s="9"/>
    </row>
    <row r="82" spans="9:10" x14ac:dyDescent="0.25">
      <c r="I82" s="11"/>
      <c r="J82" s="9"/>
    </row>
    <row r="83" spans="9:10" x14ac:dyDescent="0.25">
      <c r="I83" s="11"/>
      <c r="J83" s="9"/>
    </row>
    <row r="84" spans="9:10" x14ac:dyDescent="0.25">
      <c r="I84" s="11"/>
      <c r="J84" s="9"/>
    </row>
    <row r="85" spans="9:10" x14ac:dyDescent="0.25">
      <c r="I85" s="11"/>
      <c r="J85" s="9"/>
    </row>
    <row r="86" spans="9:10" x14ac:dyDescent="0.25">
      <c r="I86" s="11"/>
      <c r="J86" s="9"/>
    </row>
    <row r="87" spans="9:10" x14ac:dyDescent="0.25">
      <c r="I87" s="11"/>
      <c r="J87" s="9"/>
    </row>
    <row r="88" spans="9:10" x14ac:dyDescent="0.25">
      <c r="I88" s="11"/>
      <c r="J88" s="9"/>
    </row>
    <row r="89" spans="9:10" x14ac:dyDescent="0.25">
      <c r="I89" s="11"/>
      <c r="J89" s="9"/>
    </row>
    <row r="90" spans="9:10" x14ac:dyDescent="0.25">
      <c r="I90" s="11"/>
      <c r="J90" s="9"/>
    </row>
    <row r="91" spans="9:10" x14ac:dyDescent="0.25">
      <c r="I91" s="11"/>
      <c r="J91" s="9"/>
    </row>
    <row r="92" spans="9:10" x14ac:dyDescent="0.25">
      <c r="I92" s="11"/>
      <c r="J92" s="9"/>
    </row>
    <row r="93" spans="9:10" x14ac:dyDescent="0.25">
      <c r="I93" s="11"/>
      <c r="J93" s="9"/>
    </row>
    <row r="94" spans="9:10" x14ac:dyDescent="0.25">
      <c r="I94" s="11"/>
      <c r="J94" s="9"/>
    </row>
    <row r="95" spans="9:10" x14ac:dyDescent="0.25">
      <c r="I95" s="11"/>
      <c r="J95" s="9"/>
    </row>
    <row r="96" spans="9:10" x14ac:dyDescent="0.25">
      <c r="I96" s="11"/>
      <c r="J96" s="9"/>
    </row>
    <row r="97" spans="9:10" x14ac:dyDescent="0.25">
      <c r="I97" s="11"/>
      <c r="J97" s="9"/>
    </row>
    <row r="98" spans="9:10" x14ac:dyDescent="0.25">
      <c r="I98" s="11"/>
      <c r="J98" s="9"/>
    </row>
    <row r="99" spans="9:10" x14ac:dyDescent="0.25">
      <c r="I99" s="11"/>
      <c r="J99" s="9"/>
    </row>
    <row r="100" spans="9:10" x14ac:dyDescent="0.25">
      <c r="I100" s="11"/>
      <c r="J100" s="9"/>
    </row>
    <row r="101" spans="9:10" x14ac:dyDescent="0.25">
      <c r="I101" s="11"/>
      <c r="J101" s="9"/>
    </row>
    <row r="102" spans="9:10" x14ac:dyDescent="0.25">
      <c r="I102" s="11"/>
      <c r="J102" s="9"/>
    </row>
    <row r="103" spans="9:10" x14ac:dyDescent="0.25">
      <c r="I103" s="11"/>
      <c r="J103" s="9"/>
    </row>
    <row r="104" spans="9:10" x14ac:dyDescent="0.25">
      <c r="I104" s="11"/>
      <c r="J104" s="9"/>
    </row>
    <row r="105" spans="9:10" x14ac:dyDescent="0.25">
      <c r="I105" s="11"/>
      <c r="J105" s="9"/>
    </row>
    <row r="106" spans="9:10" x14ac:dyDescent="0.25">
      <c r="I106" s="11"/>
      <c r="J106" s="9"/>
    </row>
    <row r="107" spans="9:10" x14ac:dyDescent="0.25">
      <c r="I107" s="11"/>
      <c r="J107" s="9"/>
    </row>
    <row r="108" spans="9:10" x14ac:dyDescent="0.25">
      <c r="I108" s="11"/>
      <c r="J108" s="9"/>
    </row>
    <row r="109" spans="9:10" x14ac:dyDescent="0.25">
      <c r="I109" s="11"/>
      <c r="J109" s="9"/>
    </row>
    <row r="110" spans="9:10" x14ac:dyDescent="0.25">
      <c r="I110" s="11"/>
      <c r="J110" s="9"/>
    </row>
    <row r="111" spans="9:10" x14ac:dyDescent="0.25">
      <c r="I111" s="11"/>
      <c r="J111" s="9"/>
    </row>
    <row r="112" spans="9:10" x14ac:dyDescent="0.25">
      <c r="I112" s="11"/>
      <c r="J112" s="9"/>
    </row>
    <row r="113" spans="9:10" x14ac:dyDescent="0.25">
      <c r="I113" s="11"/>
      <c r="J113" s="9"/>
    </row>
    <row r="114" spans="9:10" x14ac:dyDescent="0.25">
      <c r="I114" s="11"/>
      <c r="J114" s="9"/>
    </row>
    <row r="115" spans="9:10" x14ac:dyDescent="0.25">
      <c r="I115" s="11"/>
      <c r="J115" s="9"/>
    </row>
    <row r="116" spans="9:10" x14ac:dyDescent="0.25">
      <c r="I116" s="11"/>
      <c r="J116" s="9"/>
    </row>
    <row r="117" spans="9:10" x14ac:dyDescent="0.25">
      <c r="I117" s="11"/>
      <c r="J117" s="9"/>
    </row>
    <row r="118" spans="9:10" x14ac:dyDescent="0.25">
      <c r="I118" s="11"/>
      <c r="J118" s="9"/>
    </row>
    <row r="119" spans="9:10" x14ac:dyDescent="0.25">
      <c r="I119" s="11"/>
      <c r="J119" s="9"/>
    </row>
    <row r="120" spans="9:10" x14ac:dyDescent="0.25">
      <c r="I120" s="11"/>
      <c r="J120" s="9"/>
    </row>
    <row r="121" spans="9:10" x14ac:dyDescent="0.25">
      <c r="I121" s="11"/>
      <c r="J121" s="9"/>
    </row>
    <row r="122" spans="9:10" x14ac:dyDescent="0.25">
      <c r="I122" s="11"/>
      <c r="J122" s="9"/>
    </row>
    <row r="123" spans="9:10" x14ac:dyDescent="0.25">
      <c r="I123" s="11"/>
      <c r="J123" s="9"/>
    </row>
    <row r="124" spans="9:10" x14ac:dyDescent="0.25">
      <c r="I124" s="11"/>
      <c r="J124" s="9"/>
    </row>
    <row r="125" spans="9:10" x14ac:dyDescent="0.25">
      <c r="I125" s="11"/>
      <c r="J125" s="9"/>
    </row>
    <row r="126" spans="9:10" x14ac:dyDescent="0.25">
      <c r="I126" s="11"/>
      <c r="J126" s="9"/>
    </row>
    <row r="127" spans="9:10" x14ac:dyDescent="0.25">
      <c r="I127" s="11"/>
      <c r="J127" s="9"/>
    </row>
    <row r="128" spans="9:10" x14ac:dyDescent="0.25">
      <c r="I128" s="11"/>
      <c r="J128" s="9"/>
    </row>
    <row r="129" spans="9:10" x14ac:dyDescent="0.25">
      <c r="I129" s="11"/>
      <c r="J129" s="9"/>
    </row>
    <row r="130" spans="9:10" x14ac:dyDescent="0.25">
      <c r="I130" s="11"/>
      <c r="J130" s="9"/>
    </row>
    <row r="131" spans="9:10" x14ac:dyDescent="0.25">
      <c r="I131" s="11"/>
      <c r="J131" s="9"/>
    </row>
    <row r="132" spans="9:10" x14ac:dyDescent="0.25">
      <c r="I132" s="11"/>
      <c r="J132" s="9"/>
    </row>
    <row r="133" spans="9:10" x14ac:dyDescent="0.25">
      <c r="I133" s="11"/>
      <c r="J133" s="9"/>
    </row>
    <row r="134" spans="9:10" x14ac:dyDescent="0.25">
      <c r="I134" s="11"/>
      <c r="J134" s="9"/>
    </row>
    <row r="135" spans="9:10" x14ac:dyDescent="0.25">
      <c r="I135" s="11"/>
      <c r="J135" s="9"/>
    </row>
    <row r="136" spans="9:10" x14ac:dyDescent="0.25">
      <c r="I136" s="11"/>
      <c r="J136" s="9"/>
    </row>
    <row r="137" spans="9:10" x14ac:dyDescent="0.25">
      <c r="I137" s="11"/>
      <c r="J137" s="9"/>
    </row>
    <row r="138" spans="9:10" x14ac:dyDescent="0.25">
      <c r="I138" s="11"/>
      <c r="J138" s="9"/>
    </row>
    <row r="139" spans="9:10" x14ac:dyDescent="0.25">
      <c r="I139" s="11"/>
      <c r="J139" s="9"/>
    </row>
    <row r="140" spans="9:10" x14ac:dyDescent="0.25">
      <c r="I140" s="11"/>
      <c r="J140" s="9"/>
    </row>
    <row r="141" spans="9:10" x14ac:dyDescent="0.25">
      <c r="I141" s="11"/>
      <c r="J141" s="9"/>
    </row>
    <row r="142" spans="9:10" x14ac:dyDescent="0.25">
      <c r="I142" s="11"/>
      <c r="J142" s="9"/>
    </row>
    <row r="143" spans="9:10" x14ac:dyDescent="0.25">
      <c r="I143" s="11"/>
      <c r="J143" s="9"/>
    </row>
    <row r="144" spans="9:10" x14ac:dyDescent="0.25">
      <c r="I144" s="11"/>
      <c r="J144" s="9"/>
    </row>
    <row r="145" spans="9:10" x14ac:dyDescent="0.25">
      <c r="I145" s="11"/>
      <c r="J145" s="9"/>
    </row>
    <row r="146" spans="9:10" x14ac:dyDescent="0.25">
      <c r="I146" s="11"/>
      <c r="J146" s="9"/>
    </row>
    <row r="147" spans="9:10" x14ac:dyDescent="0.25">
      <c r="I147" s="11"/>
      <c r="J147" s="9"/>
    </row>
    <row r="148" spans="9:10" x14ac:dyDescent="0.25">
      <c r="I148" s="11"/>
      <c r="J148" s="9"/>
    </row>
    <row r="149" spans="9:10" x14ac:dyDescent="0.25">
      <c r="I149" s="11"/>
      <c r="J149" s="9"/>
    </row>
    <row r="150" spans="9:10" x14ac:dyDescent="0.25">
      <c r="I150" s="11"/>
      <c r="J150" s="9"/>
    </row>
    <row r="151" spans="9:10" x14ac:dyDescent="0.25">
      <c r="I151" s="11"/>
      <c r="J151" s="9"/>
    </row>
    <row r="152" spans="9:10" x14ac:dyDescent="0.25">
      <c r="I152" s="11"/>
      <c r="J152" s="9"/>
    </row>
    <row r="153" spans="9:10" x14ac:dyDescent="0.25">
      <c r="I153" s="11"/>
      <c r="J153" s="9"/>
    </row>
    <row r="154" spans="9:10" x14ac:dyDescent="0.25">
      <c r="I154" s="11"/>
      <c r="J154" s="9"/>
    </row>
    <row r="155" spans="9:10" x14ac:dyDescent="0.25">
      <c r="I155" s="11"/>
      <c r="J155" s="9"/>
    </row>
    <row r="156" spans="9:10" x14ac:dyDescent="0.25">
      <c r="I156" s="11"/>
      <c r="J156" s="9"/>
    </row>
    <row r="157" spans="9:10" x14ac:dyDescent="0.25">
      <c r="I157" s="11"/>
      <c r="J157" s="9"/>
    </row>
    <row r="158" spans="9:10" x14ac:dyDescent="0.25">
      <c r="I158" s="11"/>
      <c r="J158" s="9"/>
    </row>
    <row r="159" spans="9:10" x14ac:dyDescent="0.25">
      <c r="I159" s="11"/>
      <c r="J159" s="9"/>
    </row>
    <row r="160" spans="9:10" x14ac:dyDescent="0.25">
      <c r="I160" s="11"/>
      <c r="J160" s="9"/>
    </row>
    <row r="161" spans="9:10" x14ac:dyDescent="0.25">
      <c r="I161" s="11"/>
      <c r="J161" s="9"/>
    </row>
    <row r="162" spans="9:10" x14ac:dyDescent="0.25">
      <c r="I162" s="11"/>
      <c r="J162" s="9"/>
    </row>
    <row r="163" spans="9:10" x14ac:dyDescent="0.25">
      <c r="I163" s="11"/>
      <c r="J163" s="9"/>
    </row>
    <row r="164" spans="9:10" x14ac:dyDescent="0.25">
      <c r="I164" s="11"/>
      <c r="J164" s="9"/>
    </row>
    <row r="165" spans="9:10" x14ac:dyDescent="0.25">
      <c r="I165" s="11"/>
      <c r="J165" s="9"/>
    </row>
    <row r="166" spans="9:10" x14ac:dyDescent="0.25">
      <c r="I166" s="11"/>
      <c r="J166" s="9"/>
    </row>
    <row r="167" spans="9:10" x14ac:dyDescent="0.25">
      <c r="I167" s="11"/>
      <c r="J167" s="9"/>
    </row>
    <row r="168" spans="9:10" x14ac:dyDescent="0.25">
      <c r="I168" s="11"/>
      <c r="J168" s="9"/>
    </row>
    <row r="169" spans="9:10" x14ac:dyDescent="0.25">
      <c r="I169" s="11"/>
      <c r="J169" s="9"/>
    </row>
    <row r="170" spans="9:10" x14ac:dyDescent="0.25">
      <c r="I170" s="11"/>
      <c r="J170" s="9"/>
    </row>
    <row r="171" spans="9:10" x14ac:dyDescent="0.25">
      <c r="I171" s="11"/>
      <c r="J171" s="9"/>
    </row>
    <row r="172" spans="9:10" x14ac:dyDescent="0.25">
      <c r="I172" s="11"/>
      <c r="J172" s="9"/>
    </row>
    <row r="173" spans="9:10" x14ac:dyDescent="0.25">
      <c r="I173" s="11"/>
      <c r="J173" s="9"/>
    </row>
    <row r="174" spans="9:10" x14ac:dyDescent="0.25">
      <c r="I174" s="11"/>
      <c r="J174" s="9"/>
    </row>
    <row r="175" spans="9:10" x14ac:dyDescent="0.25">
      <c r="I175" s="11"/>
      <c r="J175" s="9"/>
    </row>
    <row r="176" spans="9:10" x14ac:dyDescent="0.25">
      <c r="I176" s="11"/>
      <c r="J176" s="9"/>
    </row>
    <row r="177" spans="9:10" x14ac:dyDescent="0.25">
      <c r="I177" s="11"/>
      <c r="J177" s="9"/>
    </row>
    <row r="178" spans="9:10" x14ac:dyDescent="0.25">
      <c r="I178" s="11"/>
      <c r="J178" s="9"/>
    </row>
    <row r="179" spans="9:10" x14ac:dyDescent="0.25">
      <c r="I179" s="11"/>
      <c r="J179" s="9"/>
    </row>
    <row r="180" spans="9:10" x14ac:dyDescent="0.25">
      <c r="I180" s="11"/>
      <c r="J180" s="9"/>
    </row>
    <row r="181" spans="9:10" x14ac:dyDescent="0.25">
      <c r="I181" s="11"/>
      <c r="J181" s="9"/>
    </row>
    <row r="182" spans="9:10" x14ac:dyDescent="0.25">
      <c r="I182" s="11"/>
      <c r="J182" s="9"/>
    </row>
    <row r="183" spans="9:10" x14ac:dyDescent="0.25">
      <c r="I183" s="11"/>
      <c r="J183" s="9"/>
    </row>
    <row r="184" spans="9:10" x14ac:dyDescent="0.25">
      <c r="I184" s="11"/>
      <c r="J184" s="9"/>
    </row>
    <row r="185" spans="9:10" x14ac:dyDescent="0.25">
      <c r="I185" s="11"/>
      <c r="J185" s="9"/>
    </row>
    <row r="186" spans="9:10" x14ac:dyDescent="0.25">
      <c r="I186" s="11"/>
      <c r="J186" s="9"/>
    </row>
    <row r="187" spans="9:10" x14ac:dyDescent="0.25">
      <c r="I187" s="11"/>
      <c r="J187" s="9"/>
    </row>
    <row r="188" spans="9:10" x14ac:dyDescent="0.25">
      <c r="I188" s="11"/>
      <c r="J188" s="9"/>
    </row>
    <row r="189" spans="9:10" x14ac:dyDescent="0.25">
      <c r="I189" s="11"/>
      <c r="J189" s="9"/>
    </row>
    <row r="190" spans="9:10" x14ac:dyDescent="0.25">
      <c r="I190" s="11"/>
      <c r="J190" s="9"/>
    </row>
    <row r="191" spans="9:10" x14ac:dyDescent="0.25">
      <c r="I191" s="11"/>
      <c r="J191" s="9"/>
    </row>
    <row r="192" spans="9:10" x14ac:dyDescent="0.25">
      <c r="I192" s="11"/>
      <c r="J192" s="9"/>
    </row>
    <row r="193" spans="9:10" x14ac:dyDescent="0.25">
      <c r="I193" s="11"/>
      <c r="J193" s="9"/>
    </row>
    <row r="194" spans="9:10" x14ac:dyDescent="0.25">
      <c r="I194" s="11"/>
      <c r="J194" s="9"/>
    </row>
    <row r="195" spans="9:10" x14ac:dyDescent="0.25">
      <c r="I195" s="11"/>
      <c r="J195" s="9"/>
    </row>
    <row r="196" spans="9:10" x14ac:dyDescent="0.25">
      <c r="I196" s="11"/>
      <c r="J196" s="9"/>
    </row>
    <row r="197" spans="9:10" x14ac:dyDescent="0.25">
      <c r="I197" s="11"/>
      <c r="J197" s="9"/>
    </row>
    <row r="198" spans="9:10" x14ac:dyDescent="0.25">
      <c r="I198" s="11"/>
      <c r="J198" s="9"/>
    </row>
    <row r="199" spans="9:10" x14ac:dyDescent="0.25">
      <c r="I199" s="11"/>
      <c r="J199" s="9"/>
    </row>
    <row r="200" spans="9:10" x14ac:dyDescent="0.25">
      <c r="I200" s="11"/>
      <c r="J200" s="9"/>
    </row>
    <row r="201" spans="9:10" x14ac:dyDescent="0.25">
      <c r="I201" s="11"/>
      <c r="J201" s="9"/>
    </row>
    <row r="202" spans="9:10" x14ac:dyDescent="0.25">
      <c r="I202" s="11"/>
      <c r="J202" s="9"/>
    </row>
    <row r="203" spans="9:10" x14ac:dyDescent="0.25">
      <c r="I203" s="11"/>
      <c r="J203" s="9"/>
    </row>
    <row r="204" spans="9:10" x14ac:dyDescent="0.25">
      <c r="I204" s="11"/>
      <c r="J204" s="9"/>
    </row>
    <row r="205" spans="9:10" x14ac:dyDescent="0.25">
      <c r="I205" s="11"/>
      <c r="J205" s="9"/>
    </row>
    <row r="206" spans="9:10" x14ac:dyDescent="0.25">
      <c r="I206" s="11"/>
      <c r="J206" s="9"/>
    </row>
    <row r="207" spans="9:10" x14ac:dyDescent="0.25">
      <c r="I207" s="11"/>
      <c r="J207" s="9"/>
    </row>
    <row r="208" spans="9:10" x14ac:dyDescent="0.25">
      <c r="I208" s="11"/>
      <c r="J208" s="9"/>
    </row>
    <row r="209" spans="9:10" x14ac:dyDescent="0.25">
      <c r="I209" s="11"/>
      <c r="J209" s="9"/>
    </row>
    <row r="210" spans="9:10" x14ac:dyDescent="0.25">
      <c r="I210" s="11"/>
      <c r="J210" s="9"/>
    </row>
    <row r="211" spans="9:10" x14ac:dyDescent="0.25">
      <c r="I211" s="11"/>
      <c r="J211" s="9"/>
    </row>
    <row r="212" spans="9:10" x14ac:dyDescent="0.25">
      <c r="I212" s="11"/>
      <c r="J212" s="9"/>
    </row>
    <row r="213" spans="9:10" x14ac:dyDescent="0.25">
      <c r="I213" s="11"/>
      <c r="J213" s="9"/>
    </row>
    <row r="214" spans="9:10" x14ac:dyDescent="0.25">
      <c r="I214" s="11"/>
      <c r="J214" s="9"/>
    </row>
    <row r="215" spans="9:10" x14ac:dyDescent="0.25">
      <c r="I215" s="11"/>
      <c r="J215" s="9"/>
    </row>
    <row r="216" spans="9:10" x14ac:dyDescent="0.25">
      <c r="I216" s="11"/>
      <c r="J216" s="9"/>
    </row>
    <row r="217" spans="9:10" x14ac:dyDescent="0.25">
      <c r="I217" s="11"/>
      <c r="J217" s="9"/>
    </row>
    <row r="218" spans="9:10" x14ac:dyDescent="0.25">
      <c r="I218" s="11"/>
      <c r="J218" s="9"/>
    </row>
    <row r="219" spans="9:10" x14ac:dyDescent="0.25">
      <c r="I219" s="11"/>
      <c r="J219" s="9"/>
    </row>
    <row r="220" spans="9:10" x14ac:dyDescent="0.25">
      <c r="I220" s="11"/>
      <c r="J220" s="9"/>
    </row>
    <row r="221" spans="9:10" x14ac:dyDescent="0.25">
      <c r="I221" s="11"/>
      <c r="J221" s="9"/>
    </row>
    <row r="222" spans="9:10" x14ac:dyDescent="0.25">
      <c r="I222" s="11"/>
      <c r="J222" s="9"/>
    </row>
    <row r="223" spans="9:10" x14ac:dyDescent="0.25">
      <c r="I223" s="11"/>
      <c r="J223" s="9"/>
    </row>
    <row r="224" spans="9:10" x14ac:dyDescent="0.25">
      <c r="I224" s="11"/>
      <c r="J224" s="9"/>
    </row>
    <row r="225" spans="9:10" x14ac:dyDescent="0.25">
      <c r="I225" s="11"/>
      <c r="J225" s="9"/>
    </row>
    <row r="226" spans="9:10" x14ac:dyDescent="0.25">
      <c r="I226" s="11"/>
      <c r="J226" s="9"/>
    </row>
    <row r="227" spans="9:10" x14ac:dyDescent="0.25">
      <c r="I227" s="11"/>
      <c r="J227" s="9"/>
    </row>
    <row r="228" spans="9:10" x14ac:dyDescent="0.25">
      <c r="I228" s="11"/>
      <c r="J228" s="9"/>
    </row>
    <row r="229" spans="9:10" x14ac:dyDescent="0.25">
      <c r="I229" s="11"/>
      <c r="J229" s="9"/>
    </row>
    <row r="230" spans="9:10" x14ac:dyDescent="0.25">
      <c r="I230" s="11"/>
      <c r="J230" s="9"/>
    </row>
    <row r="231" spans="9:10" x14ac:dyDescent="0.25">
      <c r="I231" s="11"/>
      <c r="J231" s="9"/>
    </row>
    <row r="232" spans="9:10" x14ac:dyDescent="0.25">
      <c r="I232" s="11"/>
      <c r="J232" s="9"/>
    </row>
    <row r="233" spans="9:10" x14ac:dyDescent="0.25">
      <c r="I233" s="11"/>
      <c r="J233" s="9"/>
    </row>
    <row r="234" spans="9:10" x14ac:dyDescent="0.25">
      <c r="I234" s="11"/>
      <c r="J234" s="9"/>
    </row>
    <row r="235" spans="9:10" x14ac:dyDescent="0.25">
      <c r="I235" s="11"/>
      <c r="J235" s="9"/>
    </row>
    <row r="236" spans="9:10" x14ac:dyDescent="0.25">
      <c r="I236" s="11"/>
      <c r="J236" s="9"/>
    </row>
    <row r="237" spans="9:10" x14ac:dyDescent="0.25">
      <c r="I237" s="11"/>
      <c r="J237" s="9"/>
    </row>
    <row r="238" spans="9:10" x14ac:dyDescent="0.25">
      <c r="I238" s="11"/>
      <c r="J238" s="9"/>
    </row>
    <row r="239" spans="9:10" x14ac:dyDescent="0.25">
      <c r="I239" s="11"/>
      <c r="J239" s="9"/>
    </row>
    <row r="240" spans="9:10" x14ac:dyDescent="0.25">
      <c r="I240" s="11"/>
      <c r="J240" s="9"/>
    </row>
    <row r="241" spans="9:10" x14ac:dyDescent="0.25">
      <c r="I241" s="11"/>
      <c r="J241" s="9"/>
    </row>
    <row r="242" spans="9:10" x14ac:dyDescent="0.25">
      <c r="I242" s="11"/>
      <c r="J242" s="9"/>
    </row>
    <row r="243" spans="9:10" x14ac:dyDescent="0.25">
      <c r="I243" s="11"/>
      <c r="J243" s="9"/>
    </row>
    <row r="244" spans="9:10" x14ac:dyDescent="0.25">
      <c r="I244" s="11"/>
      <c r="J244" s="9"/>
    </row>
    <row r="245" spans="9:10" x14ac:dyDescent="0.25">
      <c r="I245" s="11"/>
      <c r="J245" s="9"/>
    </row>
    <row r="246" spans="9:10" x14ac:dyDescent="0.25">
      <c r="I246" s="11"/>
      <c r="J246" s="9"/>
    </row>
    <row r="247" spans="9:10" x14ac:dyDescent="0.25">
      <c r="I247" s="11"/>
      <c r="J247" s="9"/>
    </row>
    <row r="248" spans="9:10" x14ac:dyDescent="0.25">
      <c r="I248" s="11"/>
      <c r="J248" s="9"/>
    </row>
    <row r="249" spans="9:10" x14ac:dyDescent="0.25">
      <c r="I249" s="11"/>
      <c r="J249" s="9"/>
    </row>
    <row r="250" spans="9:10" x14ac:dyDescent="0.25">
      <c r="I250" s="11"/>
      <c r="J250" s="9"/>
    </row>
    <row r="251" spans="9:10" x14ac:dyDescent="0.25">
      <c r="I251" s="11"/>
      <c r="J251" s="9"/>
    </row>
    <row r="252" spans="9:10" x14ac:dyDescent="0.25">
      <c r="I252" s="11"/>
      <c r="J252" s="9"/>
    </row>
    <row r="253" spans="9:10" x14ac:dyDescent="0.25">
      <c r="I253" s="11"/>
      <c r="J253" s="9"/>
    </row>
    <row r="254" spans="9:10" x14ac:dyDescent="0.25">
      <c r="I254" s="11"/>
      <c r="J254" s="9"/>
    </row>
    <row r="255" spans="9:10" x14ac:dyDescent="0.25">
      <c r="I255" s="11"/>
      <c r="J255" s="9"/>
    </row>
    <row r="256" spans="9:10" x14ac:dyDescent="0.25">
      <c r="I256" s="11"/>
      <c r="J256" s="9"/>
    </row>
    <row r="257" spans="9:10" x14ac:dyDescent="0.25">
      <c r="I257" s="11"/>
      <c r="J257" s="9"/>
    </row>
    <row r="258" spans="9:10" x14ac:dyDescent="0.25">
      <c r="I258" s="11"/>
      <c r="J258" s="9"/>
    </row>
    <row r="259" spans="9:10" x14ac:dyDescent="0.25">
      <c r="I259" s="11"/>
      <c r="J259" s="9"/>
    </row>
    <row r="260" spans="9:10" x14ac:dyDescent="0.25">
      <c r="I260" s="11"/>
      <c r="J260" s="9"/>
    </row>
    <row r="261" spans="9:10" x14ac:dyDescent="0.25">
      <c r="I261" s="11"/>
      <c r="J261" s="9"/>
    </row>
    <row r="262" spans="9:10" x14ac:dyDescent="0.25">
      <c r="I262" s="11"/>
      <c r="J262" s="9"/>
    </row>
    <row r="263" spans="9:10" x14ac:dyDescent="0.25">
      <c r="I263" s="11"/>
      <c r="J263" s="9"/>
    </row>
    <row r="264" spans="9:10" x14ac:dyDescent="0.25">
      <c r="I264" s="11"/>
      <c r="J264" s="9"/>
    </row>
    <row r="265" spans="9:10" x14ac:dyDescent="0.25">
      <c r="I265" s="11"/>
      <c r="J265" s="9"/>
    </row>
    <row r="266" spans="9:10" x14ac:dyDescent="0.25">
      <c r="I266" s="11"/>
      <c r="J266" s="9"/>
    </row>
    <row r="267" spans="9:10" x14ac:dyDescent="0.25">
      <c r="I267" s="11"/>
      <c r="J267" s="9"/>
    </row>
    <row r="268" spans="9:10" x14ac:dyDescent="0.25">
      <c r="I268" s="11"/>
      <c r="J268" s="9"/>
    </row>
    <row r="269" spans="9:10" x14ac:dyDescent="0.25">
      <c r="I269" s="11"/>
      <c r="J269" s="9"/>
    </row>
    <row r="270" spans="9:10" x14ac:dyDescent="0.25">
      <c r="I270" s="11"/>
      <c r="J270" s="9"/>
    </row>
    <row r="271" spans="9:10" x14ac:dyDescent="0.25">
      <c r="I271" s="11"/>
      <c r="J271" s="9"/>
    </row>
    <row r="272" spans="9:10" x14ac:dyDescent="0.25">
      <c r="I272" s="11"/>
      <c r="J272" s="9"/>
    </row>
    <row r="273" spans="9:10" x14ac:dyDescent="0.25">
      <c r="I273" s="11"/>
      <c r="J273" s="9"/>
    </row>
    <row r="274" spans="9:10" x14ac:dyDescent="0.25">
      <c r="I274" s="11"/>
      <c r="J274" s="9"/>
    </row>
    <row r="275" spans="9:10" x14ac:dyDescent="0.25">
      <c r="I275" s="11"/>
      <c r="J275" s="9"/>
    </row>
    <row r="276" spans="9:10" x14ac:dyDescent="0.25">
      <c r="I276" s="11"/>
      <c r="J276" s="9"/>
    </row>
    <row r="277" spans="9:10" x14ac:dyDescent="0.25">
      <c r="I277" s="11"/>
      <c r="J277" s="9"/>
    </row>
    <row r="278" spans="9:10" x14ac:dyDescent="0.25">
      <c r="I278" s="11"/>
      <c r="J278" s="9"/>
    </row>
    <row r="279" spans="9:10" x14ac:dyDescent="0.25">
      <c r="I279" s="11"/>
      <c r="J279" s="9"/>
    </row>
    <row r="280" spans="9:10" x14ac:dyDescent="0.25">
      <c r="I280" s="11"/>
      <c r="J280" s="9"/>
    </row>
    <row r="281" spans="9:10" x14ac:dyDescent="0.25">
      <c r="I281" s="11"/>
      <c r="J281" s="9"/>
    </row>
    <row r="282" spans="9:10" x14ac:dyDescent="0.25">
      <c r="I282" s="11"/>
      <c r="J282" s="9"/>
    </row>
    <row r="283" spans="9:10" x14ac:dyDescent="0.25">
      <c r="I283" s="11"/>
      <c r="J283" s="9"/>
    </row>
    <row r="284" spans="9:10" x14ac:dyDescent="0.25">
      <c r="I284" s="11"/>
      <c r="J284" s="9"/>
    </row>
    <row r="285" spans="9:10" x14ac:dyDescent="0.25">
      <c r="I285" s="11"/>
      <c r="J285" s="9"/>
    </row>
    <row r="286" spans="9:10" x14ac:dyDescent="0.25">
      <c r="I286" s="11"/>
      <c r="J286" s="9"/>
    </row>
    <row r="287" spans="9:10" x14ac:dyDescent="0.25">
      <c r="I287" s="11"/>
      <c r="J287" s="9"/>
    </row>
    <row r="288" spans="9:10" x14ac:dyDescent="0.25">
      <c r="I288" s="11"/>
      <c r="J288" s="9"/>
    </row>
    <row r="289" spans="9:10" x14ac:dyDescent="0.25">
      <c r="I289" s="11"/>
      <c r="J289" s="9"/>
    </row>
    <row r="290" spans="9:10" x14ac:dyDescent="0.25">
      <c r="I290" s="11"/>
      <c r="J290" s="9"/>
    </row>
    <row r="291" spans="9:10" x14ac:dyDescent="0.25">
      <c r="I291" s="11"/>
      <c r="J291" s="9"/>
    </row>
    <row r="292" spans="9:10" x14ac:dyDescent="0.25">
      <c r="I292" s="11"/>
      <c r="J292" s="9"/>
    </row>
    <row r="293" spans="9:10" x14ac:dyDescent="0.25">
      <c r="I293" s="11"/>
      <c r="J293" s="9"/>
    </row>
    <row r="294" spans="9:10" x14ac:dyDescent="0.25">
      <c r="I294" s="11"/>
      <c r="J294" s="9"/>
    </row>
    <row r="295" spans="9:10" x14ac:dyDescent="0.25">
      <c r="I295" s="11"/>
      <c r="J295" s="9"/>
    </row>
    <row r="296" spans="9:10" x14ac:dyDescent="0.25">
      <c r="I296" s="11"/>
      <c r="J296" s="9"/>
    </row>
    <row r="297" spans="9:10" x14ac:dyDescent="0.25">
      <c r="I297" s="11"/>
      <c r="J297" s="9"/>
    </row>
    <row r="298" spans="9:10" x14ac:dyDescent="0.25">
      <c r="I298" s="11"/>
      <c r="J298" s="9"/>
    </row>
    <row r="299" spans="9:10" x14ac:dyDescent="0.25">
      <c r="I299" s="11"/>
      <c r="J299" s="9"/>
    </row>
    <row r="300" spans="9:10" x14ac:dyDescent="0.25">
      <c r="I300" s="11"/>
      <c r="J300" s="9"/>
    </row>
    <row r="301" spans="9:10" x14ac:dyDescent="0.25">
      <c r="I301" s="11"/>
      <c r="J301" s="9"/>
    </row>
    <row r="302" spans="9:10" x14ac:dyDescent="0.25">
      <c r="I302" s="11"/>
      <c r="J302" s="9"/>
    </row>
    <row r="303" spans="9:10" x14ac:dyDescent="0.25">
      <c r="I303" s="11"/>
      <c r="J303" s="9"/>
    </row>
    <row r="304" spans="9:10" x14ac:dyDescent="0.25">
      <c r="I304" s="11"/>
      <c r="J304" s="9"/>
    </row>
    <row r="305" spans="9:10" x14ac:dyDescent="0.25">
      <c r="I305" s="11"/>
      <c r="J305" s="9"/>
    </row>
    <row r="306" spans="9:10" x14ac:dyDescent="0.25">
      <c r="I306" s="11"/>
      <c r="J306" s="9"/>
    </row>
    <row r="307" spans="9:10" x14ac:dyDescent="0.25">
      <c r="I307" s="11"/>
      <c r="J307" s="9"/>
    </row>
    <row r="308" spans="9:10" x14ac:dyDescent="0.25">
      <c r="I308" s="11"/>
      <c r="J308" s="9"/>
    </row>
    <row r="309" spans="9:10" x14ac:dyDescent="0.25">
      <c r="I309" s="11"/>
      <c r="J309" s="9"/>
    </row>
    <row r="310" spans="9:10" x14ac:dyDescent="0.25">
      <c r="I310" s="11"/>
      <c r="J310" s="9"/>
    </row>
    <row r="311" spans="9:10" x14ac:dyDescent="0.25">
      <c r="I311" s="11"/>
      <c r="J311" s="9"/>
    </row>
    <row r="312" spans="9:10" x14ac:dyDescent="0.25">
      <c r="I312" s="11"/>
      <c r="J312" s="9"/>
    </row>
    <row r="313" spans="9:10" x14ac:dyDescent="0.25">
      <c r="I313" s="11"/>
      <c r="J313" s="9"/>
    </row>
    <row r="314" spans="9:10" x14ac:dyDescent="0.25">
      <c r="I314" s="11"/>
      <c r="J314" s="9"/>
    </row>
    <row r="315" spans="9:10" x14ac:dyDescent="0.25">
      <c r="I315" s="11"/>
      <c r="J315" s="9"/>
    </row>
    <row r="316" spans="9:10" x14ac:dyDescent="0.25">
      <c r="I316" s="11"/>
      <c r="J316" s="9"/>
    </row>
    <row r="317" spans="9:10" x14ac:dyDescent="0.25">
      <c r="I317" s="11"/>
      <c r="J317" s="9"/>
    </row>
    <row r="318" spans="9:10" x14ac:dyDescent="0.25">
      <c r="I318" s="11"/>
      <c r="J318" s="9"/>
    </row>
    <row r="319" spans="9:10" x14ac:dyDescent="0.25">
      <c r="I319" s="11"/>
      <c r="J319" s="9"/>
    </row>
    <row r="320" spans="9:10" x14ac:dyDescent="0.25">
      <c r="I320" s="11"/>
      <c r="J320" s="9"/>
    </row>
    <row r="321" spans="9:10" x14ac:dyDescent="0.25">
      <c r="I321" s="11"/>
      <c r="J321" s="9"/>
    </row>
    <row r="322" spans="9:10" x14ac:dyDescent="0.25">
      <c r="I322" s="11"/>
      <c r="J322" s="9"/>
    </row>
    <row r="323" spans="9:10" x14ac:dyDescent="0.25">
      <c r="I323" s="11"/>
      <c r="J323" s="9"/>
    </row>
    <row r="324" spans="9:10" x14ac:dyDescent="0.25">
      <c r="I324" s="11"/>
      <c r="J324" s="9"/>
    </row>
    <row r="325" spans="9:10" x14ac:dyDescent="0.25">
      <c r="I325" s="11"/>
      <c r="J325" s="9"/>
    </row>
    <row r="326" spans="9:10" x14ac:dyDescent="0.25">
      <c r="I326" s="11"/>
      <c r="J326" s="9"/>
    </row>
    <row r="327" spans="9:10" x14ac:dyDescent="0.25">
      <c r="I327" s="11"/>
      <c r="J327" s="9"/>
    </row>
    <row r="328" spans="9:10" x14ac:dyDescent="0.25">
      <c r="I328" s="11"/>
      <c r="J328" s="9"/>
    </row>
    <row r="329" spans="9:10" x14ac:dyDescent="0.25">
      <c r="I329" s="11"/>
      <c r="J329" s="9"/>
    </row>
    <row r="330" spans="9:10" x14ac:dyDescent="0.25">
      <c r="I330" s="11"/>
      <c r="J330" s="9"/>
    </row>
    <row r="331" spans="9:10" x14ac:dyDescent="0.25">
      <c r="I331" s="11"/>
      <c r="J331" s="9"/>
    </row>
    <row r="332" spans="9:10" x14ac:dyDescent="0.25">
      <c r="I332" s="11"/>
      <c r="J332" s="9"/>
    </row>
    <row r="333" spans="9:10" x14ac:dyDescent="0.25">
      <c r="I333" s="11"/>
      <c r="J333" s="9"/>
    </row>
    <row r="334" spans="9:10" x14ac:dyDescent="0.25">
      <c r="I334" s="11"/>
      <c r="J334" s="9"/>
    </row>
    <row r="335" spans="9:10" x14ac:dyDescent="0.25">
      <c r="I335" s="11"/>
      <c r="J335" s="9"/>
    </row>
    <row r="336" spans="9:10" x14ac:dyDescent="0.25">
      <c r="I336" s="11"/>
      <c r="J336" s="9"/>
    </row>
    <row r="337" spans="9:10" x14ac:dyDescent="0.25">
      <c r="I337" s="11"/>
      <c r="J337" s="9"/>
    </row>
    <row r="338" spans="9:10" x14ac:dyDescent="0.25">
      <c r="I338" s="11"/>
      <c r="J338" s="9"/>
    </row>
    <row r="339" spans="9:10" x14ac:dyDescent="0.25">
      <c r="I339" s="11"/>
      <c r="J339" s="9"/>
    </row>
    <row r="340" spans="9:10" x14ac:dyDescent="0.25">
      <c r="I340" s="11"/>
      <c r="J340" s="9"/>
    </row>
    <row r="341" spans="9:10" x14ac:dyDescent="0.25">
      <c r="I341" s="11"/>
      <c r="J341" s="9"/>
    </row>
    <row r="342" spans="9:10" x14ac:dyDescent="0.25">
      <c r="I342" s="11"/>
      <c r="J342" s="9"/>
    </row>
    <row r="343" spans="9:10" x14ac:dyDescent="0.25">
      <c r="I343" s="11"/>
      <c r="J343" s="9"/>
    </row>
    <row r="344" spans="9:10" x14ac:dyDescent="0.25">
      <c r="I344" s="11"/>
      <c r="J344" s="9"/>
    </row>
    <row r="345" spans="9:10" x14ac:dyDescent="0.25">
      <c r="I345" s="11"/>
      <c r="J345" s="9"/>
    </row>
    <row r="346" spans="9:10" x14ac:dyDescent="0.25">
      <c r="I346" s="11"/>
      <c r="J346" s="9"/>
    </row>
    <row r="347" spans="9:10" x14ac:dyDescent="0.25">
      <c r="I347" s="11"/>
      <c r="J347" s="9"/>
    </row>
    <row r="348" spans="9:10" x14ac:dyDescent="0.25">
      <c r="I348" s="11"/>
      <c r="J348" s="9"/>
    </row>
    <row r="349" spans="9:10" x14ac:dyDescent="0.25">
      <c r="I349" s="11"/>
      <c r="J349" s="9"/>
    </row>
    <row r="350" spans="9:10" x14ac:dyDescent="0.25">
      <c r="I350" s="11"/>
      <c r="J350" s="9"/>
    </row>
    <row r="351" spans="9:10" x14ac:dyDescent="0.25">
      <c r="I351" s="11"/>
      <c r="J351" s="9"/>
    </row>
    <row r="352" spans="9:10" x14ac:dyDescent="0.25">
      <c r="I352" s="11"/>
      <c r="J352" s="9"/>
    </row>
    <row r="353" spans="9:10" x14ac:dyDescent="0.25">
      <c r="I353" s="11"/>
      <c r="J353" s="9"/>
    </row>
    <row r="354" spans="9:10" x14ac:dyDescent="0.25">
      <c r="I354" s="11"/>
      <c r="J354" s="9"/>
    </row>
    <row r="355" spans="9:10" x14ac:dyDescent="0.25">
      <c r="I355" s="11"/>
      <c r="J355" s="9"/>
    </row>
    <row r="356" spans="9:10" x14ac:dyDescent="0.25">
      <c r="I356" s="11"/>
      <c r="J356" s="9"/>
    </row>
    <row r="357" spans="9:10" x14ac:dyDescent="0.25">
      <c r="I357" s="11"/>
      <c r="J357" s="9"/>
    </row>
    <row r="358" spans="9:10" x14ac:dyDescent="0.25">
      <c r="I358" s="11"/>
      <c r="J358" s="9"/>
    </row>
    <row r="359" spans="9:10" x14ac:dyDescent="0.25">
      <c r="I359" s="11"/>
      <c r="J359" s="9"/>
    </row>
    <row r="360" spans="9:10" x14ac:dyDescent="0.25">
      <c r="I360" s="11"/>
      <c r="J360" s="9"/>
    </row>
    <row r="361" spans="9:10" x14ac:dyDescent="0.25">
      <c r="I361" s="11"/>
      <c r="J361" s="9"/>
    </row>
    <row r="362" spans="9:10" x14ac:dyDescent="0.25">
      <c r="I362" s="11"/>
      <c r="J362" s="9"/>
    </row>
    <row r="363" spans="9:10" x14ac:dyDescent="0.25">
      <c r="I363" s="11"/>
      <c r="J363" s="9"/>
    </row>
    <row r="364" spans="9:10" x14ac:dyDescent="0.25">
      <c r="I364" s="11"/>
      <c r="J364" s="9"/>
    </row>
    <row r="365" spans="9:10" x14ac:dyDescent="0.25">
      <c r="I365" s="11"/>
      <c r="J365" s="9"/>
    </row>
    <row r="366" spans="9:10" x14ac:dyDescent="0.25">
      <c r="I366" s="11"/>
      <c r="J366" s="9"/>
    </row>
    <row r="367" spans="9:10" x14ac:dyDescent="0.25">
      <c r="I367" s="11"/>
      <c r="J367" s="9"/>
    </row>
    <row r="368" spans="9:10" x14ac:dyDescent="0.25">
      <c r="I368" s="11"/>
      <c r="J368" s="9"/>
    </row>
    <row r="369" spans="9:10" x14ac:dyDescent="0.25">
      <c r="I369" s="11"/>
      <c r="J369" s="9"/>
    </row>
    <row r="370" spans="9:10" x14ac:dyDescent="0.25">
      <c r="I370" s="11"/>
      <c r="J370" s="9"/>
    </row>
    <row r="371" spans="9:10" x14ac:dyDescent="0.25">
      <c r="I371" s="11"/>
      <c r="J371" s="9"/>
    </row>
    <row r="372" spans="9:10" x14ac:dyDescent="0.25">
      <c r="I372" s="11"/>
      <c r="J372" s="9"/>
    </row>
    <row r="373" spans="9:10" x14ac:dyDescent="0.25">
      <c r="I373" s="11"/>
      <c r="J373" s="9"/>
    </row>
    <row r="374" spans="9:10" x14ac:dyDescent="0.25">
      <c r="I374" s="11"/>
      <c r="J374" s="9"/>
    </row>
    <row r="375" spans="9:10" x14ac:dyDescent="0.25">
      <c r="I375" s="11"/>
      <c r="J375" s="9"/>
    </row>
    <row r="376" spans="9:10" x14ac:dyDescent="0.25">
      <c r="I376" s="11"/>
      <c r="J376" s="9"/>
    </row>
    <row r="377" spans="9:10" x14ac:dyDescent="0.25">
      <c r="I377" s="11"/>
      <c r="J377" s="9"/>
    </row>
    <row r="378" spans="9:10" x14ac:dyDescent="0.25">
      <c r="I378" s="11"/>
      <c r="J378" s="9"/>
    </row>
    <row r="379" spans="9:10" x14ac:dyDescent="0.25">
      <c r="I379" s="11"/>
      <c r="J379" s="9"/>
    </row>
    <row r="380" spans="9:10" x14ac:dyDescent="0.25">
      <c r="I380" s="11"/>
      <c r="J380" s="9"/>
    </row>
    <row r="381" spans="9:10" x14ac:dyDescent="0.25">
      <c r="I381" s="11"/>
      <c r="J381" s="9"/>
    </row>
    <row r="382" spans="9:10" x14ac:dyDescent="0.25">
      <c r="I382" s="11"/>
      <c r="J382" s="9"/>
    </row>
    <row r="383" spans="9:10" x14ac:dyDescent="0.25">
      <c r="I383" s="11"/>
      <c r="J383" s="9"/>
    </row>
    <row r="384" spans="9:10" x14ac:dyDescent="0.25">
      <c r="I384" s="11"/>
      <c r="J384" s="9"/>
    </row>
    <row r="385" spans="9:10" x14ac:dyDescent="0.25">
      <c r="I385" s="11"/>
      <c r="J385" s="9"/>
    </row>
    <row r="386" spans="9:10" x14ac:dyDescent="0.25">
      <c r="I386" s="11"/>
      <c r="J386" s="9"/>
    </row>
    <row r="387" spans="9:10" x14ac:dyDescent="0.25">
      <c r="I387" s="11"/>
      <c r="J387" s="9"/>
    </row>
    <row r="388" spans="9:10" x14ac:dyDescent="0.25">
      <c r="I388" s="11"/>
      <c r="J388" s="9"/>
    </row>
    <row r="389" spans="9:10" x14ac:dyDescent="0.25">
      <c r="I389" s="11"/>
      <c r="J389" s="9"/>
    </row>
    <row r="390" spans="9:10" x14ac:dyDescent="0.25">
      <c r="I390" s="11"/>
      <c r="J390" s="9"/>
    </row>
    <row r="391" spans="9:10" x14ac:dyDescent="0.25">
      <c r="I391" s="11"/>
      <c r="J391" s="9"/>
    </row>
    <row r="392" spans="9:10" x14ac:dyDescent="0.25">
      <c r="I392" s="11"/>
      <c r="J392" s="9"/>
    </row>
    <row r="393" spans="9:10" x14ac:dyDescent="0.25">
      <c r="I393" s="11"/>
      <c r="J393" s="9"/>
    </row>
    <row r="394" spans="9:10" x14ac:dyDescent="0.25">
      <c r="I394" s="11"/>
      <c r="J394" s="9"/>
    </row>
    <row r="395" spans="9:10" x14ac:dyDescent="0.25">
      <c r="I395" s="11"/>
      <c r="J395" s="9"/>
    </row>
    <row r="396" spans="9:10" x14ac:dyDescent="0.25">
      <c r="I396" s="11"/>
      <c r="J396" s="9"/>
    </row>
    <row r="397" spans="9:10" x14ac:dyDescent="0.25">
      <c r="I397" s="11"/>
      <c r="J397" s="9"/>
    </row>
    <row r="398" spans="9:10" x14ac:dyDescent="0.25">
      <c r="I398" s="11"/>
      <c r="J398" s="9"/>
    </row>
    <row r="399" spans="9:10" x14ac:dyDescent="0.25">
      <c r="I399" s="11"/>
      <c r="J399" s="9"/>
    </row>
    <row r="400" spans="9:10" x14ac:dyDescent="0.25">
      <c r="I400" s="11"/>
      <c r="J400" s="9"/>
    </row>
    <row r="401" spans="9:10" x14ac:dyDescent="0.25">
      <c r="I401" s="11"/>
      <c r="J401" s="9"/>
    </row>
    <row r="402" spans="9:10" x14ac:dyDescent="0.25">
      <c r="I402" s="11"/>
      <c r="J402" s="9"/>
    </row>
    <row r="403" spans="9:10" x14ac:dyDescent="0.25">
      <c r="I403" s="11"/>
      <c r="J403" s="9"/>
    </row>
    <row r="404" spans="9:10" x14ac:dyDescent="0.25">
      <c r="I404" s="11"/>
      <c r="J404" s="9"/>
    </row>
    <row r="405" spans="9:10" x14ac:dyDescent="0.25">
      <c r="I405" s="11"/>
      <c r="J405" s="9"/>
    </row>
    <row r="406" spans="9:10" x14ac:dyDescent="0.25">
      <c r="I406" s="11"/>
      <c r="J406" s="9"/>
    </row>
    <row r="407" spans="9:10" x14ac:dyDescent="0.25">
      <c r="I407" s="11"/>
      <c r="J407" s="9"/>
    </row>
    <row r="408" spans="9:10" x14ac:dyDescent="0.25">
      <c r="I408" s="11"/>
      <c r="J408" s="9"/>
    </row>
    <row r="409" spans="9:10" x14ac:dyDescent="0.25">
      <c r="I409" s="11"/>
      <c r="J409" s="9"/>
    </row>
    <row r="410" spans="9:10" x14ac:dyDescent="0.25">
      <c r="I410" s="11"/>
      <c r="J410" s="9"/>
    </row>
    <row r="411" spans="9:10" x14ac:dyDescent="0.25">
      <c r="I411" s="11"/>
      <c r="J411" s="9"/>
    </row>
    <row r="412" spans="9:10" x14ac:dyDescent="0.25">
      <c r="I412" s="11"/>
      <c r="J412" s="9"/>
    </row>
    <row r="413" spans="9:10" x14ac:dyDescent="0.25">
      <c r="I413" s="11"/>
      <c r="J413" s="9"/>
    </row>
    <row r="414" spans="9:10" x14ac:dyDescent="0.25">
      <c r="I414" s="11"/>
      <c r="J414" s="9"/>
    </row>
    <row r="415" spans="9:10" x14ac:dyDescent="0.25">
      <c r="I415" s="11"/>
      <c r="J415" s="9"/>
    </row>
    <row r="416" spans="9:10" x14ac:dyDescent="0.25">
      <c r="I416" s="11"/>
      <c r="J416" s="9"/>
    </row>
    <row r="417" spans="9:10" x14ac:dyDescent="0.25">
      <c r="I417" s="11"/>
      <c r="J417" s="9"/>
    </row>
    <row r="418" spans="9:10" x14ac:dyDescent="0.25">
      <c r="I418" s="11"/>
      <c r="J418" s="9"/>
    </row>
    <row r="419" spans="9:10" x14ac:dyDescent="0.25">
      <c r="I419" s="11"/>
      <c r="J419" s="9"/>
    </row>
    <row r="420" spans="9:10" x14ac:dyDescent="0.25">
      <c r="I420" s="11"/>
      <c r="J420" s="9"/>
    </row>
    <row r="421" spans="9:10" x14ac:dyDescent="0.25">
      <c r="I421" s="11"/>
      <c r="J421" s="9"/>
    </row>
    <row r="422" spans="9:10" x14ac:dyDescent="0.25">
      <c r="I422" s="11"/>
      <c r="J422" s="9"/>
    </row>
    <row r="423" spans="9:10" x14ac:dyDescent="0.25">
      <c r="I423" s="11"/>
      <c r="J423" s="9"/>
    </row>
    <row r="424" spans="9:10" x14ac:dyDescent="0.25">
      <c r="I424" s="11"/>
      <c r="J424" s="9"/>
    </row>
    <row r="425" spans="9:10" x14ac:dyDescent="0.25">
      <c r="I425" s="11"/>
      <c r="J425" s="9"/>
    </row>
    <row r="426" spans="9:10" x14ac:dyDescent="0.25">
      <c r="I426" s="11"/>
      <c r="J426" s="9"/>
    </row>
    <row r="427" spans="9:10" x14ac:dyDescent="0.25">
      <c r="I427" s="11"/>
      <c r="J427" s="9"/>
    </row>
    <row r="428" spans="9:10" x14ac:dyDescent="0.25">
      <c r="I428" s="11"/>
      <c r="J428" s="9"/>
    </row>
    <row r="429" spans="9:10" x14ac:dyDescent="0.25">
      <c r="I429" s="11"/>
      <c r="J429" s="9"/>
    </row>
    <row r="430" spans="9:10" x14ac:dyDescent="0.25">
      <c r="I430" s="11"/>
      <c r="J430" s="9"/>
    </row>
    <row r="431" spans="9:10" x14ac:dyDescent="0.25">
      <c r="I431" s="11"/>
      <c r="J431" s="9"/>
    </row>
    <row r="432" spans="9:10" x14ac:dyDescent="0.25">
      <c r="I432" s="11"/>
      <c r="J432" s="9"/>
    </row>
    <row r="433" spans="9:10" x14ac:dyDescent="0.25">
      <c r="I433" s="11"/>
      <c r="J433" s="9"/>
    </row>
    <row r="434" spans="9:10" x14ac:dyDescent="0.25">
      <c r="I434" s="11"/>
      <c r="J434" s="9"/>
    </row>
    <row r="435" spans="9:10" x14ac:dyDescent="0.25">
      <c r="I435" s="11"/>
      <c r="J435" s="9"/>
    </row>
    <row r="436" spans="9:10" x14ac:dyDescent="0.25">
      <c r="I436" s="11"/>
      <c r="J436" s="9"/>
    </row>
    <row r="437" spans="9:10" x14ac:dyDescent="0.25">
      <c r="I437" s="11"/>
      <c r="J437" s="9"/>
    </row>
    <row r="438" spans="9:10" x14ac:dyDescent="0.25">
      <c r="I438" s="11"/>
      <c r="J438" s="9"/>
    </row>
    <row r="439" spans="9:10" x14ac:dyDescent="0.25">
      <c r="I439" s="11"/>
      <c r="J439" s="9"/>
    </row>
    <row r="440" spans="9:10" x14ac:dyDescent="0.25">
      <c r="I440" s="11"/>
      <c r="J440" s="9"/>
    </row>
    <row r="441" spans="9:10" x14ac:dyDescent="0.25">
      <c r="I441" s="11"/>
      <c r="J441" s="9"/>
    </row>
    <row r="442" spans="9:10" x14ac:dyDescent="0.25">
      <c r="I442" s="11"/>
      <c r="J442" s="9"/>
    </row>
    <row r="443" spans="9:10" x14ac:dyDescent="0.25">
      <c r="I443" s="11"/>
      <c r="J443" s="9"/>
    </row>
    <row r="444" spans="9:10" x14ac:dyDescent="0.25">
      <c r="I444" s="11"/>
      <c r="J444" s="9"/>
    </row>
    <row r="445" spans="9:10" x14ac:dyDescent="0.25">
      <c r="I445" s="11"/>
      <c r="J445" s="9"/>
    </row>
    <row r="446" spans="9:10" x14ac:dyDescent="0.25">
      <c r="I446" s="11"/>
      <c r="J446" s="9"/>
    </row>
    <row r="447" spans="9:10" x14ac:dyDescent="0.25">
      <c r="I447" s="11"/>
      <c r="J447" s="9"/>
    </row>
    <row r="448" spans="9:10" x14ac:dyDescent="0.25">
      <c r="I448" s="11"/>
      <c r="J448" s="9"/>
    </row>
    <row r="449" spans="9:10" x14ac:dyDescent="0.25">
      <c r="I449" s="11"/>
      <c r="J449" s="9"/>
    </row>
    <row r="450" spans="9:10" x14ac:dyDescent="0.25">
      <c r="I450" s="11"/>
      <c r="J450" s="9"/>
    </row>
    <row r="451" spans="9:10" x14ac:dyDescent="0.25">
      <c r="I451" s="11"/>
      <c r="J451" s="9"/>
    </row>
    <row r="452" spans="9:10" x14ac:dyDescent="0.25">
      <c r="I452" s="11"/>
      <c r="J452" s="9"/>
    </row>
    <row r="453" spans="9:10" x14ac:dyDescent="0.25">
      <c r="I453" s="11"/>
      <c r="J453" s="9"/>
    </row>
    <row r="454" spans="9:10" x14ac:dyDescent="0.25">
      <c r="I454" s="11"/>
      <c r="J454" s="9"/>
    </row>
    <row r="455" spans="9:10" x14ac:dyDescent="0.25">
      <c r="I455" s="11"/>
      <c r="J455" s="9"/>
    </row>
    <row r="456" spans="9:10" x14ac:dyDescent="0.25">
      <c r="I456" s="11"/>
      <c r="J456" s="9"/>
    </row>
    <row r="457" spans="9:10" x14ac:dyDescent="0.25">
      <c r="I457" s="11"/>
      <c r="J457" s="9"/>
    </row>
    <row r="458" spans="9:10" x14ac:dyDescent="0.25">
      <c r="I458" s="11"/>
      <c r="J458" s="9"/>
    </row>
    <row r="459" spans="9:10" x14ac:dyDescent="0.25">
      <c r="I459" s="11"/>
      <c r="J459" s="9"/>
    </row>
    <row r="460" spans="9:10" x14ac:dyDescent="0.25">
      <c r="I460" s="11"/>
      <c r="J460" s="9"/>
    </row>
    <row r="461" spans="9:10" x14ac:dyDescent="0.25">
      <c r="I461" s="11"/>
      <c r="J461" s="9"/>
    </row>
    <row r="462" spans="9:10" x14ac:dyDescent="0.25">
      <c r="I462" s="11"/>
      <c r="J462" s="9"/>
    </row>
    <row r="463" spans="9:10" x14ac:dyDescent="0.25">
      <c r="I463" s="11"/>
      <c r="J463" s="9"/>
    </row>
    <row r="464" spans="9:10" x14ac:dyDescent="0.25">
      <c r="I464" s="11"/>
      <c r="J464" s="9"/>
    </row>
    <row r="465" spans="9:10" x14ac:dyDescent="0.25">
      <c r="I465" s="11"/>
      <c r="J465" s="9"/>
    </row>
    <row r="466" spans="9:10" x14ac:dyDescent="0.25">
      <c r="I466" s="11"/>
      <c r="J466" s="9"/>
    </row>
    <row r="467" spans="9:10" x14ac:dyDescent="0.25">
      <c r="I467" s="11"/>
      <c r="J467" s="9"/>
    </row>
    <row r="468" spans="9:10" x14ac:dyDescent="0.25">
      <c r="I468" s="11"/>
      <c r="J468" s="9"/>
    </row>
    <row r="469" spans="9:10" x14ac:dyDescent="0.25">
      <c r="I469" s="11"/>
      <c r="J469" s="9"/>
    </row>
    <row r="470" spans="9:10" x14ac:dyDescent="0.25">
      <c r="I470" s="11"/>
      <c r="J470" s="9"/>
    </row>
    <row r="471" spans="9:10" x14ac:dyDescent="0.25">
      <c r="I471" s="11"/>
      <c r="J471" s="9"/>
    </row>
    <row r="472" spans="9:10" x14ac:dyDescent="0.25">
      <c r="I472" s="11"/>
      <c r="J472" s="9"/>
    </row>
    <row r="473" spans="9:10" x14ac:dyDescent="0.25">
      <c r="I473" s="11"/>
      <c r="J473" s="9"/>
    </row>
    <row r="474" spans="9:10" x14ac:dyDescent="0.25">
      <c r="I474" s="11"/>
      <c r="J474" s="9"/>
    </row>
    <row r="475" spans="9:10" x14ac:dyDescent="0.25">
      <c r="I475" s="11"/>
      <c r="J475" s="9"/>
    </row>
    <row r="476" spans="9:10" x14ac:dyDescent="0.25">
      <c r="I476" s="11"/>
      <c r="J476" s="9"/>
    </row>
    <row r="477" spans="9:10" x14ac:dyDescent="0.25">
      <c r="I477" s="11"/>
      <c r="J477" s="9"/>
    </row>
    <row r="478" spans="9:10" x14ac:dyDescent="0.25">
      <c r="I478" s="11"/>
      <c r="J478" s="9"/>
    </row>
    <row r="479" spans="9:10" x14ac:dyDescent="0.25">
      <c r="I479" s="11"/>
      <c r="J479" s="9"/>
    </row>
    <row r="480" spans="9:10" x14ac:dyDescent="0.25">
      <c r="I480" s="11"/>
      <c r="J480" s="9"/>
    </row>
    <row r="481" spans="9:10" x14ac:dyDescent="0.25">
      <c r="I481" s="11"/>
      <c r="J481" s="9"/>
    </row>
    <row r="482" spans="9:10" x14ac:dyDescent="0.25">
      <c r="I482" s="11"/>
      <c r="J482" s="9"/>
    </row>
    <row r="483" spans="9:10" x14ac:dyDescent="0.25">
      <c r="I483" s="11"/>
      <c r="J483" s="9"/>
    </row>
    <row r="484" spans="9:10" x14ac:dyDescent="0.25">
      <c r="I484" s="11"/>
      <c r="J484" s="9"/>
    </row>
    <row r="485" spans="9:10" x14ac:dyDescent="0.25">
      <c r="I485" s="11"/>
      <c r="J485" s="9"/>
    </row>
    <row r="486" spans="9:10" x14ac:dyDescent="0.25">
      <c r="I486" s="11"/>
      <c r="J486" s="9"/>
    </row>
    <row r="487" spans="9:10" x14ac:dyDescent="0.25">
      <c r="I487" s="11"/>
      <c r="J487" s="9"/>
    </row>
    <row r="488" spans="9:10" x14ac:dyDescent="0.25">
      <c r="I488" s="11"/>
      <c r="J488" s="9"/>
    </row>
    <row r="489" spans="9:10" x14ac:dyDescent="0.25">
      <c r="I489" s="11"/>
      <c r="J489" s="9"/>
    </row>
    <row r="490" spans="9:10" x14ac:dyDescent="0.25">
      <c r="I490" s="11"/>
      <c r="J490" s="9"/>
    </row>
    <row r="491" spans="9:10" x14ac:dyDescent="0.25">
      <c r="I491" s="11"/>
      <c r="J491" s="9"/>
    </row>
    <row r="492" spans="9:10" x14ac:dyDescent="0.25">
      <c r="I492" s="11"/>
      <c r="J492" s="9"/>
    </row>
    <row r="493" spans="9:10" x14ac:dyDescent="0.25">
      <c r="I493" s="11"/>
      <c r="J493" s="9"/>
    </row>
    <row r="494" spans="9:10" x14ac:dyDescent="0.25">
      <c r="I494" s="11"/>
      <c r="J494" s="9"/>
    </row>
    <row r="495" spans="9:10" x14ac:dyDescent="0.25">
      <c r="I495" s="11"/>
      <c r="J495" s="9"/>
    </row>
    <row r="496" spans="9:10" x14ac:dyDescent="0.25">
      <c r="I496" s="11"/>
      <c r="J496" s="9"/>
    </row>
    <row r="497" spans="9:10" x14ac:dyDescent="0.25">
      <c r="I497" s="11"/>
      <c r="J497" s="9"/>
    </row>
    <row r="498" spans="9:10" x14ac:dyDescent="0.25">
      <c r="I498" s="11"/>
      <c r="J498" s="9"/>
    </row>
    <row r="499" spans="9:10" x14ac:dyDescent="0.25">
      <c r="I499" s="11"/>
      <c r="J499" s="9"/>
    </row>
    <row r="500" spans="9:10" x14ac:dyDescent="0.25">
      <c r="I500" s="11"/>
      <c r="J500" s="9"/>
    </row>
    <row r="501" spans="9:10" x14ac:dyDescent="0.25">
      <c r="I501" s="11"/>
      <c r="J501" s="9"/>
    </row>
    <row r="502" spans="9:10" x14ac:dyDescent="0.25">
      <c r="I502" s="11"/>
      <c r="J502" s="9"/>
    </row>
    <row r="503" spans="9:10" x14ac:dyDescent="0.25">
      <c r="I503" s="11"/>
      <c r="J503" s="9"/>
    </row>
    <row r="504" spans="9:10" x14ac:dyDescent="0.25">
      <c r="I504" s="11"/>
      <c r="J504" s="9"/>
    </row>
    <row r="505" spans="9:10" x14ac:dyDescent="0.25">
      <c r="I505" s="11"/>
      <c r="J505" s="9"/>
    </row>
    <row r="506" spans="9:10" x14ac:dyDescent="0.25">
      <c r="I506" s="11"/>
      <c r="J506" s="9"/>
    </row>
    <row r="507" spans="9:10" x14ac:dyDescent="0.25">
      <c r="I507" s="11"/>
      <c r="J507" s="9"/>
    </row>
    <row r="508" spans="9:10" x14ac:dyDescent="0.25">
      <c r="I508" s="11"/>
      <c r="J508" s="9"/>
    </row>
    <row r="509" spans="9:10" x14ac:dyDescent="0.25">
      <c r="I509" s="11"/>
      <c r="J509" s="9"/>
    </row>
    <row r="510" spans="9:10" x14ac:dyDescent="0.25">
      <c r="I510" s="11"/>
      <c r="J510" s="9"/>
    </row>
    <row r="511" spans="9:10" x14ac:dyDescent="0.25">
      <c r="I511" s="11"/>
      <c r="J511" s="9"/>
    </row>
    <row r="512" spans="9:10" x14ac:dyDescent="0.25">
      <c r="I512" s="11"/>
      <c r="J512" s="9"/>
    </row>
    <row r="513" spans="9:10" x14ac:dyDescent="0.25">
      <c r="I513" s="11"/>
      <c r="J513" s="9"/>
    </row>
    <row r="514" spans="9:10" x14ac:dyDescent="0.25">
      <c r="I514" s="11"/>
      <c r="J514" s="9"/>
    </row>
    <row r="515" spans="9:10" x14ac:dyDescent="0.25">
      <c r="I515" s="11"/>
      <c r="J515" s="9"/>
    </row>
    <row r="516" spans="9:10" x14ac:dyDescent="0.25">
      <c r="I516" s="11"/>
      <c r="J516" s="9"/>
    </row>
    <row r="517" spans="9:10" x14ac:dyDescent="0.25">
      <c r="I517" s="11"/>
      <c r="J517" s="9"/>
    </row>
    <row r="518" spans="9:10" x14ac:dyDescent="0.25">
      <c r="I518" s="11"/>
      <c r="J518" s="9"/>
    </row>
    <row r="519" spans="9:10" x14ac:dyDescent="0.25">
      <c r="I519" s="11"/>
      <c r="J519" s="9"/>
    </row>
    <row r="520" spans="9:10" x14ac:dyDescent="0.25">
      <c r="I520" s="11"/>
      <c r="J520" s="9"/>
    </row>
    <row r="521" spans="9:10" x14ac:dyDescent="0.25">
      <c r="I521" s="11"/>
      <c r="J521" s="9"/>
    </row>
    <row r="522" spans="9:10" x14ac:dyDescent="0.25">
      <c r="I522" s="11"/>
      <c r="J522" s="9"/>
    </row>
    <row r="523" spans="9:10" x14ac:dyDescent="0.25">
      <c r="I523" s="11"/>
      <c r="J523" s="9"/>
    </row>
    <row r="524" spans="9:10" x14ac:dyDescent="0.25">
      <c r="I524" s="11"/>
      <c r="J524" s="9"/>
    </row>
    <row r="525" spans="9:10" x14ac:dyDescent="0.25">
      <c r="I525" s="11"/>
      <c r="J525" s="9"/>
    </row>
    <row r="526" spans="9:10" x14ac:dyDescent="0.25">
      <c r="I526" s="11"/>
      <c r="J526" s="9"/>
    </row>
    <row r="527" spans="9:10" x14ac:dyDescent="0.25">
      <c r="I527" s="11"/>
      <c r="J527" s="9"/>
    </row>
    <row r="528" spans="9:10" x14ac:dyDescent="0.25">
      <c r="I528" s="11"/>
      <c r="J528" s="9"/>
    </row>
    <row r="529" spans="9:10" x14ac:dyDescent="0.25">
      <c r="I529" s="11"/>
      <c r="J529" s="9"/>
    </row>
    <row r="530" spans="9:10" x14ac:dyDescent="0.25">
      <c r="I530" s="11"/>
      <c r="J530" s="9"/>
    </row>
    <row r="531" spans="9:10" x14ac:dyDescent="0.25">
      <c r="I531" s="11"/>
      <c r="J531" s="9"/>
    </row>
    <row r="532" spans="9:10" x14ac:dyDescent="0.25">
      <c r="I532" s="11"/>
      <c r="J532" s="9"/>
    </row>
    <row r="533" spans="9:10" x14ac:dyDescent="0.25">
      <c r="I533" s="11"/>
      <c r="J533" s="9"/>
    </row>
    <row r="534" spans="9:10" x14ac:dyDescent="0.25">
      <c r="I534" s="11"/>
      <c r="J534" s="9"/>
    </row>
    <row r="535" spans="9:10" x14ac:dyDescent="0.25">
      <c r="I535" s="11"/>
      <c r="J535" s="9"/>
    </row>
    <row r="536" spans="9:10" x14ac:dyDescent="0.25">
      <c r="I536" s="11"/>
      <c r="J536" s="9"/>
    </row>
    <row r="537" spans="9:10" x14ac:dyDescent="0.25">
      <c r="I537" s="11"/>
      <c r="J537" s="9"/>
    </row>
    <row r="538" spans="9:10" x14ac:dyDescent="0.25">
      <c r="I538" s="11"/>
      <c r="J538" s="9"/>
    </row>
    <row r="539" spans="9:10" x14ac:dyDescent="0.25">
      <c r="I539" s="11"/>
      <c r="J539" s="9"/>
    </row>
    <row r="540" spans="9:10" x14ac:dyDescent="0.25">
      <c r="I540" s="11"/>
      <c r="J540" s="9"/>
    </row>
    <row r="541" spans="9:10" x14ac:dyDescent="0.25">
      <c r="I541" s="11"/>
      <c r="J541" s="9"/>
    </row>
    <row r="542" spans="9:10" x14ac:dyDescent="0.25">
      <c r="I542" s="11"/>
      <c r="J542" s="9"/>
    </row>
    <row r="543" spans="9:10" x14ac:dyDescent="0.25">
      <c r="I543" s="11"/>
      <c r="J543" s="9"/>
    </row>
    <row r="544" spans="9:10" x14ac:dyDescent="0.25">
      <c r="I544" s="11"/>
      <c r="J544" s="9"/>
    </row>
    <row r="545" spans="9:10" x14ac:dyDescent="0.25">
      <c r="I545" s="11"/>
      <c r="J545" s="9"/>
    </row>
    <row r="546" spans="9:10" x14ac:dyDescent="0.25">
      <c r="I546" s="11"/>
      <c r="J546" s="9"/>
    </row>
    <row r="547" spans="9:10" x14ac:dyDescent="0.25">
      <c r="I547" s="11"/>
      <c r="J547" s="9"/>
    </row>
    <row r="548" spans="9:10" x14ac:dyDescent="0.25">
      <c r="I548" s="11"/>
      <c r="J548" s="9"/>
    </row>
    <row r="549" spans="9:10" x14ac:dyDescent="0.25">
      <c r="I549" s="11"/>
      <c r="J549" s="9"/>
    </row>
    <row r="550" spans="9:10" x14ac:dyDescent="0.25">
      <c r="I550" s="11"/>
      <c r="J550" s="9"/>
    </row>
    <row r="551" spans="9:10" x14ac:dyDescent="0.25">
      <c r="I551" s="11"/>
      <c r="J551" s="9"/>
    </row>
    <row r="552" spans="9:10" x14ac:dyDescent="0.25">
      <c r="I552" s="11"/>
      <c r="J552" s="9"/>
    </row>
    <row r="553" spans="9:10" x14ac:dyDescent="0.25">
      <c r="I553" s="11"/>
      <c r="J553" s="9"/>
    </row>
    <row r="554" spans="9:10" x14ac:dyDescent="0.25">
      <c r="I554" s="11"/>
      <c r="J554" s="9"/>
    </row>
    <row r="555" spans="9:10" x14ac:dyDescent="0.25">
      <c r="I555" s="11"/>
      <c r="J555" s="9"/>
    </row>
    <row r="556" spans="9:10" x14ac:dyDescent="0.25">
      <c r="I556" s="11"/>
      <c r="J556" s="9"/>
    </row>
    <row r="557" spans="9:10" x14ac:dyDescent="0.25">
      <c r="I557" s="11"/>
      <c r="J557" s="9"/>
    </row>
    <row r="558" spans="9:10" x14ac:dyDescent="0.25">
      <c r="I558" s="11"/>
      <c r="J558" s="9"/>
    </row>
    <row r="559" spans="9:10" x14ac:dyDescent="0.25">
      <c r="I559" s="11"/>
      <c r="J559" s="9"/>
    </row>
    <row r="560" spans="9:10" x14ac:dyDescent="0.25">
      <c r="I560" s="11"/>
      <c r="J560" s="9"/>
    </row>
    <row r="561" spans="9:10" x14ac:dyDescent="0.25">
      <c r="I561" s="11"/>
      <c r="J561" s="9"/>
    </row>
    <row r="562" spans="9:10" x14ac:dyDescent="0.25">
      <c r="I562" s="11"/>
      <c r="J562" s="9"/>
    </row>
    <row r="563" spans="9:10" x14ac:dyDescent="0.25">
      <c r="I563" s="11"/>
      <c r="J563" s="9"/>
    </row>
    <row r="564" spans="9:10" x14ac:dyDescent="0.25">
      <c r="I564" s="11"/>
      <c r="J564" s="9"/>
    </row>
    <row r="565" spans="9:10" x14ac:dyDescent="0.25">
      <c r="I565" s="11"/>
      <c r="J565" s="9"/>
    </row>
    <row r="566" spans="9:10" x14ac:dyDescent="0.25">
      <c r="I566" s="11"/>
      <c r="J566" s="9"/>
    </row>
    <row r="567" spans="9:10" x14ac:dyDescent="0.25">
      <c r="I567" s="11"/>
      <c r="J567" s="9"/>
    </row>
    <row r="568" spans="9:10" x14ac:dyDescent="0.25">
      <c r="I568" s="11"/>
      <c r="J568" s="9"/>
    </row>
    <row r="569" spans="9:10" x14ac:dyDescent="0.25">
      <c r="I569" s="11"/>
      <c r="J569" s="9"/>
    </row>
    <row r="570" spans="9:10" x14ac:dyDescent="0.25">
      <c r="I570" s="11"/>
      <c r="J570" s="9"/>
    </row>
    <row r="571" spans="9:10" x14ac:dyDescent="0.25">
      <c r="I571" s="11"/>
      <c r="J571" s="9"/>
    </row>
    <row r="572" spans="9:10" x14ac:dyDescent="0.25">
      <c r="I572" s="11"/>
      <c r="J572" s="9"/>
    </row>
    <row r="573" spans="9:10" x14ac:dyDescent="0.25">
      <c r="I573" s="11"/>
      <c r="J573" s="9"/>
    </row>
    <row r="574" spans="9:10" x14ac:dyDescent="0.25">
      <c r="I574" s="11"/>
      <c r="J574" s="9"/>
    </row>
    <row r="575" spans="9:10" x14ac:dyDescent="0.25">
      <c r="I575" s="11"/>
      <c r="J575" s="9"/>
    </row>
    <row r="576" spans="9:10" x14ac:dyDescent="0.25">
      <c r="I576" s="11"/>
      <c r="J576" s="9"/>
    </row>
    <row r="577" spans="9:10" x14ac:dyDescent="0.25">
      <c r="I577" s="11"/>
      <c r="J577" s="9"/>
    </row>
    <row r="578" spans="9:10" x14ac:dyDescent="0.25">
      <c r="I578" s="11"/>
      <c r="J578" s="9"/>
    </row>
    <row r="579" spans="9:10" x14ac:dyDescent="0.25">
      <c r="I579" s="11"/>
      <c r="J579" s="9"/>
    </row>
    <row r="580" spans="9:10" x14ac:dyDescent="0.25">
      <c r="I580" s="11"/>
      <c r="J580" s="9"/>
    </row>
    <row r="581" spans="9:10" x14ac:dyDescent="0.25">
      <c r="I581" s="11"/>
      <c r="J581" s="9"/>
    </row>
    <row r="582" spans="9:10" x14ac:dyDescent="0.25">
      <c r="I582" s="11"/>
      <c r="J582" s="9"/>
    </row>
    <row r="583" spans="9:10" x14ac:dyDescent="0.25">
      <c r="I583" s="11"/>
      <c r="J583" s="9"/>
    </row>
    <row r="584" spans="9:10" x14ac:dyDescent="0.25">
      <c r="I584" s="11"/>
      <c r="J584" s="9"/>
    </row>
    <row r="585" spans="9:10" x14ac:dyDescent="0.25">
      <c r="I585" s="11"/>
      <c r="J585" s="9"/>
    </row>
    <row r="586" spans="9:10" x14ac:dyDescent="0.25">
      <c r="I586" s="11"/>
      <c r="J586" s="9"/>
    </row>
    <row r="587" spans="9:10" x14ac:dyDescent="0.25">
      <c r="I587" s="11"/>
      <c r="J587" s="9"/>
    </row>
    <row r="588" spans="9:10" x14ac:dyDescent="0.25">
      <c r="I588" s="11"/>
      <c r="J588" s="9"/>
    </row>
    <row r="589" spans="9:10" x14ac:dyDescent="0.25">
      <c r="I589" s="11"/>
      <c r="J589" s="9"/>
    </row>
    <row r="590" spans="9:10" x14ac:dyDescent="0.25">
      <c r="I590" s="11"/>
      <c r="J590" s="9"/>
    </row>
    <row r="591" spans="9:10" x14ac:dyDescent="0.25">
      <c r="I591" s="11"/>
      <c r="J591" s="9"/>
    </row>
    <row r="592" spans="9:10" x14ac:dyDescent="0.25">
      <c r="I592" s="11"/>
      <c r="J592" s="9"/>
    </row>
    <row r="593" spans="9:10" x14ac:dyDescent="0.25">
      <c r="I593" s="11"/>
      <c r="J593" s="9"/>
    </row>
    <row r="594" spans="9:10" x14ac:dyDescent="0.25">
      <c r="I594" s="11"/>
      <c r="J594" s="9"/>
    </row>
    <row r="595" spans="9:10" x14ac:dyDescent="0.25">
      <c r="I595" s="11"/>
      <c r="J595" s="9"/>
    </row>
    <row r="596" spans="9:10" x14ac:dyDescent="0.25">
      <c r="I596" s="11"/>
      <c r="J596" s="9"/>
    </row>
    <row r="597" spans="9:10" x14ac:dyDescent="0.25">
      <c r="I597" s="11"/>
      <c r="J597" s="9"/>
    </row>
    <row r="598" spans="9:10" x14ac:dyDescent="0.25">
      <c r="I598" s="11"/>
      <c r="J598" s="9"/>
    </row>
    <row r="599" spans="9:10" x14ac:dyDescent="0.25">
      <c r="I599" s="11"/>
      <c r="J599" s="9"/>
    </row>
    <row r="600" spans="9:10" x14ac:dyDescent="0.25">
      <c r="I600" s="11"/>
      <c r="J600" s="9"/>
    </row>
    <row r="601" spans="9:10" x14ac:dyDescent="0.25">
      <c r="I601" s="11"/>
      <c r="J601" s="9"/>
    </row>
    <row r="602" spans="9:10" x14ac:dyDescent="0.25">
      <c r="I602" s="11"/>
      <c r="J602" s="9"/>
    </row>
    <row r="603" spans="9:10" x14ac:dyDescent="0.25">
      <c r="I603" s="11"/>
      <c r="J603" s="9"/>
    </row>
    <row r="604" spans="9:10" x14ac:dyDescent="0.25">
      <c r="I604" s="11"/>
      <c r="J604" s="9"/>
    </row>
    <row r="605" spans="9:10" x14ac:dyDescent="0.25">
      <c r="I605" s="11"/>
      <c r="J605" s="9"/>
    </row>
    <row r="606" spans="9:10" x14ac:dyDescent="0.25">
      <c r="I606" s="11"/>
      <c r="J606" s="9"/>
    </row>
    <row r="607" spans="9:10" x14ac:dyDescent="0.25">
      <c r="I607" s="11"/>
      <c r="J607" s="9"/>
    </row>
    <row r="608" spans="9:10" x14ac:dyDescent="0.25">
      <c r="I608" s="11"/>
      <c r="J608" s="9"/>
    </row>
    <row r="609" spans="9:10" x14ac:dyDescent="0.25">
      <c r="I609" s="11"/>
      <c r="J609" s="9"/>
    </row>
    <row r="610" spans="9:10" x14ac:dyDescent="0.25">
      <c r="I610" s="11"/>
      <c r="J610" s="9"/>
    </row>
    <row r="611" spans="9:10" x14ac:dyDescent="0.25">
      <c r="I611" s="11"/>
      <c r="J611" s="9"/>
    </row>
    <row r="612" spans="9:10" x14ac:dyDescent="0.25">
      <c r="I612" s="11"/>
      <c r="J612" s="9"/>
    </row>
    <row r="613" spans="9:10" x14ac:dyDescent="0.25">
      <c r="I613" s="11"/>
      <c r="J613" s="9"/>
    </row>
    <row r="614" spans="9:10" x14ac:dyDescent="0.25">
      <c r="I614" s="11"/>
      <c r="J614" s="9"/>
    </row>
    <row r="615" spans="9:10" x14ac:dyDescent="0.25">
      <c r="I615" s="11"/>
      <c r="J615" s="9"/>
    </row>
    <row r="616" spans="9:10" x14ac:dyDescent="0.25">
      <c r="I616" s="11"/>
      <c r="J616" s="9"/>
    </row>
    <row r="617" spans="9:10" x14ac:dyDescent="0.25">
      <c r="I617" s="11"/>
      <c r="J617" s="9"/>
    </row>
    <row r="618" spans="9:10" x14ac:dyDescent="0.25">
      <c r="I618" s="11"/>
      <c r="J618" s="9"/>
    </row>
    <row r="619" spans="9:10" x14ac:dyDescent="0.25">
      <c r="I619" s="11"/>
      <c r="J619" s="9"/>
    </row>
    <row r="620" spans="9:10" x14ac:dyDescent="0.25">
      <c r="I620" s="8"/>
      <c r="J620" s="9"/>
    </row>
    <row r="621" spans="9:10" x14ac:dyDescent="0.25">
      <c r="I621" s="11"/>
      <c r="J621" s="9"/>
    </row>
    <row r="622" spans="9:10" x14ac:dyDescent="0.25">
      <c r="I622" s="11"/>
      <c r="J622" s="9"/>
    </row>
    <row r="623" spans="9:10" x14ac:dyDescent="0.25">
      <c r="I623" s="11"/>
      <c r="J623" s="9"/>
    </row>
    <row r="624" spans="9:10" x14ac:dyDescent="0.25">
      <c r="I624" s="11"/>
      <c r="J624" s="9"/>
    </row>
    <row r="625" spans="9:10" x14ac:dyDescent="0.25">
      <c r="I625" s="11"/>
      <c r="J625" s="9"/>
    </row>
    <row r="626" spans="9:10" x14ac:dyDescent="0.25">
      <c r="I626" s="11"/>
      <c r="J626" s="9"/>
    </row>
    <row r="627" spans="9:10" x14ac:dyDescent="0.25">
      <c r="I627" s="11"/>
      <c r="J627" s="9"/>
    </row>
    <row r="628" spans="9:10" x14ac:dyDescent="0.25">
      <c r="I628" s="11"/>
      <c r="J628" s="9"/>
    </row>
    <row r="629" spans="9:10" x14ac:dyDescent="0.25">
      <c r="I629" s="11"/>
      <c r="J629" s="9"/>
    </row>
    <row r="630" spans="9:10" x14ac:dyDescent="0.25">
      <c r="I630" s="11"/>
      <c r="J630" s="9"/>
    </row>
    <row r="631" spans="9:10" x14ac:dyDescent="0.25">
      <c r="I631" s="11"/>
      <c r="J631" s="9"/>
    </row>
    <row r="632" spans="9:10" x14ac:dyDescent="0.25">
      <c r="I632" s="11"/>
      <c r="J632" s="9"/>
    </row>
    <row r="633" spans="9:10" x14ac:dyDescent="0.25">
      <c r="I633" s="11"/>
      <c r="J633" s="9"/>
    </row>
    <row r="634" spans="9:10" x14ac:dyDescent="0.25">
      <c r="I634" s="11"/>
      <c r="J634" s="9"/>
    </row>
    <row r="635" spans="9:10" x14ac:dyDescent="0.25">
      <c r="I635" s="11"/>
      <c r="J635" s="9"/>
    </row>
    <row r="636" spans="9:10" x14ac:dyDescent="0.25">
      <c r="I636" s="11"/>
      <c r="J636" s="9"/>
    </row>
    <row r="637" spans="9:10" x14ac:dyDescent="0.25">
      <c r="I637" s="11"/>
      <c r="J637" s="9"/>
    </row>
    <row r="638" spans="9:10" x14ac:dyDescent="0.25">
      <c r="I638" s="11"/>
      <c r="J638" s="9"/>
    </row>
    <row r="639" spans="9:10" x14ac:dyDescent="0.25">
      <c r="I639" s="11"/>
      <c r="J639" s="9"/>
    </row>
    <row r="640" spans="9:10" x14ac:dyDescent="0.25">
      <c r="I640" s="11"/>
      <c r="J640" s="9"/>
    </row>
    <row r="641" spans="9:10" x14ac:dyDescent="0.25">
      <c r="I641" s="11"/>
      <c r="J641" s="9"/>
    </row>
    <row r="642" spans="9:10" x14ac:dyDescent="0.25">
      <c r="I642" s="11"/>
      <c r="J642" s="9"/>
    </row>
    <row r="643" spans="9:10" x14ac:dyDescent="0.25">
      <c r="I643" s="11"/>
      <c r="J643" s="9"/>
    </row>
    <row r="644" spans="9:10" x14ac:dyDescent="0.25">
      <c r="I644" s="11"/>
      <c r="J644" s="9"/>
    </row>
    <row r="645" spans="9:10" x14ac:dyDescent="0.25">
      <c r="I645" s="11"/>
      <c r="J645" s="9"/>
    </row>
    <row r="646" spans="9:10" x14ac:dyDescent="0.25">
      <c r="I646" s="11"/>
      <c r="J646" s="9"/>
    </row>
    <row r="647" spans="9:10" x14ac:dyDescent="0.25">
      <c r="I647" s="11"/>
      <c r="J647" s="9"/>
    </row>
    <row r="648" spans="9:10" x14ac:dyDescent="0.25">
      <c r="I648" s="11"/>
      <c r="J648" s="9"/>
    </row>
    <row r="649" spans="9:10" x14ac:dyDescent="0.25">
      <c r="I649" s="11"/>
      <c r="J649" s="9"/>
    </row>
    <row r="650" spans="9:10" x14ac:dyDescent="0.25">
      <c r="I650" s="11"/>
      <c r="J650" s="9"/>
    </row>
    <row r="651" spans="9:10" x14ac:dyDescent="0.25">
      <c r="I651" s="11"/>
      <c r="J651" s="9"/>
    </row>
    <row r="652" spans="9:10" x14ac:dyDescent="0.25">
      <c r="I652" s="11"/>
      <c r="J652" s="9"/>
    </row>
    <row r="653" spans="9:10" x14ac:dyDescent="0.25">
      <c r="I653" s="11"/>
      <c r="J653" s="9"/>
    </row>
    <row r="654" spans="9:10" x14ac:dyDescent="0.25">
      <c r="I654" s="11"/>
      <c r="J654" s="9"/>
    </row>
    <row r="655" spans="9:10" x14ac:dyDescent="0.25">
      <c r="I655" s="11"/>
      <c r="J655" s="9"/>
    </row>
    <row r="656" spans="9:10" x14ac:dyDescent="0.25">
      <c r="I656" s="11"/>
      <c r="J656" s="9"/>
    </row>
    <row r="657" spans="9:10" x14ac:dyDescent="0.25">
      <c r="I657" s="11"/>
      <c r="J657" s="9"/>
    </row>
    <row r="658" spans="9:10" x14ac:dyDescent="0.25">
      <c r="I658" s="11"/>
      <c r="J658" s="9"/>
    </row>
    <row r="659" spans="9:10" x14ac:dyDescent="0.25">
      <c r="I659" s="11"/>
      <c r="J659" s="9"/>
    </row>
    <row r="660" spans="9:10" x14ac:dyDescent="0.25">
      <c r="I660" s="11"/>
      <c r="J660" s="9"/>
    </row>
    <row r="661" spans="9:10" x14ac:dyDescent="0.25">
      <c r="I661" s="11"/>
      <c r="J661" s="9"/>
    </row>
    <row r="662" spans="9:10" x14ac:dyDescent="0.25">
      <c r="I662" s="11"/>
      <c r="J662" s="9"/>
    </row>
    <row r="663" spans="9:10" x14ac:dyDescent="0.25">
      <c r="I663" s="11"/>
      <c r="J663" s="9"/>
    </row>
    <row r="664" spans="9:10" x14ac:dyDescent="0.25">
      <c r="I664" s="11"/>
      <c r="J664" s="9"/>
    </row>
    <row r="665" spans="9:10" x14ac:dyDescent="0.25">
      <c r="I665" s="11"/>
      <c r="J665" s="9"/>
    </row>
    <row r="666" spans="9:10" x14ac:dyDescent="0.25">
      <c r="I666" s="11"/>
      <c r="J666" s="9"/>
    </row>
    <row r="667" spans="9:10" x14ac:dyDescent="0.25">
      <c r="I667" s="11"/>
      <c r="J667" s="9"/>
    </row>
    <row r="668" spans="9:10" x14ac:dyDescent="0.25">
      <c r="I668" s="11"/>
      <c r="J668" s="9"/>
    </row>
    <row r="669" spans="9:10" x14ac:dyDescent="0.25">
      <c r="I669" s="11"/>
      <c r="J669" s="9"/>
    </row>
    <row r="670" spans="9:10" x14ac:dyDescent="0.25">
      <c r="I670" s="11"/>
      <c r="J670" s="9"/>
    </row>
    <row r="671" spans="9:10" x14ac:dyDescent="0.25">
      <c r="I671" s="11"/>
      <c r="J671" s="9"/>
    </row>
    <row r="672" spans="9:10" x14ac:dyDescent="0.25">
      <c r="I672" s="11"/>
      <c r="J672" s="9"/>
    </row>
    <row r="673" spans="9:10" x14ac:dyDescent="0.25">
      <c r="I673" s="11"/>
      <c r="J673" s="9"/>
    </row>
    <row r="674" spans="9:10" x14ac:dyDescent="0.25">
      <c r="I674" s="11"/>
      <c r="J674" s="9"/>
    </row>
    <row r="675" spans="9:10" x14ac:dyDescent="0.25">
      <c r="I675" s="11"/>
      <c r="J675" s="9"/>
    </row>
    <row r="676" spans="9:10" x14ac:dyDescent="0.25">
      <c r="I676" s="11"/>
      <c r="J676" s="9"/>
    </row>
    <row r="677" spans="9:10" x14ac:dyDescent="0.25">
      <c r="I677" s="11"/>
      <c r="J677" s="9"/>
    </row>
    <row r="678" spans="9:10" x14ac:dyDescent="0.25">
      <c r="I678" s="11"/>
      <c r="J678" s="9"/>
    </row>
    <row r="679" spans="9:10" x14ac:dyDescent="0.25">
      <c r="I679" s="11"/>
      <c r="J679" s="9"/>
    </row>
    <row r="680" spans="9:10" x14ac:dyDescent="0.25">
      <c r="I680" s="11"/>
      <c r="J680" s="9"/>
    </row>
    <row r="681" spans="9:10" x14ac:dyDescent="0.25">
      <c r="I681" s="11"/>
      <c r="J681" s="9"/>
    </row>
    <row r="682" spans="9:10" x14ac:dyDescent="0.25">
      <c r="I682" s="11"/>
      <c r="J682" s="9"/>
    </row>
    <row r="683" spans="9:10" x14ac:dyDescent="0.25">
      <c r="I683" s="11"/>
      <c r="J683" s="9"/>
    </row>
    <row r="684" spans="9:10" x14ac:dyDescent="0.25">
      <c r="I684" s="11"/>
      <c r="J684" s="9"/>
    </row>
    <row r="685" spans="9:10" x14ac:dyDescent="0.25">
      <c r="I685" s="11"/>
      <c r="J685" s="9"/>
    </row>
    <row r="686" spans="9:10" x14ac:dyDescent="0.25">
      <c r="I686" s="11"/>
      <c r="J686" s="9"/>
    </row>
    <row r="687" spans="9:10" x14ac:dyDescent="0.25">
      <c r="I687" s="11"/>
      <c r="J687" s="9"/>
    </row>
    <row r="688" spans="9:10" x14ac:dyDescent="0.25">
      <c r="I688" s="11"/>
      <c r="J688" s="9"/>
    </row>
    <row r="689" spans="9:10" x14ac:dyDescent="0.25">
      <c r="I689" s="11"/>
      <c r="J689" s="9"/>
    </row>
    <row r="690" spans="9:10" x14ac:dyDescent="0.25">
      <c r="I690" s="11"/>
      <c r="J690" s="9"/>
    </row>
    <row r="691" spans="9:10" x14ac:dyDescent="0.25">
      <c r="I691" s="11"/>
      <c r="J691" s="9"/>
    </row>
    <row r="692" spans="9:10" x14ac:dyDescent="0.25">
      <c r="I692" s="11"/>
      <c r="J692" s="9"/>
    </row>
    <row r="693" spans="9:10" x14ac:dyDescent="0.25">
      <c r="I693" s="11"/>
      <c r="J693" s="9"/>
    </row>
    <row r="694" spans="9:10" x14ac:dyDescent="0.25">
      <c r="I694" s="11"/>
      <c r="J694" s="9"/>
    </row>
    <row r="695" spans="9:10" x14ac:dyDescent="0.25">
      <c r="I695" s="11"/>
      <c r="J695" s="9"/>
    </row>
    <row r="696" spans="9:10" x14ac:dyDescent="0.25">
      <c r="I696" s="11"/>
      <c r="J696" s="9"/>
    </row>
    <row r="697" spans="9:10" x14ac:dyDescent="0.25">
      <c r="I697" s="11"/>
      <c r="J697" s="9"/>
    </row>
    <row r="698" spans="9:10" x14ac:dyDescent="0.25">
      <c r="I698" s="11"/>
      <c r="J698" s="9"/>
    </row>
    <row r="699" spans="9:10" x14ac:dyDescent="0.25">
      <c r="I699" s="11"/>
      <c r="J699" s="9"/>
    </row>
    <row r="700" spans="9:10" x14ac:dyDescent="0.25">
      <c r="I700" s="11"/>
      <c r="J700" s="9"/>
    </row>
    <row r="701" spans="9:10" x14ac:dyDescent="0.25">
      <c r="I701" s="11"/>
      <c r="J701" s="9"/>
    </row>
    <row r="702" spans="9:10" x14ac:dyDescent="0.25">
      <c r="I702" s="11"/>
      <c r="J702" s="9"/>
    </row>
    <row r="703" spans="9:10" x14ac:dyDescent="0.25">
      <c r="I703" s="11"/>
      <c r="J703" s="9"/>
    </row>
    <row r="704" spans="9:10" x14ac:dyDescent="0.25">
      <c r="I704" s="11"/>
      <c r="J704" s="9"/>
    </row>
    <row r="705" spans="9:10" x14ac:dyDescent="0.25">
      <c r="I705" s="11"/>
      <c r="J705" s="9"/>
    </row>
    <row r="706" spans="9:10" x14ac:dyDescent="0.25">
      <c r="I706" s="11"/>
      <c r="J706" s="9"/>
    </row>
    <row r="707" spans="9:10" x14ac:dyDescent="0.25">
      <c r="I707" s="11"/>
      <c r="J707" s="9"/>
    </row>
    <row r="708" spans="9:10" x14ac:dyDescent="0.25">
      <c r="I708" s="11"/>
      <c r="J708" s="9"/>
    </row>
    <row r="709" spans="9:10" x14ac:dyDescent="0.25">
      <c r="I709" s="11"/>
      <c r="J709" s="9"/>
    </row>
    <row r="710" spans="9:10" x14ac:dyDescent="0.25">
      <c r="I710" s="11"/>
      <c r="J710" s="9"/>
    </row>
    <row r="711" spans="9:10" x14ac:dyDescent="0.25">
      <c r="I711" s="11"/>
      <c r="J711" s="9"/>
    </row>
    <row r="712" spans="9:10" x14ac:dyDescent="0.25">
      <c r="I712" s="11"/>
      <c r="J712" s="9"/>
    </row>
    <row r="713" spans="9:10" x14ac:dyDescent="0.25">
      <c r="I713" s="11"/>
      <c r="J713" s="9"/>
    </row>
    <row r="714" spans="9:10" x14ac:dyDescent="0.25">
      <c r="I714" s="11"/>
      <c r="J714" s="9"/>
    </row>
    <row r="715" spans="9:10" x14ac:dyDescent="0.25">
      <c r="I715" s="11"/>
      <c r="J715" s="9"/>
    </row>
    <row r="716" spans="9:10" x14ac:dyDescent="0.25">
      <c r="I716" s="11"/>
      <c r="J716" s="9"/>
    </row>
    <row r="717" spans="9:10" x14ac:dyDescent="0.25">
      <c r="I717" s="11"/>
      <c r="J717" s="9"/>
    </row>
    <row r="718" spans="9:10" x14ac:dyDescent="0.25">
      <c r="I718" s="11"/>
      <c r="J718" s="9"/>
    </row>
    <row r="719" spans="9:10" x14ac:dyDescent="0.25">
      <c r="I719" s="11"/>
      <c r="J719" s="9"/>
    </row>
    <row r="720" spans="9:10" x14ac:dyDescent="0.25">
      <c r="I720" s="11"/>
      <c r="J720" s="9"/>
    </row>
    <row r="721" spans="9:10" x14ac:dyDescent="0.25">
      <c r="I721" s="11"/>
      <c r="J721" s="9"/>
    </row>
    <row r="722" spans="9:10" x14ac:dyDescent="0.25">
      <c r="I722" s="11"/>
      <c r="J722" s="9"/>
    </row>
    <row r="723" spans="9:10" x14ac:dyDescent="0.25">
      <c r="I723" s="11"/>
      <c r="J723" s="9"/>
    </row>
    <row r="724" spans="9:10" x14ac:dyDescent="0.25">
      <c r="I724" s="11"/>
      <c r="J724" s="9"/>
    </row>
    <row r="725" spans="9:10" x14ac:dyDescent="0.25">
      <c r="I725" s="11"/>
      <c r="J725" s="9"/>
    </row>
    <row r="726" spans="9:10" x14ac:dyDescent="0.25">
      <c r="I726" s="11"/>
      <c r="J726" s="9"/>
    </row>
    <row r="727" spans="9:10" x14ac:dyDescent="0.25">
      <c r="I727" s="11"/>
      <c r="J727" s="9"/>
    </row>
    <row r="728" spans="9:10" x14ac:dyDescent="0.25">
      <c r="I728" s="11"/>
      <c r="J728" s="9"/>
    </row>
    <row r="729" spans="9:10" x14ac:dyDescent="0.25">
      <c r="I729" s="11"/>
      <c r="J729" s="9"/>
    </row>
    <row r="730" spans="9:10" x14ac:dyDescent="0.25">
      <c r="I730" s="11"/>
      <c r="J730" s="9"/>
    </row>
    <row r="731" spans="9:10" x14ac:dyDescent="0.25">
      <c r="I731" s="11"/>
      <c r="J731" s="9"/>
    </row>
    <row r="732" spans="9:10" x14ac:dyDescent="0.25">
      <c r="I732" s="11"/>
      <c r="J732" s="9"/>
    </row>
    <row r="733" spans="9:10" x14ac:dyDescent="0.25">
      <c r="I733" s="11"/>
      <c r="J733" s="9"/>
    </row>
    <row r="734" spans="9:10" x14ac:dyDescent="0.25">
      <c r="I734" s="11"/>
      <c r="J734" s="9"/>
    </row>
    <row r="735" spans="9:10" x14ac:dyDescent="0.25">
      <c r="I735" s="11"/>
      <c r="J735" s="9"/>
    </row>
    <row r="736" spans="9:10" x14ac:dyDescent="0.25">
      <c r="I736" s="11"/>
      <c r="J736" s="9"/>
    </row>
    <row r="737" spans="9:10" x14ac:dyDescent="0.25">
      <c r="I737" s="11"/>
      <c r="J737" s="9"/>
    </row>
    <row r="738" spans="9:10" x14ac:dyDescent="0.25">
      <c r="I738" s="11"/>
      <c r="J738" s="9"/>
    </row>
    <row r="739" spans="9:10" x14ac:dyDescent="0.25">
      <c r="I739" s="11"/>
      <c r="J739" s="9"/>
    </row>
    <row r="740" spans="9:10" x14ac:dyDescent="0.25">
      <c r="I740" s="11"/>
      <c r="J740" s="9"/>
    </row>
    <row r="741" spans="9:10" x14ac:dyDescent="0.25">
      <c r="I741" s="11"/>
      <c r="J741" s="9"/>
    </row>
    <row r="742" spans="9:10" x14ac:dyDescent="0.25">
      <c r="I742" s="11"/>
      <c r="J742" s="9"/>
    </row>
    <row r="743" spans="9:10" x14ac:dyDescent="0.25">
      <c r="I743" s="11"/>
      <c r="J743" s="9"/>
    </row>
    <row r="744" spans="9:10" x14ac:dyDescent="0.25">
      <c r="I744" s="11"/>
      <c r="J744" s="9"/>
    </row>
    <row r="745" spans="9:10" x14ac:dyDescent="0.25">
      <c r="I745" s="11"/>
      <c r="J745" s="9"/>
    </row>
    <row r="746" spans="9:10" x14ac:dyDescent="0.25">
      <c r="I746" s="11"/>
      <c r="J746" s="9"/>
    </row>
    <row r="747" spans="9:10" x14ac:dyDescent="0.25">
      <c r="I747" s="11"/>
      <c r="J747" s="9"/>
    </row>
    <row r="748" spans="9:10" x14ac:dyDescent="0.25">
      <c r="I748" s="11"/>
      <c r="J748" s="9"/>
    </row>
    <row r="749" spans="9:10" x14ac:dyDescent="0.25">
      <c r="I749" s="11"/>
      <c r="J749" s="9"/>
    </row>
    <row r="750" spans="9:10" x14ac:dyDescent="0.25">
      <c r="I750" s="11"/>
      <c r="J750" s="9"/>
    </row>
    <row r="751" spans="9:10" x14ac:dyDescent="0.25">
      <c r="I751" s="11"/>
      <c r="J751" s="9"/>
    </row>
    <row r="752" spans="9:10" x14ac:dyDescent="0.25">
      <c r="I752" s="11"/>
      <c r="J752" s="9"/>
    </row>
    <row r="753" spans="9:10" x14ac:dyDescent="0.25">
      <c r="I753" s="11"/>
      <c r="J753" s="9"/>
    </row>
    <row r="754" spans="9:10" x14ac:dyDescent="0.25">
      <c r="I754" s="11"/>
      <c r="J754" s="9"/>
    </row>
    <row r="755" spans="9:10" x14ac:dyDescent="0.25">
      <c r="I755" s="11"/>
      <c r="J755" s="9"/>
    </row>
    <row r="756" spans="9:10" x14ac:dyDescent="0.25">
      <c r="I756" s="11"/>
      <c r="J756" s="9"/>
    </row>
    <row r="757" spans="9:10" x14ac:dyDescent="0.25">
      <c r="I757" s="11"/>
      <c r="J757" s="9"/>
    </row>
    <row r="758" spans="9:10" x14ac:dyDescent="0.25">
      <c r="I758" s="11"/>
      <c r="J758" s="9"/>
    </row>
    <row r="759" spans="9:10" x14ac:dyDescent="0.25">
      <c r="I759" s="11"/>
      <c r="J759" s="9"/>
    </row>
    <row r="760" spans="9:10" x14ac:dyDescent="0.25">
      <c r="I760" s="11"/>
      <c r="J760" s="9"/>
    </row>
    <row r="761" spans="9:10" x14ac:dyDescent="0.25">
      <c r="I761" s="11"/>
      <c r="J761" s="9"/>
    </row>
    <row r="762" spans="9:10" x14ac:dyDescent="0.25">
      <c r="I762" s="11"/>
      <c r="J762" s="9"/>
    </row>
    <row r="763" spans="9:10" x14ac:dyDescent="0.25">
      <c r="I763" s="11"/>
      <c r="J763" s="9"/>
    </row>
    <row r="764" spans="9:10" x14ac:dyDescent="0.25">
      <c r="I764" s="11"/>
      <c r="J764" s="9"/>
    </row>
    <row r="765" spans="9:10" x14ac:dyDescent="0.25">
      <c r="I765" s="11"/>
      <c r="J765" s="9"/>
    </row>
    <row r="766" spans="9:10" x14ac:dyDescent="0.25">
      <c r="I766" s="11"/>
      <c r="J766" s="9"/>
    </row>
    <row r="767" spans="9:10" x14ac:dyDescent="0.25">
      <c r="I767" s="11"/>
      <c r="J767" s="9"/>
    </row>
    <row r="768" spans="9:10" x14ac:dyDescent="0.25">
      <c r="I768" s="11"/>
      <c r="J768" s="9"/>
    </row>
    <row r="769" spans="9:10" x14ac:dyDescent="0.25">
      <c r="I769" s="11"/>
      <c r="J769" s="9"/>
    </row>
    <row r="770" spans="9:10" x14ac:dyDescent="0.25">
      <c r="I770" s="11"/>
      <c r="J770" s="9"/>
    </row>
    <row r="771" spans="9:10" x14ac:dyDescent="0.25">
      <c r="I771" s="11"/>
      <c r="J771" s="9"/>
    </row>
    <row r="772" spans="9:10" x14ac:dyDescent="0.25">
      <c r="I772" s="11"/>
      <c r="J772" s="9"/>
    </row>
    <row r="773" spans="9:10" x14ac:dyDescent="0.25">
      <c r="I773" s="11"/>
      <c r="J773" s="9"/>
    </row>
    <row r="774" spans="9:10" x14ac:dyDescent="0.25">
      <c r="I774" s="11"/>
      <c r="J774" s="9"/>
    </row>
    <row r="775" spans="9:10" x14ac:dyDescent="0.25">
      <c r="I775" s="11"/>
      <c r="J775" s="9"/>
    </row>
    <row r="776" spans="9:10" x14ac:dyDescent="0.25">
      <c r="I776" s="11"/>
      <c r="J776" s="9"/>
    </row>
    <row r="777" spans="9:10" x14ac:dyDescent="0.25">
      <c r="I777" s="11"/>
      <c r="J777" s="9"/>
    </row>
    <row r="778" spans="9:10" x14ac:dyDescent="0.25">
      <c r="I778" s="11"/>
      <c r="J778" s="9"/>
    </row>
    <row r="779" spans="9:10" x14ac:dyDescent="0.25">
      <c r="I779" s="11"/>
      <c r="J779" s="9"/>
    </row>
    <row r="780" spans="9:10" x14ac:dyDescent="0.25">
      <c r="I780" s="11"/>
      <c r="J780" s="9"/>
    </row>
    <row r="781" spans="9:10" x14ac:dyDescent="0.25">
      <c r="I781" s="11"/>
      <c r="J781" s="9"/>
    </row>
    <row r="782" spans="9:10" x14ac:dyDescent="0.25">
      <c r="I782" s="11"/>
      <c r="J782" s="9"/>
    </row>
    <row r="783" spans="9:10" x14ac:dyDescent="0.25">
      <c r="I783" s="11"/>
      <c r="J783" s="9"/>
    </row>
    <row r="784" spans="9:10" x14ac:dyDescent="0.25">
      <c r="I784" s="11"/>
      <c r="J784" s="9"/>
    </row>
    <row r="785" spans="9:10" x14ac:dyDescent="0.25">
      <c r="I785" s="11"/>
      <c r="J785" s="9"/>
    </row>
    <row r="786" spans="9:10" x14ac:dyDescent="0.25">
      <c r="I786" s="11"/>
      <c r="J786" s="9"/>
    </row>
    <row r="787" spans="9:10" x14ac:dyDescent="0.25">
      <c r="I787" s="11"/>
      <c r="J787" s="9"/>
    </row>
    <row r="788" spans="9:10" x14ac:dyDescent="0.25">
      <c r="I788" s="11"/>
      <c r="J788" s="9"/>
    </row>
    <row r="789" spans="9:10" x14ac:dyDescent="0.25">
      <c r="I789" s="11"/>
      <c r="J789" s="9"/>
    </row>
    <row r="790" spans="9:10" x14ac:dyDescent="0.25">
      <c r="I790" s="11"/>
      <c r="J790" s="9"/>
    </row>
    <row r="791" spans="9:10" x14ac:dyDescent="0.25">
      <c r="I791" s="11"/>
      <c r="J791" s="9"/>
    </row>
    <row r="792" spans="9:10" x14ac:dyDescent="0.25">
      <c r="I792" s="11"/>
      <c r="J792" s="9"/>
    </row>
    <row r="793" spans="9:10" x14ac:dyDescent="0.25">
      <c r="I793" s="11"/>
      <c r="J793" s="9"/>
    </row>
    <row r="794" spans="9:10" x14ac:dyDescent="0.25">
      <c r="I794" s="11"/>
      <c r="J794" s="9"/>
    </row>
    <row r="795" spans="9:10" x14ac:dyDescent="0.25">
      <c r="I795" s="11"/>
      <c r="J795" s="9"/>
    </row>
    <row r="796" spans="9:10" x14ac:dyDescent="0.25">
      <c r="I796" s="11"/>
      <c r="J796" s="9"/>
    </row>
    <row r="797" spans="9:10" x14ac:dyDescent="0.25">
      <c r="I797" s="11"/>
      <c r="J797" s="9"/>
    </row>
    <row r="798" spans="9:10" x14ac:dyDescent="0.25">
      <c r="I798" s="11"/>
      <c r="J798" s="9"/>
    </row>
    <row r="799" spans="9:10" x14ac:dyDescent="0.25">
      <c r="I799" s="11"/>
      <c r="J799" s="9"/>
    </row>
    <row r="800" spans="9:10" x14ac:dyDescent="0.25">
      <c r="I800" s="11"/>
      <c r="J800" s="9"/>
    </row>
    <row r="801" spans="9:10" x14ac:dyDescent="0.25">
      <c r="I801" s="11"/>
      <c r="J801" s="9"/>
    </row>
    <row r="802" spans="9:10" x14ac:dyDescent="0.25">
      <c r="I802" s="11"/>
      <c r="J802" s="9"/>
    </row>
    <row r="803" spans="9:10" x14ac:dyDescent="0.25">
      <c r="I803" s="11"/>
      <c r="J803" s="9"/>
    </row>
    <row r="804" spans="9:10" x14ac:dyDescent="0.25">
      <c r="I804" s="11"/>
      <c r="J804" s="9"/>
    </row>
    <row r="805" spans="9:10" x14ac:dyDescent="0.25">
      <c r="I805" s="11"/>
      <c r="J805" s="9"/>
    </row>
    <row r="806" spans="9:10" x14ac:dyDescent="0.25">
      <c r="I806" s="11"/>
      <c r="J806" s="9"/>
    </row>
    <row r="807" spans="9:10" x14ac:dyDescent="0.25">
      <c r="I807" s="11"/>
      <c r="J807" s="9"/>
    </row>
    <row r="808" spans="9:10" x14ac:dyDescent="0.25">
      <c r="I808" s="11"/>
      <c r="J808" s="9"/>
    </row>
    <row r="809" spans="9:10" x14ac:dyDescent="0.25">
      <c r="I809" s="11"/>
      <c r="J809" s="9"/>
    </row>
    <row r="810" spans="9:10" x14ac:dyDescent="0.25">
      <c r="I810" s="11"/>
      <c r="J810" s="9"/>
    </row>
    <row r="811" spans="9:10" x14ac:dyDescent="0.25">
      <c r="I811" s="11"/>
      <c r="J811" s="9"/>
    </row>
    <row r="812" spans="9:10" x14ac:dyDescent="0.25">
      <c r="I812" s="11"/>
      <c r="J812" s="9"/>
    </row>
    <row r="813" spans="9:10" x14ac:dyDescent="0.25">
      <c r="I813" s="11"/>
      <c r="J813" s="9"/>
    </row>
    <row r="814" spans="9:10" x14ac:dyDescent="0.25">
      <c r="I814" s="11"/>
      <c r="J814" s="9"/>
    </row>
    <row r="815" spans="9:10" x14ac:dyDescent="0.25">
      <c r="I815" s="11"/>
      <c r="J815" s="9"/>
    </row>
    <row r="816" spans="9:10" x14ac:dyDescent="0.25">
      <c r="I816" s="11"/>
      <c r="J816" s="9"/>
    </row>
    <row r="817" spans="9:10" x14ac:dyDescent="0.25">
      <c r="I817" s="11"/>
      <c r="J817" s="9"/>
    </row>
    <row r="818" spans="9:10" x14ac:dyDescent="0.25">
      <c r="I818" s="11"/>
      <c r="J818" s="9"/>
    </row>
    <row r="819" spans="9:10" x14ac:dyDescent="0.25">
      <c r="I819" s="11"/>
      <c r="J819" s="9"/>
    </row>
    <row r="820" spans="9:10" x14ac:dyDescent="0.25">
      <c r="I820" s="11"/>
      <c r="J820" s="9"/>
    </row>
    <row r="821" spans="9:10" x14ac:dyDescent="0.25">
      <c r="I821" s="11"/>
      <c r="J821" s="9"/>
    </row>
    <row r="822" spans="9:10" x14ac:dyDescent="0.25">
      <c r="I822" s="11"/>
      <c r="J822" s="9"/>
    </row>
    <row r="823" spans="9:10" x14ac:dyDescent="0.25">
      <c r="I823" s="11"/>
      <c r="J823" s="9"/>
    </row>
    <row r="824" spans="9:10" x14ac:dyDescent="0.25">
      <c r="I824" s="11"/>
      <c r="J824" s="9"/>
    </row>
    <row r="825" spans="9:10" x14ac:dyDescent="0.25">
      <c r="I825" s="11"/>
      <c r="J825" s="9"/>
    </row>
    <row r="826" spans="9:10" x14ac:dyDescent="0.25">
      <c r="I826" s="11"/>
      <c r="J826" s="9"/>
    </row>
    <row r="827" spans="9:10" x14ac:dyDescent="0.25">
      <c r="I827" s="11"/>
      <c r="J827" s="9"/>
    </row>
    <row r="828" spans="9:10" x14ac:dyDescent="0.25">
      <c r="I828" s="11"/>
      <c r="J828" s="9"/>
    </row>
    <row r="829" spans="9:10" x14ac:dyDescent="0.25">
      <c r="I829" s="11"/>
      <c r="J829" s="9"/>
    </row>
    <row r="830" spans="9:10" x14ac:dyDescent="0.25">
      <c r="I830" s="11"/>
      <c r="J830" s="9"/>
    </row>
    <row r="831" spans="9:10" x14ac:dyDescent="0.25">
      <c r="I831" s="11"/>
      <c r="J831" s="9"/>
    </row>
    <row r="832" spans="9:10" x14ac:dyDescent="0.25">
      <c r="I832" s="11"/>
      <c r="J832" s="9"/>
    </row>
    <row r="833" spans="9:10" x14ac:dyDescent="0.25">
      <c r="I833" s="11"/>
      <c r="J833" s="9"/>
    </row>
    <row r="834" spans="9:10" x14ac:dyDescent="0.25">
      <c r="I834" s="11"/>
      <c r="J834" s="9"/>
    </row>
    <row r="835" spans="9:10" x14ac:dyDescent="0.25">
      <c r="I835" s="11"/>
      <c r="J835" s="9"/>
    </row>
    <row r="836" spans="9:10" x14ac:dyDescent="0.25">
      <c r="I836" s="11"/>
      <c r="J836" s="9"/>
    </row>
    <row r="837" spans="9:10" x14ac:dyDescent="0.25">
      <c r="I837" s="11"/>
      <c r="J837" s="9"/>
    </row>
    <row r="838" spans="9:10" x14ac:dyDescent="0.25">
      <c r="I838" s="11"/>
      <c r="J838" s="9"/>
    </row>
    <row r="839" spans="9:10" x14ac:dyDescent="0.25">
      <c r="I839" s="11"/>
      <c r="J839" s="9"/>
    </row>
    <row r="840" spans="9:10" x14ac:dyDescent="0.25">
      <c r="I840" s="11"/>
      <c r="J840" s="9"/>
    </row>
    <row r="841" spans="9:10" x14ac:dyDescent="0.25">
      <c r="I841" s="11"/>
      <c r="J841" s="9"/>
    </row>
    <row r="842" spans="9:10" x14ac:dyDescent="0.25">
      <c r="I842" s="11"/>
      <c r="J842" s="9"/>
    </row>
    <row r="843" spans="9:10" x14ac:dyDescent="0.25">
      <c r="I843" s="11"/>
      <c r="J843" s="9"/>
    </row>
    <row r="844" spans="9:10" x14ac:dyDescent="0.25">
      <c r="I844" s="11"/>
      <c r="J844" s="9"/>
    </row>
    <row r="845" spans="9:10" x14ac:dyDescent="0.25">
      <c r="I845" s="11"/>
      <c r="J845" s="9"/>
    </row>
    <row r="846" spans="9:10" x14ac:dyDescent="0.25">
      <c r="I846" s="11"/>
      <c r="J846" s="9"/>
    </row>
    <row r="847" spans="9:10" x14ac:dyDescent="0.25">
      <c r="I847" s="11"/>
      <c r="J847" s="9"/>
    </row>
    <row r="848" spans="9:10" x14ac:dyDescent="0.25">
      <c r="I848" s="11"/>
      <c r="J848" s="9"/>
    </row>
    <row r="849" spans="9:10" x14ac:dyDescent="0.25">
      <c r="I849" s="11"/>
      <c r="J849" s="9"/>
    </row>
    <row r="850" spans="9:10" x14ac:dyDescent="0.25">
      <c r="I850" s="11"/>
      <c r="J850" s="9"/>
    </row>
    <row r="851" spans="9:10" x14ac:dyDescent="0.25">
      <c r="I851" s="11"/>
      <c r="J851" s="9"/>
    </row>
    <row r="852" spans="9:10" x14ac:dyDescent="0.25">
      <c r="I852" s="11"/>
      <c r="J852" s="9"/>
    </row>
    <row r="853" spans="9:10" x14ac:dyDescent="0.25">
      <c r="I853" s="11"/>
      <c r="J853" s="9"/>
    </row>
    <row r="854" spans="9:10" x14ac:dyDescent="0.25">
      <c r="I854" s="11"/>
      <c r="J854" s="9"/>
    </row>
    <row r="855" spans="9:10" x14ac:dyDescent="0.25">
      <c r="I855" s="11"/>
      <c r="J855" s="9"/>
    </row>
    <row r="856" spans="9:10" x14ac:dyDescent="0.25">
      <c r="I856" s="11"/>
      <c r="J856" s="9"/>
    </row>
    <row r="857" spans="9:10" x14ac:dyDescent="0.25">
      <c r="I857" s="11"/>
      <c r="J857" s="9"/>
    </row>
    <row r="858" spans="9:10" x14ac:dyDescent="0.25">
      <c r="I858" s="11"/>
      <c r="J858" s="9"/>
    </row>
    <row r="859" spans="9:10" x14ac:dyDescent="0.25">
      <c r="I859" s="11"/>
      <c r="J859" s="9"/>
    </row>
    <row r="860" spans="9:10" x14ac:dyDescent="0.25">
      <c r="I860" s="11"/>
      <c r="J860" s="9"/>
    </row>
    <row r="861" spans="9:10" x14ac:dyDescent="0.25">
      <c r="I861" s="11"/>
      <c r="J861" s="9"/>
    </row>
    <row r="862" spans="9:10" x14ac:dyDescent="0.25">
      <c r="I862" s="11"/>
      <c r="J862" s="9"/>
    </row>
    <row r="863" spans="9:10" x14ac:dyDescent="0.25">
      <c r="I863" s="11"/>
      <c r="J863" s="9"/>
    </row>
    <row r="864" spans="9:10" x14ac:dyDescent="0.25">
      <c r="I864" s="11"/>
      <c r="J864" s="9"/>
    </row>
    <row r="865" spans="9:10" x14ac:dyDescent="0.25">
      <c r="I865" s="11"/>
      <c r="J865" s="9"/>
    </row>
    <row r="866" spans="9:10" x14ac:dyDescent="0.25">
      <c r="I866" s="11"/>
      <c r="J866" s="9"/>
    </row>
    <row r="867" spans="9:10" x14ac:dyDescent="0.25">
      <c r="I867" s="11"/>
      <c r="J867" s="9"/>
    </row>
    <row r="868" spans="9:10" x14ac:dyDescent="0.25">
      <c r="I868" s="11"/>
      <c r="J868" s="9"/>
    </row>
    <row r="869" spans="9:10" x14ac:dyDescent="0.25">
      <c r="I869" s="11"/>
      <c r="J869" s="9"/>
    </row>
    <row r="870" spans="9:10" x14ac:dyDescent="0.25">
      <c r="I870" s="11"/>
      <c r="J870" s="9"/>
    </row>
    <row r="871" spans="9:10" x14ac:dyDescent="0.25">
      <c r="I871" s="11"/>
      <c r="J871" s="9"/>
    </row>
    <row r="872" spans="9:10" x14ac:dyDescent="0.25">
      <c r="I872" s="11"/>
      <c r="J872" s="9"/>
    </row>
    <row r="873" spans="9:10" x14ac:dyDescent="0.25">
      <c r="I873" s="11"/>
      <c r="J873" s="9"/>
    </row>
    <row r="874" spans="9:10" x14ac:dyDescent="0.25">
      <c r="I874" s="11"/>
      <c r="J874" s="9"/>
    </row>
    <row r="875" spans="9:10" x14ac:dyDescent="0.25">
      <c r="I875" s="11"/>
      <c r="J875" s="9"/>
    </row>
    <row r="876" spans="9:10" x14ac:dyDescent="0.25">
      <c r="I876" s="11"/>
      <c r="J876" s="9"/>
    </row>
    <row r="877" spans="9:10" x14ac:dyDescent="0.25">
      <c r="I877" s="11"/>
      <c r="J877" s="9"/>
    </row>
    <row r="878" spans="9:10" x14ac:dyDescent="0.25">
      <c r="I878" s="11"/>
      <c r="J878" s="9"/>
    </row>
    <row r="879" spans="9:10" x14ac:dyDescent="0.25">
      <c r="I879" s="11"/>
      <c r="J879" s="9"/>
    </row>
    <row r="880" spans="9:10" x14ac:dyDescent="0.25">
      <c r="I880" s="11"/>
      <c r="J880" s="9"/>
    </row>
    <row r="881" spans="9:10" x14ac:dyDescent="0.25">
      <c r="I881" s="11"/>
      <c r="J881" s="9"/>
    </row>
    <row r="882" spans="9:10" x14ac:dyDescent="0.25">
      <c r="I882" s="11"/>
      <c r="J882" s="9"/>
    </row>
    <row r="883" spans="9:10" x14ac:dyDescent="0.25">
      <c r="I883" s="11"/>
      <c r="J883" s="9"/>
    </row>
    <row r="884" spans="9:10" x14ac:dyDescent="0.25">
      <c r="I884" s="11"/>
      <c r="J884" s="9"/>
    </row>
    <row r="885" spans="9:10" x14ac:dyDescent="0.25">
      <c r="I885" s="11"/>
      <c r="J885" s="9"/>
    </row>
    <row r="886" spans="9:10" x14ac:dyDescent="0.25">
      <c r="I886" s="11"/>
      <c r="J886" s="9"/>
    </row>
    <row r="887" spans="9:10" x14ac:dyDescent="0.25">
      <c r="I887" s="11"/>
      <c r="J887" s="9"/>
    </row>
    <row r="888" spans="9:10" x14ac:dyDescent="0.25">
      <c r="I888" s="11"/>
      <c r="J888" s="9"/>
    </row>
    <row r="889" spans="9:10" x14ac:dyDescent="0.25">
      <c r="I889" s="11"/>
      <c r="J889" s="9"/>
    </row>
    <row r="890" spans="9:10" x14ac:dyDescent="0.25">
      <c r="I890" s="11"/>
      <c r="J890" s="9"/>
    </row>
    <row r="891" spans="9:10" x14ac:dyDescent="0.25">
      <c r="I891" s="11"/>
      <c r="J891" s="9"/>
    </row>
    <row r="892" spans="9:10" x14ac:dyDescent="0.25">
      <c r="I892" s="11"/>
      <c r="J892" s="9"/>
    </row>
    <row r="893" spans="9:10" x14ac:dyDescent="0.25">
      <c r="I893" s="11"/>
      <c r="J893" s="9"/>
    </row>
    <row r="894" spans="9:10" x14ac:dyDescent="0.25">
      <c r="I894" s="11"/>
      <c r="J894" s="9"/>
    </row>
    <row r="895" spans="9:10" x14ac:dyDescent="0.25">
      <c r="I895" s="11"/>
      <c r="J895" s="9"/>
    </row>
    <row r="896" spans="9:10" x14ac:dyDescent="0.25">
      <c r="I896" s="11"/>
      <c r="J896" s="9"/>
    </row>
    <row r="897" spans="9:10" x14ac:dyDescent="0.25">
      <c r="I897" s="11"/>
      <c r="J897" s="9"/>
    </row>
    <row r="898" spans="9:10" x14ac:dyDescent="0.25">
      <c r="I898" s="11"/>
      <c r="J898" s="9"/>
    </row>
    <row r="899" spans="9:10" x14ac:dyDescent="0.25">
      <c r="I899" s="11"/>
      <c r="J899" s="9"/>
    </row>
    <row r="900" spans="9:10" x14ac:dyDescent="0.25">
      <c r="I900" s="11"/>
      <c r="J900" s="9"/>
    </row>
    <row r="901" spans="9:10" x14ac:dyDescent="0.25">
      <c r="I901" s="11"/>
      <c r="J901" s="9"/>
    </row>
    <row r="902" spans="9:10" x14ac:dyDescent="0.25">
      <c r="I902" s="11"/>
      <c r="J902" s="9"/>
    </row>
    <row r="903" spans="9:10" x14ac:dyDescent="0.25">
      <c r="I903" s="11"/>
      <c r="J903" s="9"/>
    </row>
    <row r="904" spans="9:10" x14ac:dyDescent="0.25">
      <c r="I904" s="11"/>
      <c r="J904" s="9"/>
    </row>
    <row r="905" spans="9:10" x14ac:dyDescent="0.25">
      <c r="I905" s="11"/>
      <c r="J905" s="9"/>
    </row>
    <row r="906" spans="9:10" x14ac:dyDescent="0.25">
      <c r="I906" s="11"/>
      <c r="J906" s="9"/>
    </row>
    <row r="907" spans="9:10" x14ac:dyDescent="0.25">
      <c r="I907" s="11"/>
      <c r="J907" s="9"/>
    </row>
    <row r="908" spans="9:10" x14ac:dyDescent="0.25">
      <c r="I908" s="11"/>
      <c r="J908" s="9"/>
    </row>
    <row r="909" spans="9:10" x14ac:dyDescent="0.25">
      <c r="I909" s="11"/>
      <c r="J909" s="9"/>
    </row>
    <row r="910" spans="9:10" x14ac:dyDescent="0.25">
      <c r="I910" s="11"/>
      <c r="J910" s="9"/>
    </row>
    <row r="911" spans="9:10" x14ac:dyDescent="0.25">
      <c r="I911" s="11"/>
      <c r="J911" s="9"/>
    </row>
    <row r="912" spans="9:10" x14ac:dyDescent="0.25">
      <c r="I912" s="11"/>
      <c r="J912" s="9"/>
    </row>
    <row r="913" spans="9:10" x14ac:dyDescent="0.25">
      <c r="I913" s="11"/>
      <c r="J913" s="9"/>
    </row>
    <row r="914" spans="9:10" x14ac:dyDescent="0.25">
      <c r="I914" s="11"/>
      <c r="J914" s="9"/>
    </row>
    <row r="915" spans="9:10" x14ac:dyDescent="0.25">
      <c r="I915" s="11"/>
      <c r="J915" s="9"/>
    </row>
    <row r="916" spans="9:10" x14ac:dyDescent="0.25">
      <c r="I916" s="11"/>
      <c r="J916" s="9"/>
    </row>
    <row r="917" spans="9:10" x14ac:dyDescent="0.25">
      <c r="I917" s="11"/>
      <c r="J917" s="9"/>
    </row>
    <row r="918" spans="9:10" x14ac:dyDescent="0.25">
      <c r="I918" s="11"/>
      <c r="J918" s="9"/>
    </row>
    <row r="919" spans="9:10" x14ac:dyDescent="0.25">
      <c r="I919" s="11"/>
      <c r="J919" s="9"/>
    </row>
    <row r="920" spans="9:10" x14ac:dyDescent="0.25">
      <c r="I920" s="11"/>
      <c r="J920" s="9"/>
    </row>
    <row r="921" spans="9:10" x14ac:dyDescent="0.25">
      <c r="I921" s="11"/>
      <c r="J921" s="9"/>
    </row>
    <row r="922" spans="9:10" x14ac:dyDescent="0.25">
      <c r="I922" s="11"/>
      <c r="J922" s="9"/>
    </row>
    <row r="923" spans="9:10" x14ac:dyDescent="0.25">
      <c r="I923" s="11"/>
      <c r="J923" s="9"/>
    </row>
    <row r="924" spans="9:10" x14ac:dyDescent="0.25">
      <c r="I924" s="11"/>
      <c r="J924" s="9"/>
    </row>
    <row r="925" spans="9:10" x14ac:dyDescent="0.25">
      <c r="I925" s="11"/>
      <c r="J925" s="9"/>
    </row>
    <row r="926" spans="9:10" x14ac:dyDescent="0.25">
      <c r="I926" s="11"/>
      <c r="J926" s="9"/>
    </row>
    <row r="927" spans="9:10" x14ac:dyDescent="0.25">
      <c r="I927" s="11"/>
      <c r="J927" s="9"/>
    </row>
    <row r="928" spans="9:10" x14ac:dyDescent="0.25">
      <c r="I928" s="11"/>
      <c r="J928" s="9"/>
    </row>
    <row r="929" spans="9:10" x14ac:dyDescent="0.25">
      <c r="I929" s="11"/>
      <c r="J929" s="9"/>
    </row>
    <row r="930" spans="9:10" x14ac:dyDescent="0.25">
      <c r="I930" s="11"/>
      <c r="J930" s="9"/>
    </row>
    <row r="931" spans="9:10" x14ac:dyDescent="0.25">
      <c r="I931" s="11"/>
      <c r="J931" s="9"/>
    </row>
    <row r="932" spans="9:10" x14ac:dyDescent="0.25">
      <c r="I932" s="11"/>
      <c r="J932" s="9"/>
    </row>
    <row r="933" spans="9:10" x14ac:dyDescent="0.25">
      <c r="I933" s="11"/>
      <c r="J933" s="9"/>
    </row>
    <row r="934" spans="9:10" x14ac:dyDescent="0.25">
      <c r="I934" s="11"/>
      <c r="J934" s="9"/>
    </row>
    <row r="935" spans="9:10" x14ac:dyDescent="0.25">
      <c r="I935" s="11"/>
      <c r="J935" s="9"/>
    </row>
    <row r="936" spans="9:10" x14ac:dyDescent="0.25">
      <c r="I936" s="11"/>
      <c r="J936" s="9"/>
    </row>
    <row r="937" spans="9:10" x14ac:dyDescent="0.25">
      <c r="I937" s="11"/>
      <c r="J937" s="9"/>
    </row>
    <row r="938" spans="9:10" x14ac:dyDescent="0.25">
      <c r="I938" s="11"/>
      <c r="J938" s="9"/>
    </row>
    <row r="939" spans="9:10" x14ac:dyDescent="0.25">
      <c r="I939" s="11"/>
      <c r="J939" s="9"/>
    </row>
    <row r="940" spans="9:10" x14ac:dyDescent="0.25">
      <c r="I940" s="11"/>
      <c r="J940" s="9"/>
    </row>
    <row r="941" spans="9:10" x14ac:dyDescent="0.25">
      <c r="I941" s="11"/>
      <c r="J941" s="9"/>
    </row>
    <row r="942" spans="9:10" x14ac:dyDescent="0.25">
      <c r="I942" s="11"/>
      <c r="J942" s="9"/>
    </row>
    <row r="943" spans="9:10" x14ac:dyDescent="0.25">
      <c r="I943" s="11"/>
      <c r="J943" s="9"/>
    </row>
    <row r="944" spans="9:10" x14ac:dyDescent="0.25">
      <c r="I944" s="11"/>
      <c r="J944" s="9"/>
    </row>
    <row r="945" spans="9:10" x14ac:dyDescent="0.25">
      <c r="I945" s="11"/>
      <c r="J945" s="9"/>
    </row>
    <row r="946" spans="9:10" x14ac:dyDescent="0.25">
      <c r="I946" s="11"/>
      <c r="J946" s="9"/>
    </row>
    <row r="947" spans="9:10" x14ac:dyDescent="0.25">
      <c r="I947" s="11"/>
      <c r="J947" s="9"/>
    </row>
    <row r="948" spans="9:10" x14ac:dyDescent="0.25">
      <c r="I948" s="11"/>
      <c r="J948" s="9"/>
    </row>
    <row r="949" spans="9:10" x14ac:dyDescent="0.25">
      <c r="I949" s="11"/>
      <c r="J949" s="9"/>
    </row>
    <row r="950" spans="9:10" x14ac:dyDescent="0.25">
      <c r="I950" s="11"/>
      <c r="J950" s="9"/>
    </row>
    <row r="951" spans="9:10" x14ac:dyDescent="0.25">
      <c r="I951" s="11"/>
      <c r="J951" s="9"/>
    </row>
    <row r="952" spans="9:10" x14ac:dyDescent="0.25">
      <c r="I952" s="11"/>
      <c r="J952" s="9"/>
    </row>
    <row r="953" spans="9:10" x14ac:dyDescent="0.25">
      <c r="I953" s="11"/>
      <c r="J953" s="9"/>
    </row>
    <row r="954" spans="9:10" x14ac:dyDescent="0.25">
      <c r="I954" s="11"/>
      <c r="J954" s="9"/>
    </row>
    <row r="955" spans="9:10" x14ac:dyDescent="0.25">
      <c r="I955" s="11"/>
      <c r="J955" s="9"/>
    </row>
    <row r="956" spans="9:10" x14ac:dyDescent="0.25">
      <c r="I956" s="11"/>
      <c r="J956" s="9"/>
    </row>
    <row r="957" spans="9:10" x14ac:dyDescent="0.25">
      <c r="I957" s="11"/>
      <c r="J957" s="9"/>
    </row>
    <row r="958" spans="9:10" x14ac:dyDescent="0.25">
      <c r="I958" s="11"/>
      <c r="J958" s="9"/>
    </row>
    <row r="959" spans="9:10" x14ac:dyDescent="0.25">
      <c r="I959" s="11"/>
      <c r="J959" s="9"/>
    </row>
    <row r="960" spans="9:10" x14ac:dyDescent="0.25">
      <c r="I960" s="11"/>
      <c r="J960" s="9"/>
    </row>
    <row r="961" spans="9:10" x14ac:dyDescent="0.25">
      <c r="I961" s="11"/>
      <c r="J961" s="9"/>
    </row>
    <row r="962" spans="9:10" x14ac:dyDescent="0.25">
      <c r="I962" s="11"/>
      <c r="J962" s="9"/>
    </row>
    <row r="963" spans="9:10" x14ac:dyDescent="0.25">
      <c r="I963" s="11"/>
      <c r="J963" s="9"/>
    </row>
    <row r="964" spans="9:10" x14ac:dyDescent="0.25">
      <c r="I964" s="11"/>
      <c r="J964" s="9"/>
    </row>
    <row r="965" spans="9:10" x14ac:dyDescent="0.25">
      <c r="I965" s="11"/>
      <c r="J965" s="9"/>
    </row>
    <row r="966" spans="9:10" x14ac:dyDescent="0.25">
      <c r="I966" s="11"/>
      <c r="J966" s="9"/>
    </row>
    <row r="967" spans="9:10" x14ac:dyDescent="0.25">
      <c r="I967" s="11"/>
      <c r="J967" s="9"/>
    </row>
    <row r="968" spans="9:10" x14ac:dyDescent="0.25">
      <c r="I968" s="11"/>
      <c r="J968" s="9"/>
    </row>
    <row r="969" spans="9:10" x14ac:dyDescent="0.25">
      <c r="I969" s="11"/>
      <c r="J969" s="9"/>
    </row>
    <row r="970" spans="9:10" x14ac:dyDescent="0.25">
      <c r="I970" s="11"/>
      <c r="J970" s="9"/>
    </row>
    <row r="971" spans="9:10" x14ac:dyDescent="0.25">
      <c r="I971" s="11"/>
      <c r="J971" s="9"/>
    </row>
    <row r="972" spans="9:10" x14ac:dyDescent="0.25">
      <c r="I972" s="11"/>
      <c r="J972" s="9"/>
    </row>
    <row r="973" spans="9:10" x14ac:dyDescent="0.25">
      <c r="I973" s="11"/>
      <c r="J973" s="9"/>
    </row>
    <row r="974" spans="9:10" x14ac:dyDescent="0.25">
      <c r="I974" s="11"/>
      <c r="J974" s="9"/>
    </row>
    <row r="975" spans="9:10" x14ac:dyDescent="0.25">
      <c r="I975" s="11"/>
      <c r="J975" s="9"/>
    </row>
    <row r="976" spans="9:10" x14ac:dyDescent="0.25">
      <c r="I976" s="11"/>
      <c r="J976" s="9"/>
    </row>
    <row r="977" spans="9:10" x14ac:dyDescent="0.25">
      <c r="I977" s="11"/>
      <c r="J977" s="9"/>
    </row>
    <row r="978" spans="9:10" x14ac:dyDescent="0.25">
      <c r="I978" s="11"/>
      <c r="J978" s="9"/>
    </row>
    <row r="979" spans="9:10" x14ac:dyDescent="0.25">
      <c r="I979" s="11"/>
      <c r="J979" s="9"/>
    </row>
    <row r="980" spans="9:10" x14ac:dyDescent="0.25">
      <c r="I980" s="11"/>
      <c r="J980" s="9"/>
    </row>
    <row r="981" spans="9:10" x14ac:dyDescent="0.25">
      <c r="I981" s="11"/>
      <c r="J981" s="9"/>
    </row>
    <row r="982" spans="9:10" x14ac:dyDescent="0.25">
      <c r="I982" s="11"/>
      <c r="J982" s="9"/>
    </row>
    <row r="983" spans="9:10" x14ac:dyDescent="0.25">
      <c r="I983" s="11"/>
      <c r="J983" s="9"/>
    </row>
    <row r="984" spans="9:10" x14ac:dyDescent="0.25">
      <c r="I984" s="11"/>
      <c r="J984" s="9"/>
    </row>
    <row r="985" spans="9:10" x14ac:dyDescent="0.25">
      <c r="I985" s="11"/>
      <c r="J985" s="9"/>
    </row>
    <row r="986" spans="9:10" x14ac:dyDescent="0.25">
      <c r="I986" s="11"/>
      <c r="J986" s="9"/>
    </row>
    <row r="987" spans="9:10" x14ac:dyDescent="0.25">
      <c r="I987" s="11"/>
      <c r="J987" s="9"/>
    </row>
    <row r="988" spans="9:10" x14ac:dyDescent="0.25">
      <c r="I988" s="11"/>
      <c r="J988" s="9"/>
    </row>
    <row r="989" spans="9:10" x14ac:dyDescent="0.25">
      <c r="I989" s="11"/>
      <c r="J989" s="9"/>
    </row>
    <row r="990" spans="9:10" x14ac:dyDescent="0.25">
      <c r="I990" s="11"/>
      <c r="J990" s="9"/>
    </row>
    <row r="991" spans="9:10" x14ac:dyDescent="0.25">
      <c r="I991" s="11"/>
      <c r="J991" s="9"/>
    </row>
    <row r="992" spans="9:10" x14ac:dyDescent="0.25">
      <c r="I992" s="11"/>
      <c r="J992" s="9"/>
    </row>
    <row r="993" spans="9:10" x14ac:dyDescent="0.25">
      <c r="I993" s="11"/>
      <c r="J993" s="9"/>
    </row>
    <row r="994" spans="9:10" x14ac:dyDescent="0.25">
      <c r="I994" s="11"/>
      <c r="J994" s="9"/>
    </row>
    <row r="995" spans="9:10" x14ac:dyDescent="0.25">
      <c r="I995" s="11"/>
      <c r="J995" s="9"/>
    </row>
    <row r="996" spans="9:10" x14ac:dyDescent="0.25">
      <c r="I996" s="11"/>
      <c r="J996" s="9"/>
    </row>
    <row r="997" spans="9:10" x14ac:dyDescent="0.25">
      <c r="I997" s="11"/>
      <c r="J997" s="9"/>
    </row>
    <row r="998" spans="9:10" x14ac:dyDescent="0.25">
      <c r="I998" s="11"/>
      <c r="J998" s="9"/>
    </row>
    <row r="999" spans="9:10" x14ac:dyDescent="0.25">
      <c r="I999" s="11"/>
      <c r="J999" s="9"/>
    </row>
    <row r="1000" spans="9:10" x14ac:dyDescent="0.25">
      <c r="I1000" s="11"/>
      <c r="J1000" s="9"/>
    </row>
    <row r="1001" spans="9:10" x14ac:dyDescent="0.25">
      <c r="I1001" s="11"/>
      <c r="J1001" s="9"/>
    </row>
    <row r="1002" spans="9:10" x14ac:dyDescent="0.25">
      <c r="I1002" s="11"/>
      <c r="J1002" s="9"/>
    </row>
    <row r="1003" spans="9:10" x14ac:dyDescent="0.25">
      <c r="I1003" s="11"/>
      <c r="J1003" s="9"/>
    </row>
    <row r="1004" spans="9:10" x14ac:dyDescent="0.25">
      <c r="I1004" s="11"/>
      <c r="J1004" s="9"/>
    </row>
    <row r="1005" spans="9:10" x14ac:dyDescent="0.25">
      <c r="I1005" s="11"/>
      <c r="J1005" s="9"/>
    </row>
    <row r="1006" spans="9:10" x14ac:dyDescent="0.25">
      <c r="I1006" s="11"/>
      <c r="J1006" s="9"/>
    </row>
    <row r="1007" spans="9:10" x14ac:dyDescent="0.25">
      <c r="I1007" s="11"/>
      <c r="J1007" s="9"/>
    </row>
    <row r="1008" spans="9:10" x14ac:dyDescent="0.25">
      <c r="I1008" s="11"/>
      <c r="J1008" s="9"/>
    </row>
    <row r="1009" spans="9:10" x14ac:dyDescent="0.25">
      <c r="I1009" s="11"/>
      <c r="J1009" s="9"/>
    </row>
    <row r="1010" spans="9:10" x14ac:dyDescent="0.25">
      <c r="I1010" s="11"/>
      <c r="J1010" s="9"/>
    </row>
    <row r="1011" spans="9:10" x14ac:dyDescent="0.25">
      <c r="I1011" s="11"/>
      <c r="J1011" s="9"/>
    </row>
    <row r="1012" spans="9:10" x14ac:dyDescent="0.25">
      <c r="I1012" s="11"/>
      <c r="J1012" s="9"/>
    </row>
    <row r="1013" spans="9:10" x14ac:dyDescent="0.25">
      <c r="I1013" s="11"/>
      <c r="J1013" s="9"/>
    </row>
    <row r="1014" spans="9:10" x14ac:dyDescent="0.25">
      <c r="I1014" s="11"/>
      <c r="J1014" s="9"/>
    </row>
    <row r="1015" spans="9:10" x14ac:dyDescent="0.25">
      <c r="I1015" s="11"/>
      <c r="J1015" s="9"/>
    </row>
    <row r="1016" spans="9:10" x14ac:dyDescent="0.25">
      <c r="I1016" s="11"/>
      <c r="J1016" s="9"/>
    </row>
    <row r="1017" spans="9:10" x14ac:dyDescent="0.25">
      <c r="I1017" s="11"/>
      <c r="J1017" s="9"/>
    </row>
    <row r="1018" spans="9:10" x14ac:dyDescent="0.25">
      <c r="I1018" s="11"/>
      <c r="J1018" s="9"/>
    </row>
    <row r="1019" spans="9:10" x14ac:dyDescent="0.25">
      <c r="I1019" s="11"/>
      <c r="J1019" s="9"/>
    </row>
    <row r="1020" spans="9:10" x14ac:dyDescent="0.25">
      <c r="I1020" s="11"/>
      <c r="J1020" s="9"/>
    </row>
    <row r="1021" spans="9:10" x14ac:dyDescent="0.25">
      <c r="I1021" s="11"/>
      <c r="J1021" s="9"/>
    </row>
    <row r="1022" spans="9:10" x14ac:dyDescent="0.25">
      <c r="I1022" s="11"/>
      <c r="J1022" s="9"/>
    </row>
    <row r="1023" spans="9:10" x14ac:dyDescent="0.25">
      <c r="I1023" s="11"/>
      <c r="J1023" s="9"/>
    </row>
    <row r="1024" spans="9:10" x14ac:dyDescent="0.25">
      <c r="I1024" s="11"/>
      <c r="J1024" s="9"/>
    </row>
    <row r="1025" spans="9:10" x14ac:dyDescent="0.25">
      <c r="I1025" s="11"/>
      <c r="J1025" s="9"/>
    </row>
    <row r="1026" spans="9:10" x14ac:dyDescent="0.25">
      <c r="I1026" s="11"/>
      <c r="J1026" s="9"/>
    </row>
    <row r="1027" spans="9:10" x14ac:dyDescent="0.25">
      <c r="I1027" s="11"/>
      <c r="J1027" s="9"/>
    </row>
    <row r="1028" spans="9:10" x14ac:dyDescent="0.25">
      <c r="I1028" s="11"/>
      <c r="J1028" s="9"/>
    </row>
    <row r="1029" spans="9:10" x14ac:dyDescent="0.25">
      <c r="I1029" s="11"/>
      <c r="J1029" s="9"/>
    </row>
    <row r="1030" spans="9:10" x14ac:dyDescent="0.25">
      <c r="I1030" s="11"/>
      <c r="J1030" s="9"/>
    </row>
    <row r="1031" spans="9:10" x14ac:dyDescent="0.25">
      <c r="I1031" s="11"/>
      <c r="J1031" s="9"/>
    </row>
    <row r="1032" spans="9:10" x14ac:dyDescent="0.25">
      <c r="I1032" s="11"/>
      <c r="J1032" s="9"/>
    </row>
    <row r="1033" spans="9:10" x14ac:dyDescent="0.25">
      <c r="I1033" s="11"/>
      <c r="J1033" s="9"/>
    </row>
    <row r="1034" spans="9:10" x14ac:dyDescent="0.25">
      <c r="I1034" s="11"/>
      <c r="J1034" s="9"/>
    </row>
    <row r="1035" spans="9:10" x14ac:dyDescent="0.25">
      <c r="I1035" s="11"/>
      <c r="J1035" s="9"/>
    </row>
    <row r="1036" spans="9:10" x14ac:dyDescent="0.25">
      <c r="I1036" s="11"/>
      <c r="J1036" s="9"/>
    </row>
    <row r="1037" spans="9:10" x14ac:dyDescent="0.25">
      <c r="I1037" s="11"/>
      <c r="J1037" s="9"/>
    </row>
    <row r="1038" spans="9:10" x14ac:dyDescent="0.25">
      <c r="I1038" s="11"/>
      <c r="J1038" s="9"/>
    </row>
    <row r="1039" spans="9:10" x14ac:dyDescent="0.25">
      <c r="I1039" s="11"/>
      <c r="J1039" s="9"/>
    </row>
    <row r="1040" spans="9:10" x14ac:dyDescent="0.25">
      <c r="I1040" s="11"/>
      <c r="J1040" s="9"/>
    </row>
    <row r="1041" spans="9:10" x14ac:dyDescent="0.25">
      <c r="I1041" s="11"/>
      <c r="J1041" s="9"/>
    </row>
    <row r="1042" spans="9:10" x14ac:dyDescent="0.25">
      <c r="I1042" s="11"/>
      <c r="J1042" s="9"/>
    </row>
    <row r="1043" spans="9:10" x14ac:dyDescent="0.25">
      <c r="I1043" s="11"/>
      <c r="J1043" s="9"/>
    </row>
    <row r="1044" spans="9:10" x14ac:dyDescent="0.25">
      <c r="I1044" s="11"/>
      <c r="J1044" s="9"/>
    </row>
    <row r="1045" spans="9:10" x14ac:dyDescent="0.25">
      <c r="I1045" s="11"/>
      <c r="J1045" s="9"/>
    </row>
    <row r="1046" spans="9:10" x14ac:dyDescent="0.25">
      <c r="I1046" s="11"/>
      <c r="J1046" s="9"/>
    </row>
    <row r="1047" spans="9:10" x14ac:dyDescent="0.25">
      <c r="I1047" s="11"/>
      <c r="J1047" s="9"/>
    </row>
    <row r="1048" spans="9:10" x14ac:dyDescent="0.25">
      <c r="I1048" s="11"/>
      <c r="J1048" s="9"/>
    </row>
    <row r="1049" spans="9:10" x14ac:dyDescent="0.25">
      <c r="I1049" s="11"/>
      <c r="J1049" s="9"/>
    </row>
    <row r="1050" spans="9:10" x14ac:dyDescent="0.25">
      <c r="I1050" s="11"/>
      <c r="J1050" s="9"/>
    </row>
    <row r="1051" spans="9:10" x14ac:dyDescent="0.25">
      <c r="I1051" s="11"/>
      <c r="J1051" s="9"/>
    </row>
    <row r="1052" spans="9:10" x14ac:dyDescent="0.25">
      <c r="I1052" s="11"/>
      <c r="J1052" s="9"/>
    </row>
    <row r="1053" spans="9:10" x14ac:dyDescent="0.25">
      <c r="I1053" s="11"/>
      <c r="J1053" s="9"/>
    </row>
    <row r="1054" spans="9:10" x14ac:dyDescent="0.25">
      <c r="I1054" s="11"/>
      <c r="J1054" s="9"/>
    </row>
    <row r="1055" spans="9:10" x14ac:dyDescent="0.25">
      <c r="I1055" s="11"/>
      <c r="J1055" s="9"/>
    </row>
    <row r="1056" spans="9:10" x14ac:dyDescent="0.25">
      <c r="I1056" s="11"/>
      <c r="J1056" s="9"/>
    </row>
    <row r="1057" spans="9:10" x14ac:dyDescent="0.25">
      <c r="I1057" s="11"/>
      <c r="J1057" s="9"/>
    </row>
    <row r="1058" spans="9:10" x14ac:dyDescent="0.25">
      <c r="I1058" s="11"/>
      <c r="J1058" s="9"/>
    </row>
    <row r="1059" spans="9:10" x14ac:dyDescent="0.25">
      <c r="I1059" s="11"/>
      <c r="J1059" s="9"/>
    </row>
    <row r="1060" spans="9:10" x14ac:dyDescent="0.25">
      <c r="I1060" s="11"/>
      <c r="J1060" s="9"/>
    </row>
    <row r="1061" spans="9:10" x14ac:dyDescent="0.25">
      <c r="I1061" s="11"/>
      <c r="J1061" s="9"/>
    </row>
    <row r="1062" spans="9:10" x14ac:dyDescent="0.25">
      <c r="I1062" s="11"/>
      <c r="J1062" s="9"/>
    </row>
    <row r="1063" spans="9:10" x14ac:dyDescent="0.25">
      <c r="I1063" s="11"/>
      <c r="J1063" s="9"/>
    </row>
    <row r="1064" spans="9:10" x14ac:dyDescent="0.25">
      <c r="I1064" s="11"/>
      <c r="J1064" s="9"/>
    </row>
    <row r="1065" spans="9:10" x14ac:dyDescent="0.25">
      <c r="I1065" s="11"/>
      <c r="J1065" s="9"/>
    </row>
    <row r="1066" spans="9:10" x14ac:dyDescent="0.25">
      <c r="I1066" s="11"/>
      <c r="J1066" s="9"/>
    </row>
    <row r="1067" spans="9:10" x14ac:dyDescent="0.25">
      <c r="I1067" s="11"/>
      <c r="J1067" s="9"/>
    </row>
    <row r="1068" spans="9:10" x14ac:dyDescent="0.25">
      <c r="I1068" s="11"/>
      <c r="J1068" s="9"/>
    </row>
    <row r="1069" spans="9:10" x14ac:dyDescent="0.25">
      <c r="I1069" s="11"/>
      <c r="J1069" s="9"/>
    </row>
    <row r="1070" spans="9:10" x14ac:dyDescent="0.25">
      <c r="I1070" s="11"/>
      <c r="J1070" s="9"/>
    </row>
    <row r="1071" spans="9:10" x14ac:dyDescent="0.25">
      <c r="I1071" s="11"/>
      <c r="J1071" s="9"/>
    </row>
    <row r="1072" spans="9:10" x14ac:dyDescent="0.25">
      <c r="I1072" s="11"/>
      <c r="J1072" s="9"/>
    </row>
    <row r="1073" spans="9:10" x14ac:dyDescent="0.25">
      <c r="I1073" s="11"/>
      <c r="J1073" s="9"/>
    </row>
    <row r="1074" spans="9:10" x14ac:dyDescent="0.25">
      <c r="I1074" s="11"/>
      <c r="J1074" s="9"/>
    </row>
    <row r="1075" spans="9:10" x14ac:dyDescent="0.25">
      <c r="I1075" s="11"/>
      <c r="J1075" s="9"/>
    </row>
    <row r="1076" spans="9:10" x14ac:dyDescent="0.25">
      <c r="I1076" s="11"/>
      <c r="J1076" s="9"/>
    </row>
    <row r="1077" spans="9:10" x14ac:dyDescent="0.25">
      <c r="I1077" s="11"/>
      <c r="J1077" s="9"/>
    </row>
    <row r="1078" spans="9:10" x14ac:dyDescent="0.25">
      <c r="I1078" s="11"/>
      <c r="J1078" s="9"/>
    </row>
    <row r="1079" spans="9:10" x14ac:dyDescent="0.25">
      <c r="I1079" s="11"/>
      <c r="J1079" s="9"/>
    </row>
    <row r="1080" spans="9:10" x14ac:dyDescent="0.25">
      <c r="I1080" s="11"/>
      <c r="J1080" s="9"/>
    </row>
    <row r="1081" spans="9:10" x14ac:dyDescent="0.25">
      <c r="I1081" s="11"/>
      <c r="J1081" s="9"/>
    </row>
    <row r="1082" spans="9:10" x14ac:dyDescent="0.25">
      <c r="I1082" s="11"/>
      <c r="J1082" s="9"/>
    </row>
    <row r="1083" spans="9:10" x14ac:dyDescent="0.25">
      <c r="I1083" s="11"/>
      <c r="J1083" s="9"/>
    </row>
    <row r="1084" spans="9:10" x14ac:dyDescent="0.25">
      <c r="I1084" s="11"/>
      <c r="J1084" s="9"/>
    </row>
    <row r="1085" spans="9:10" x14ac:dyDescent="0.25">
      <c r="I1085" s="11"/>
      <c r="J1085" s="9"/>
    </row>
    <row r="1086" spans="9:10" x14ac:dyDescent="0.25">
      <c r="I1086" s="11"/>
      <c r="J1086" s="9"/>
    </row>
    <row r="1087" spans="9:10" x14ac:dyDescent="0.25">
      <c r="I1087" s="11"/>
      <c r="J1087" s="9"/>
    </row>
    <row r="1088" spans="9:10" x14ac:dyDescent="0.25">
      <c r="I1088" s="11"/>
      <c r="J1088" s="9"/>
    </row>
    <row r="1089" spans="9:10" x14ac:dyDescent="0.25">
      <c r="I1089" s="11"/>
      <c r="J1089" s="9"/>
    </row>
    <row r="1090" spans="9:10" x14ac:dyDescent="0.25">
      <c r="I1090" s="11"/>
      <c r="J1090" s="9"/>
    </row>
    <row r="1091" spans="9:10" x14ac:dyDescent="0.25">
      <c r="I1091" s="11"/>
      <c r="J1091" s="9"/>
    </row>
    <row r="1092" spans="9:10" x14ac:dyDescent="0.25">
      <c r="I1092" s="11"/>
      <c r="J1092" s="9"/>
    </row>
    <row r="1093" spans="9:10" x14ac:dyDescent="0.25">
      <c r="I1093" s="11"/>
      <c r="J1093" s="9"/>
    </row>
    <row r="1094" spans="9:10" x14ac:dyDescent="0.25">
      <c r="I1094" s="11"/>
      <c r="J1094" s="9"/>
    </row>
    <row r="1095" spans="9:10" x14ac:dyDescent="0.25">
      <c r="I1095" s="11"/>
      <c r="J1095" s="9"/>
    </row>
    <row r="1096" spans="9:10" x14ac:dyDescent="0.25">
      <c r="I1096" s="11"/>
      <c r="J1096" s="9"/>
    </row>
    <row r="1097" spans="9:10" x14ac:dyDescent="0.25">
      <c r="I1097" s="11"/>
      <c r="J1097" s="9"/>
    </row>
    <row r="1098" spans="9:10" x14ac:dyDescent="0.25">
      <c r="I1098" s="11"/>
      <c r="J1098" s="9"/>
    </row>
    <row r="1099" spans="9:10" x14ac:dyDescent="0.25">
      <c r="I1099" s="11"/>
      <c r="J1099" s="9"/>
    </row>
    <row r="1100" spans="9:10" x14ac:dyDescent="0.25">
      <c r="I1100" s="11"/>
      <c r="J1100" s="9"/>
    </row>
    <row r="1101" spans="9:10" x14ac:dyDescent="0.25">
      <c r="I1101" s="11"/>
      <c r="J1101" s="9"/>
    </row>
    <row r="1102" spans="9:10" x14ac:dyDescent="0.25">
      <c r="I1102" s="11"/>
      <c r="J1102" s="9"/>
    </row>
    <row r="1103" spans="9:10" x14ac:dyDescent="0.25">
      <c r="I1103" s="11"/>
      <c r="J1103" s="9"/>
    </row>
    <row r="1104" spans="9:10" x14ac:dyDescent="0.25">
      <c r="I1104" s="11"/>
      <c r="J1104" s="9"/>
    </row>
    <row r="1105" spans="9:10" x14ac:dyDescent="0.25">
      <c r="I1105" s="11"/>
      <c r="J1105" s="9"/>
    </row>
    <row r="1106" spans="9:10" x14ac:dyDescent="0.25">
      <c r="I1106" s="11"/>
      <c r="J1106" s="9"/>
    </row>
    <row r="1107" spans="9:10" x14ac:dyDescent="0.25">
      <c r="I1107" s="11"/>
      <c r="J1107" s="9"/>
    </row>
    <row r="1108" spans="9:10" x14ac:dyDescent="0.25">
      <c r="I1108" s="11"/>
      <c r="J1108" s="9"/>
    </row>
    <row r="1109" spans="9:10" x14ac:dyDescent="0.25">
      <c r="I1109" s="11"/>
      <c r="J1109" s="9"/>
    </row>
    <row r="1110" spans="9:10" x14ac:dyDescent="0.25">
      <c r="I1110" s="11"/>
      <c r="J1110" s="9"/>
    </row>
    <row r="1111" spans="9:10" x14ac:dyDescent="0.25">
      <c r="I1111" s="11"/>
      <c r="J1111" s="9"/>
    </row>
    <row r="1112" spans="9:10" x14ac:dyDescent="0.25">
      <c r="I1112" s="11"/>
      <c r="J1112" s="9"/>
    </row>
    <row r="1113" spans="9:10" x14ac:dyDescent="0.25">
      <c r="I1113" s="11"/>
      <c r="J1113" s="9"/>
    </row>
    <row r="1114" spans="9:10" x14ac:dyDescent="0.25">
      <c r="I1114" s="11"/>
      <c r="J1114" s="9"/>
    </row>
    <row r="1115" spans="9:10" x14ac:dyDescent="0.25">
      <c r="I1115" s="11"/>
      <c r="J1115" s="9"/>
    </row>
    <row r="1116" spans="9:10" x14ac:dyDescent="0.25">
      <c r="I1116" s="11"/>
      <c r="J1116" s="9"/>
    </row>
    <row r="1117" spans="9:10" x14ac:dyDescent="0.25">
      <c r="I1117" s="11"/>
      <c r="J1117" s="9"/>
    </row>
    <row r="1118" spans="9:10" x14ac:dyDescent="0.25">
      <c r="I1118" s="11"/>
      <c r="J1118" s="9"/>
    </row>
    <row r="1119" spans="9:10" x14ac:dyDescent="0.25">
      <c r="I1119" s="11"/>
      <c r="J1119" s="9"/>
    </row>
    <row r="1120" spans="9:10" x14ac:dyDescent="0.25">
      <c r="I1120" s="11"/>
      <c r="J1120" s="9"/>
    </row>
    <row r="1121" spans="9:10" x14ac:dyDescent="0.25">
      <c r="I1121" s="11"/>
      <c r="J1121" s="9"/>
    </row>
    <row r="1122" spans="9:10" x14ac:dyDescent="0.25">
      <c r="I1122" s="11"/>
      <c r="J1122" s="9"/>
    </row>
    <row r="1123" spans="9:10" x14ac:dyDescent="0.25">
      <c r="I1123" s="11"/>
      <c r="J1123" s="9"/>
    </row>
    <row r="1124" spans="9:10" x14ac:dyDescent="0.25">
      <c r="I1124" s="11"/>
      <c r="J1124" s="9"/>
    </row>
    <row r="1125" spans="9:10" x14ac:dyDescent="0.25">
      <c r="I1125" s="11"/>
      <c r="J1125" s="9"/>
    </row>
    <row r="1126" spans="9:10" x14ac:dyDescent="0.25">
      <c r="I1126" s="11"/>
      <c r="J1126" s="9"/>
    </row>
    <row r="1127" spans="9:10" x14ac:dyDescent="0.25">
      <c r="I1127" s="11"/>
      <c r="J1127" s="9"/>
    </row>
    <row r="1128" spans="9:10" x14ac:dyDescent="0.25">
      <c r="I1128" s="11"/>
      <c r="J1128" s="9"/>
    </row>
    <row r="1129" spans="9:10" x14ac:dyDescent="0.25">
      <c r="I1129" s="11"/>
      <c r="J1129" s="9"/>
    </row>
    <row r="1130" spans="9:10" x14ac:dyDescent="0.25">
      <c r="I1130" s="11"/>
      <c r="J1130" s="9"/>
    </row>
    <row r="1131" spans="9:10" x14ac:dyDescent="0.25">
      <c r="I1131" s="11"/>
      <c r="J1131" s="9"/>
    </row>
    <row r="1132" spans="9:10" x14ac:dyDescent="0.25">
      <c r="I1132" s="11"/>
      <c r="J1132" s="9"/>
    </row>
    <row r="1133" spans="9:10" x14ac:dyDescent="0.25">
      <c r="I1133" s="11"/>
      <c r="J1133" s="9"/>
    </row>
    <row r="1134" spans="9:10" x14ac:dyDescent="0.25">
      <c r="I1134" s="11"/>
      <c r="J1134" s="9"/>
    </row>
    <row r="1135" spans="9:10" x14ac:dyDescent="0.25">
      <c r="I1135" s="11"/>
      <c r="J1135" s="9"/>
    </row>
    <row r="1136" spans="9:10" x14ac:dyDescent="0.25">
      <c r="I1136" s="11"/>
      <c r="J1136" s="9"/>
    </row>
    <row r="1137" spans="9:10" x14ac:dyDescent="0.25">
      <c r="I1137" s="11"/>
      <c r="J1137" s="9"/>
    </row>
    <row r="1138" spans="9:10" x14ac:dyDescent="0.25">
      <c r="I1138" s="11"/>
      <c r="J1138" s="9"/>
    </row>
    <row r="1139" spans="9:10" x14ac:dyDescent="0.25">
      <c r="I1139" s="11"/>
      <c r="J1139" s="9"/>
    </row>
    <row r="1140" spans="9:10" x14ac:dyDescent="0.25">
      <c r="I1140" s="11"/>
      <c r="J1140" s="9"/>
    </row>
    <row r="1141" spans="9:10" x14ac:dyDescent="0.25">
      <c r="I1141" s="11"/>
      <c r="J1141" s="9"/>
    </row>
    <row r="1142" spans="9:10" x14ac:dyDescent="0.25">
      <c r="I1142" s="11"/>
      <c r="J1142" s="9"/>
    </row>
    <row r="1143" spans="9:10" x14ac:dyDescent="0.25">
      <c r="I1143" s="11"/>
      <c r="J1143" s="9"/>
    </row>
    <row r="1144" spans="9:10" x14ac:dyDescent="0.25">
      <c r="I1144" s="11"/>
      <c r="J1144" s="9"/>
    </row>
    <row r="1145" spans="9:10" x14ac:dyDescent="0.25">
      <c r="I1145" s="11"/>
      <c r="J1145" s="9"/>
    </row>
    <row r="1146" spans="9:10" x14ac:dyDescent="0.25">
      <c r="I1146" s="11"/>
      <c r="J1146" s="9"/>
    </row>
    <row r="1147" spans="9:10" x14ac:dyDescent="0.25">
      <c r="I1147" s="11"/>
      <c r="J1147" s="9"/>
    </row>
    <row r="1148" spans="9:10" x14ac:dyDescent="0.25">
      <c r="I1148" s="11"/>
      <c r="J1148" s="9"/>
    </row>
    <row r="1149" spans="9:10" x14ac:dyDescent="0.25">
      <c r="I1149" s="11"/>
      <c r="J1149" s="9"/>
    </row>
    <row r="1150" spans="9:10" x14ac:dyDescent="0.25">
      <c r="I1150" s="11"/>
      <c r="J1150" s="9"/>
    </row>
    <row r="1151" spans="9:10" x14ac:dyDescent="0.25">
      <c r="I1151" s="11"/>
      <c r="J1151" s="9"/>
    </row>
    <row r="1152" spans="9:10" x14ac:dyDescent="0.25">
      <c r="I1152" s="11"/>
      <c r="J1152" s="9"/>
    </row>
    <row r="1153" spans="9:10" x14ac:dyDescent="0.25">
      <c r="I1153" s="11"/>
      <c r="J1153" s="9"/>
    </row>
    <row r="1154" spans="9:10" x14ac:dyDescent="0.25">
      <c r="I1154" s="11"/>
      <c r="J1154" s="9"/>
    </row>
    <row r="1155" spans="9:10" x14ac:dyDescent="0.25">
      <c r="I1155" s="11"/>
      <c r="J1155" s="9"/>
    </row>
    <row r="1156" spans="9:10" x14ac:dyDescent="0.25">
      <c r="I1156" s="11"/>
      <c r="J1156" s="9"/>
    </row>
    <row r="1157" spans="9:10" x14ac:dyDescent="0.25">
      <c r="I1157" s="11"/>
      <c r="J1157" s="9"/>
    </row>
    <row r="1158" spans="9:10" x14ac:dyDescent="0.25">
      <c r="I1158" s="11"/>
      <c r="J1158" s="9"/>
    </row>
    <row r="1159" spans="9:10" x14ac:dyDescent="0.25">
      <c r="I1159" s="11"/>
      <c r="J1159" s="9"/>
    </row>
    <row r="1160" spans="9:10" x14ac:dyDescent="0.25">
      <c r="I1160" s="11"/>
      <c r="J1160" s="9"/>
    </row>
    <row r="1161" spans="9:10" x14ac:dyDescent="0.25">
      <c r="I1161" s="11"/>
      <c r="J1161" s="9"/>
    </row>
    <row r="1162" spans="9:10" x14ac:dyDescent="0.25">
      <c r="I1162" s="11"/>
      <c r="J1162" s="9"/>
    </row>
    <row r="1163" spans="9:10" x14ac:dyDescent="0.25">
      <c r="I1163" s="11"/>
      <c r="J1163" s="9"/>
    </row>
    <row r="1164" spans="9:10" x14ac:dyDescent="0.25">
      <c r="I1164" s="11"/>
      <c r="J1164" s="9"/>
    </row>
    <row r="1165" spans="9:10" x14ac:dyDescent="0.25">
      <c r="I1165" s="11"/>
      <c r="J1165" s="9"/>
    </row>
    <row r="1166" spans="9:10" x14ac:dyDescent="0.25">
      <c r="I1166" s="11"/>
      <c r="J1166" s="9"/>
    </row>
    <row r="1167" spans="9:10" x14ac:dyDescent="0.25">
      <c r="I1167" s="11"/>
      <c r="J1167" s="9"/>
    </row>
    <row r="1168" spans="9:10" x14ac:dyDescent="0.25">
      <c r="I1168" s="11"/>
      <c r="J1168" s="9"/>
    </row>
    <row r="1169" spans="9:10" x14ac:dyDescent="0.25">
      <c r="I1169" s="11"/>
      <c r="J1169" s="9"/>
    </row>
    <row r="1170" spans="9:10" x14ac:dyDescent="0.25">
      <c r="I1170" s="11"/>
      <c r="J1170" s="9"/>
    </row>
    <row r="1171" spans="9:10" x14ac:dyDescent="0.25">
      <c r="I1171" s="11"/>
      <c r="J1171" s="9"/>
    </row>
    <row r="1172" spans="9:10" x14ac:dyDescent="0.25">
      <c r="I1172" s="11"/>
      <c r="J1172" s="9"/>
    </row>
    <row r="1173" spans="9:10" x14ac:dyDescent="0.25">
      <c r="I1173" s="11"/>
      <c r="J1173" s="9"/>
    </row>
    <row r="1174" spans="9:10" x14ac:dyDescent="0.25">
      <c r="I1174" s="11"/>
      <c r="J1174" s="9"/>
    </row>
    <row r="1175" spans="9:10" x14ac:dyDescent="0.25">
      <c r="I1175" s="11"/>
      <c r="J1175" s="9"/>
    </row>
    <row r="1176" spans="9:10" x14ac:dyDescent="0.25">
      <c r="I1176" s="11"/>
      <c r="J1176" s="9"/>
    </row>
    <row r="1177" spans="9:10" x14ac:dyDescent="0.25">
      <c r="I1177" s="11"/>
      <c r="J1177" s="9"/>
    </row>
    <row r="1178" spans="9:10" x14ac:dyDescent="0.25">
      <c r="I1178" s="11"/>
      <c r="J1178" s="9"/>
    </row>
    <row r="1179" spans="9:10" x14ac:dyDescent="0.25">
      <c r="I1179" s="11"/>
      <c r="J1179" s="9"/>
    </row>
    <row r="1180" spans="9:10" x14ac:dyDescent="0.25">
      <c r="I1180" s="11"/>
      <c r="J1180" s="9"/>
    </row>
    <row r="1181" spans="9:10" x14ac:dyDescent="0.25">
      <c r="I1181" s="11"/>
      <c r="J1181" s="9"/>
    </row>
    <row r="1182" spans="9:10" x14ac:dyDescent="0.25">
      <c r="I1182" s="11"/>
      <c r="J1182" s="9"/>
    </row>
    <row r="1183" spans="9:10" x14ac:dyDescent="0.25">
      <c r="I1183" s="11"/>
      <c r="J1183" s="9"/>
    </row>
    <row r="1184" spans="9:10" x14ac:dyDescent="0.25">
      <c r="I1184" s="11"/>
      <c r="J1184" s="9"/>
    </row>
    <row r="1185" spans="9:10" x14ac:dyDescent="0.25">
      <c r="I1185" s="11"/>
      <c r="J1185" s="9"/>
    </row>
    <row r="1186" spans="9:10" x14ac:dyDescent="0.25">
      <c r="I1186" s="11"/>
      <c r="J1186" s="9"/>
    </row>
    <row r="1187" spans="9:10" x14ac:dyDescent="0.25">
      <c r="I1187" s="11"/>
      <c r="J1187" s="9"/>
    </row>
    <row r="1188" spans="9:10" x14ac:dyDescent="0.25">
      <c r="I1188" s="11"/>
      <c r="J1188" s="9"/>
    </row>
    <row r="1189" spans="9:10" x14ac:dyDescent="0.25">
      <c r="I1189" s="11"/>
      <c r="J1189" s="9"/>
    </row>
    <row r="1190" spans="9:10" x14ac:dyDescent="0.25">
      <c r="I1190" s="11"/>
      <c r="J1190" s="9"/>
    </row>
    <row r="1191" spans="9:10" x14ac:dyDescent="0.25">
      <c r="I1191" s="11"/>
      <c r="J1191" s="9"/>
    </row>
    <row r="1192" spans="9:10" x14ac:dyDescent="0.25">
      <c r="I1192" s="11"/>
      <c r="J1192" s="9"/>
    </row>
    <row r="1193" spans="9:10" x14ac:dyDescent="0.25">
      <c r="I1193" s="11"/>
      <c r="J1193" s="9"/>
    </row>
    <row r="1194" spans="9:10" x14ac:dyDescent="0.25">
      <c r="I1194" s="11"/>
      <c r="J1194" s="9"/>
    </row>
    <row r="1195" spans="9:10" x14ac:dyDescent="0.25">
      <c r="I1195" s="11"/>
      <c r="J1195" s="9"/>
    </row>
    <row r="1196" spans="9:10" x14ac:dyDescent="0.25">
      <c r="I1196" s="11"/>
      <c r="J1196" s="9"/>
    </row>
    <row r="1197" spans="9:10" x14ac:dyDescent="0.25">
      <c r="I1197" s="11"/>
      <c r="J1197" s="9"/>
    </row>
    <row r="1198" spans="9:10" x14ac:dyDescent="0.25">
      <c r="I1198" s="11"/>
      <c r="J1198" s="9"/>
    </row>
    <row r="1199" spans="9:10" x14ac:dyDescent="0.25">
      <c r="I1199" s="11"/>
      <c r="J1199" s="9"/>
    </row>
    <row r="1200" spans="9:10" x14ac:dyDescent="0.25">
      <c r="I1200" s="11"/>
      <c r="J1200" s="9"/>
    </row>
    <row r="1201" spans="9:10" x14ac:dyDescent="0.25">
      <c r="I1201" s="11"/>
      <c r="J1201" s="9"/>
    </row>
    <row r="1202" spans="9:10" x14ac:dyDescent="0.25">
      <c r="I1202" s="11"/>
      <c r="J1202" s="9"/>
    </row>
    <row r="1203" spans="9:10" x14ac:dyDescent="0.25">
      <c r="I1203" s="11"/>
      <c r="J1203" s="9"/>
    </row>
    <row r="1204" spans="9:10" x14ac:dyDescent="0.25">
      <c r="I1204" s="11"/>
      <c r="J1204" s="9"/>
    </row>
    <row r="1205" spans="9:10" x14ac:dyDescent="0.25">
      <c r="I1205" s="11"/>
      <c r="J1205" s="9"/>
    </row>
    <row r="1206" spans="9:10" x14ac:dyDescent="0.25">
      <c r="I1206" s="11"/>
      <c r="J1206" s="9"/>
    </row>
    <row r="1207" spans="9:10" x14ac:dyDescent="0.25">
      <c r="I1207" s="11"/>
      <c r="J1207" s="9"/>
    </row>
    <row r="1208" spans="9:10" x14ac:dyDescent="0.25">
      <c r="I1208" s="11"/>
      <c r="J1208" s="9"/>
    </row>
    <row r="1209" spans="9:10" x14ac:dyDescent="0.25">
      <c r="I1209" s="11"/>
      <c r="J1209" s="9"/>
    </row>
    <row r="1210" spans="9:10" x14ac:dyDescent="0.25">
      <c r="I1210" s="11"/>
      <c r="J1210" s="9"/>
    </row>
    <row r="1211" spans="9:10" x14ac:dyDescent="0.25">
      <c r="I1211" s="11"/>
      <c r="J1211" s="9"/>
    </row>
    <row r="1212" spans="9:10" x14ac:dyDescent="0.25">
      <c r="I1212" s="11"/>
      <c r="J1212" s="9"/>
    </row>
    <row r="1213" spans="9:10" x14ac:dyDescent="0.25">
      <c r="I1213" s="11"/>
      <c r="J1213" s="9"/>
    </row>
    <row r="1214" spans="9:10" x14ac:dyDescent="0.25">
      <c r="I1214" s="11"/>
      <c r="J1214" s="9"/>
    </row>
    <row r="1215" spans="9:10" x14ac:dyDescent="0.25">
      <c r="I1215" s="11"/>
      <c r="J1215" s="9"/>
    </row>
    <row r="1216" spans="9:10" x14ac:dyDescent="0.25">
      <c r="I1216" s="11"/>
      <c r="J1216" s="9"/>
    </row>
    <row r="1217" spans="9:10" x14ac:dyDescent="0.25">
      <c r="I1217" s="11"/>
      <c r="J1217" s="9"/>
    </row>
    <row r="1218" spans="9:10" x14ac:dyDescent="0.25">
      <c r="I1218" s="11"/>
      <c r="J1218" s="9"/>
    </row>
    <row r="1219" spans="9:10" x14ac:dyDescent="0.25">
      <c r="I1219" s="11"/>
      <c r="J1219" s="9"/>
    </row>
    <row r="1220" spans="9:10" x14ac:dyDescent="0.25">
      <c r="I1220" s="11"/>
      <c r="J1220" s="9"/>
    </row>
    <row r="1221" spans="9:10" x14ac:dyDescent="0.25">
      <c r="I1221" s="11"/>
      <c r="J1221" s="9"/>
    </row>
    <row r="1222" spans="9:10" x14ac:dyDescent="0.25">
      <c r="I1222" s="11"/>
      <c r="J1222" s="9"/>
    </row>
    <row r="1223" spans="9:10" x14ac:dyDescent="0.25">
      <c r="I1223" s="11"/>
      <c r="J1223" s="9"/>
    </row>
    <row r="1224" spans="9:10" x14ac:dyDescent="0.25">
      <c r="I1224" s="11"/>
      <c r="J1224" s="9"/>
    </row>
    <row r="1225" spans="9:10" x14ac:dyDescent="0.25">
      <c r="I1225" s="11"/>
      <c r="J1225" s="9"/>
    </row>
    <row r="1226" spans="9:10" x14ac:dyDescent="0.25">
      <c r="I1226" s="8"/>
      <c r="J1226" s="9"/>
    </row>
  </sheetData>
  <pageMargins left="0.511811024" right="0.511811024" top="0.78740157499999996" bottom="0.78740157499999996" header="0.31496062000000002" footer="0.31496062000000002"/>
  <pageSetup paperSize="9" orientation="portrait" verticalDpi="0" r:id="rId10"/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ABECIA &amp; BOLDARINE ADVOGADOS</vt:lpstr>
      <vt:lpstr>DashBoard</vt:lpstr>
      <vt:lpstr>Analises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Karem</dc:creator>
  <cp:lastModifiedBy>Priscila_Oliveira</cp:lastModifiedBy>
  <dcterms:created xsi:type="dcterms:W3CDTF">2018-05-28T01:04:43Z</dcterms:created>
  <dcterms:modified xsi:type="dcterms:W3CDTF">2019-03-20T17:33:07Z</dcterms:modified>
</cp:coreProperties>
</file>